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hvc\andresd\repositories\hvc-testrig\jvet_vtm_bms\"/>
    </mc:Choice>
  </mc:AlternateContent>
  <bookViews>
    <workbookView xWindow="0" yWindow="0" windowWidth="23910" windowHeight="11370" tabRatio="884"/>
  </bookViews>
  <sheets>
    <sheet name="Summary" sheetId="9" r:id="rId1"/>
    <sheet name="Plot" sheetId="10" r:id="rId2"/>
    <sheet name="AI-10" sheetId="27" r:id="rId3"/>
    <sheet name="RA-10" sheetId="20" r:id="rId4"/>
    <sheet name="LDB-10" sheetId="25" r:id="rId5"/>
    <sheet name="LDP-10" sheetId="29" r:id="rId6"/>
    <sheet name="TM" sheetId="17" r:id="rId7"/>
    <sheet name="BMS" sheetId="19" r:id="rId8"/>
    <sheet name="Test" sheetId="18" r:id="rId9"/>
  </sheets>
  <functionGroups builtInGroupCount="18"/>
  <definedNames>
    <definedName name="_xlnm._FilterDatabase" localSheetId="1" hidden="1">Plot!$A$1:$B$2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7" i="9" l="1"/>
  <c r="B35" i="9"/>
  <c r="B23" i="9"/>
  <c r="L27" i="29" l="1"/>
  <c r="M27" i="29"/>
  <c r="N27" i="29"/>
  <c r="O27" i="29"/>
  <c r="P27" i="29"/>
  <c r="R27" i="29" s="1"/>
  <c r="Q27" i="29"/>
  <c r="L28" i="29"/>
  <c r="M28" i="29"/>
  <c r="N28" i="29"/>
  <c r="O28" i="29"/>
  <c r="P28" i="29"/>
  <c r="R28" i="29" s="1"/>
  <c r="Q28" i="29"/>
  <c r="L29" i="29"/>
  <c r="M29" i="29"/>
  <c r="N29" i="29"/>
  <c r="O29" i="29"/>
  <c r="P29" i="29"/>
  <c r="Q29" i="29"/>
  <c r="L30" i="29"/>
  <c r="M30" i="29"/>
  <c r="N30" i="29"/>
  <c r="O30" i="29"/>
  <c r="P30" i="29"/>
  <c r="R30" i="29" s="1"/>
  <c r="Q30" i="29"/>
  <c r="L31" i="29"/>
  <c r="M31" i="29"/>
  <c r="N31" i="29"/>
  <c r="O31" i="29"/>
  <c r="P31" i="29"/>
  <c r="R31" i="29" s="1"/>
  <c r="Q31" i="29"/>
  <c r="L32" i="29"/>
  <c r="M32" i="29"/>
  <c r="N32" i="29"/>
  <c r="O32" i="29"/>
  <c r="P32" i="29"/>
  <c r="R32" i="29" s="1"/>
  <c r="Q32" i="29"/>
  <c r="L33" i="29"/>
  <c r="M33" i="29"/>
  <c r="N33" i="29"/>
  <c r="O33" i="29"/>
  <c r="P33" i="29"/>
  <c r="Q33" i="29"/>
  <c r="L34" i="29"/>
  <c r="M34" i="29"/>
  <c r="N34" i="29"/>
  <c r="O34" i="29"/>
  <c r="P34" i="29"/>
  <c r="R34" i="29" s="1"/>
  <c r="Q34" i="29"/>
  <c r="L35" i="29"/>
  <c r="M35" i="29"/>
  <c r="N35" i="29"/>
  <c r="O35" i="29"/>
  <c r="P35" i="29"/>
  <c r="Q35" i="29"/>
  <c r="L36" i="29"/>
  <c r="M36" i="29"/>
  <c r="N36" i="29"/>
  <c r="O36" i="29"/>
  <c r="P36" i="29"/>
  <c r="R36" i="29" s="1"/>
  <c r="Q36" i="29"/>
  <c r="L37" i="29"/>
  <c r="M37" i="29"/>
  <c r="N37" i="29"/>
  <c r="O37" i="29"/>
  <c r="P37" i="29"/>
  <c r="Q37" i="29"/>
  <c r="L38" i="29"/>
  <c r="M38" i="29"/>
  <c r="N38" i="29"/>
  <c r="O38" i="29"/>
  <c r="P38" i="29"/>
  <c r="R38" i="29" s="1"/>
  <c r="Q38" i="29"/>
  <c r="L39" i="29"/>
  <c r="M39" i="29"/>
  <c r="N39" i="29"/>
  <c r="O39" i="29"/>
  <c r="P39" i="29"/>
  <c r="Q39" i="29"/>
  <c r="L40" i="29"/>
  <c r="M40" i="29"/>
  <c r="N40" i="29"/>
  <c r="O40" i="29"/>
  <c r="P40" i="29"/>
  <c r="R40" i="29" s="1"/>
  <c r="Q40" i="29"/>
  <c r="L41" i="29"/>
  <c r="M41" i="29"/>
  <c r="N41" i="29"/>
  <c r="O41" i="29"/>
  <c r="P41" i="29"/>
  <c r="Q41" i="29"/>
  <c r="L42" i="29"/>
  <c r="M42" i="29"/>
  <c r="N42" i="29"/>
  <c r="O42" i="29"/>
  <c r="P42" i="29"/>
  <c r="R42" i="29" s="1"/>
  <c r="Q42" i="29"/>
  <c r="L43" i="29"/>
  <c r="M43" i="29"/>
  <c r="N43" i="29"/>
  <c r="O43" i="29"/>
  <c r="P43" i="29"/>
  <c r="R43" i="29" s="1"/>
  <c r="Q43" i="29"/>
  <c r="L44" i="29"/>
  <c r="M44" i="29"/>
  <c r="N44" i="29"/>
  <c r="O44" i="29"/>
  <c r="P44" i="29"/>
  <c r="R44" i="29" s="1"/>
  <c r="Q44" i="29"/>
  <c r="L45" i="29"/>
  <c r="M45" i="29"/>
  <c r="N45" i="29"/>
  <c r="O45" i="29"/>
  <c r="P45" i="29"/>
  <c r="Q45" i="29"/>
  <c r="L46" i="29"/>
  <c r="M46" i="29"/>
  <c r="N46" i="29"/>
  <c r="O46" i="29"/>
  <c r="P46" i="29"/>
  <c r="Q46" i="29"/>
  <c r="L47" i="29"/>
  <c r="M47" i="29"/>
  <c r="N47" i="29"/>
  <c r="O47" i="29"/>
  <c r="P47" i="29"/>
  <c r="R47" i="29" s="1"/>
  <c r="Q47" i="29"/>
  <c r="L48" i="29"/>
  <c r="M48" i="29"/>
  <c r="N48" i="29"/>
  <c r="O48" i="29"/>
  <c r="P48" i="29"/>
  <c r="Q48" i="29"/>
  <c r="L49" i="29"/>
  <c r="M49" i="29"/>
  <c r="N49" i="29"/>
  <c r="O49" i="29"/>
  <c r="P49" i="29"/>
  <c r="Q49" i="29"/>
  <c r="L50" i="29"/>
  <c r="M50" i="29"/>
  <c r="N50" i="29"/>
  <c r="O50" i="29"/>
  <c r="P50" i="29"/>
  <c r="Q50" i="29"/>
  <c r="L51" i="29"/>
  <c r="M51" i="29"/>
  <c r="N51" i="29"/>
  <c r="O51" i="29"/>
  <c r="P51" i="29"/>
  <c r="R51" i="29" s="1"/>
  <c r="Q51" i="29"/>
  <c r="L52" i="29"/>
  <c r="M52" i="29"/>
  <c r="N52" i="29"/>
  <c r="O52" i="29"/>
  <c r="P52" i="29"/>
  <c r="Q52" i="29"/>
  <c r="L53" i="29"/>
  <c r="M53" i="29"/>
  <c r="N53" i="29"/>
  <c r="O53" i="29"/>
  <c r="P53" i="29"/>
  <c r="Q53" i="29"/>
  <c r="L54" i="29"/>
  <c r="M54" i="29"/>
  <c r="N54" i="29"/>
  <c r="O54" i="29"/>
  <c r="P54" i="29"/>
  <c r="Q54" i="29"/>
  <c r="L55" i="29"/>
  <c r="M55" i="29"/>
  <c r="N55" i="29"/>
  <c r="O55" i="29"/>
  <c r="P55" i="29"/>
  <c r="R55" i="29" s="1"/>
  <c r="Q55" i="29"/>
  <c r="L56" i="29"/>
  <c r="M56" i="29"/>
  <c r="N56" i="29"/>
  <c r="O56" i="29"/>
  <c r="P56" i="29"/>
  <c r="R56" i="29" s="1"/>
  <c r="Q56" i="29"/>
  <c r="L57" i="29"/>
  <c r="M57" i="29"/>
  <c r="N57" i="29"/>
  <c r="O57" i="29"/>
  <c r="P57" i="29"/>
  <c r="Q57" i="29"/>
  <c r="L58" i="29"/>
  <c r="M58" i="29"/>
  <c r="N58" i="29"/>
  <c r="O58" i="29"/>
  <c r="P58" i="29"/>
  <c r="Q58" i="29"/>
  <c r="L59" i="29"/>
  <c r="M59" i="29"/>
  <c r="N59" i="29"/>
  <c r="O59" i="29"/>
  <c r="P59" i="29"/>
  <c r="R59" i="29" s="1"/>
  <c r="Q59" i="29"/>
  <c r="L60" i="29"/>
  <c r="M60" i="29"/>
  <c r="N60" i="29"/>
  <c r="O60" i="29"/>
  <c r="P60" i="29"/>
  <c r="Q60" i="29"/>
  <c r="L61" i="29"/>
  <c r="M61" i="29"/>
  <c r="N61" i="29"/>
  <c r="O61" i="29"/>
  <c r="P61" i="29"/>
  <c r="R61" i="29" s="1"/>
  <c r="Q61" i="29"/>
  <c r="L62" i="29"/>
  <c r="M62" i="29"/>
  <c r="N62" i="29"/>
  <c r="O62" i="29"/>
  <c r="P62" i="29"/>
  <c r="Q62" i="29"/>
  <c r="L63" i="29"/>
  <c r="M63" i="29"/>
  <c r="N63" i="29"/>
  <c r="O63" i="29"/>
  <c r="P63" i="29"/>
  <c r="R63" i="29" s="1"/>
  <c r="Q63" i="29"/>
  <c r="L64" i="29"/>
  <c r="M64" i="29"/>
  <c r="N64" i="29"/>
  <c r="O64" i="29"/>
  <c r="P64" i="29"/>
  <c r="Q64" i="29"/>
  <c r="L65" i="29"/>
  <c r="M65" i="29"/>
  <c r="N65" i="29"/>
  <c r="O65" i="29"/>
  <c r="P65" i="29"/>
  <c r="R65" i="29" s="1"/>
  <c r="Q65" i="29"/>
  <c r="L66" i="29"/>
  <c r="M66" i="29"/>
  <c r="N66" i="29"/>
  <c r="O66" i="29"/>
  <c r="P66" i="29"/>
  <c r="Q66" i="29"/>
  <c r="L67" i="29"/>
  <c r="M67" i="29"/>
  <c r="N67" i="29"/>
  <c r="O67" i="29"/>
  <c r="P67" i="29"/>
  <c r="R67" i="29" s="1"/>
  <c r="Q67" i="29"/>
  <c r="L68" i="29"/>
  <c r="M68" i="29"/>
  <c r="N68" i="29"/>
  <c r="O68" i="29"/>
  <c r="P68" i="29"/>
  <c r="Q68" i="29"/>
  <c r="L69" i="29"/>
  <c r="M69" i="29"/>
  <c r="N69" i="29"/>
  <c r="O69" i="29"/>
  <c r="P69" i="29"/>
  <c r="R69" i="29" s="1"/>
  <c r="Q69" i="29"/>
  <c r="L70" i="29"/>
  <c r="M70" i="29"/>
  <c r="N70" i="29"/>
  <c r="O70" i="29"/>
  <c r="P70" i="29"/>
  <c r="Q70" i="29"/>
  <c r="L71" i="29"/>
  <c r="M71" i="29"/>
  <c r="N71" i="29"/>
  <c r="O71" i="29"/>
  <c r="P71" i="29"/>
  <c r="R71" i="29" s="1"/>
  <c r="Q71" i="29"/>
  <c r="L72" i="29"/>
  <c r="M72" i="29"/>
  <c r="N72" i="29"/>
  <c r="O72" i="29"/>
  <c r="P72" i="29"/>
  <c r="Q72" i="29"/>
  <c r="L73" i="29"/>
  <c r="M73" i="29"/>
  <c r="N73" i="29"/>
  <c r="O73" i="29"/>
  <c r="P73" i="29"/>
  <c r="R73" i="29" s="1"/>
  <c r="Q73" i="29"/>
  <c r="L74" i="29"/>
  <c r="M74" i="29"/>
  <c r="N74" i="29"/>
  <c r="O74" i="29"/>
  <c r="P74" i="29"/>
  <c r="Q74" i="29"/>
  <c r="L75" i="29"/>
  <c r="M75" i="29"/>
  <c r="N75" i="29"/>
  <c r="O75" i="29"/>
  <c r="P75" i="29"/>
  <c r="Q75" i="29"/>
  <c r="L76" i="29"/>
  <c r="M76" i="29"/>
  <c r="N76" i="29"/>
  <c r="O76" i="29"/>
  <c r="P76" i="29"/>
  <c r="Q76" i="29"/>
  <c r="L77" i="29"/>
  <c r="M77" i="29"/>
  <c r="N77" i="29"/>
  <c r="O77" i="29"/>
  <c r="P77" i="29"/>
  <c r="R77" i="29" s="1"/>
  <c r="Q77" i="29"/>
  <c r="L78" i="29"/>
  <c r="M78" i="29"/>
  <c r="N78" i="29"/>
  <c r="O78" i="29"/>
  <c r="P78" i="29"/>
  <c r="R78" i="29" s="1"/>
  <c r="Q78" i="29"/>
  <c r="L79" i="29"/>
  <c r="M79" i="29"/>
  <c r="N79" i="29"/>
  <c r="O79" i="29"/>
  <c r="P79" i="29"/>
  <c r="R79" i="29" s="1"/>
  <c r="Q79" i="29"/>
  <c r="L80" i="29"/>
  <c r="M80" i="29"/>
  <c r="N80" i="29"/>
  <c r="O80" i="29"/>
  <c r="P80" i="29"/>
  <c r="R80" i="29" s="1"/>
  <c r="Q80" i="29"/>
  <c r="L81" i="29"/>
  <c r="M81" i="29"/>
  <c r="N81" i="29"/>
  <c r="O81" i="29"/>
  <c r="P81" i="29"/>
  <c r="R81" i="29" s="1"/>
  <c r="Q81" i="29"/>
  <c r="L82" i="29"/>
  <c r="M82" i="29"/>
  <c r="N82" i="29"/>
  <c r="O82" i="29"/>
  <c r="P82" i="29"/>
  <c r="Q82" i="29"/>
  <c r="L83" i="29"/>
  <c r="M83" i="29"/>
  <c r="N83" i="29"/>
  <c r="O83" i="29"/>
  <c r="P83" i="29"/>
  <c r="R83" i="29" s="1"/>
  <c r="Q83" i="29"/>
  <c r="L84" i="29"/>
  <c r="M84" i="29"/>
  <c r="N84" i="29"/>
  <c r="O84" i="29"/>
  <c r="P84" i="29"/>
  <c r="Q84" i="29"/>
  <c r="L85" i="29"/>
  <c r="M85" i="29"/>
  <c r="N85" i="29"/>
  <c r="O85" i="29"/>
  <c r="P85" i="29"/>
  <c r="Q85" i="29"/>
  <c r="L86" i="29"/>
  <c r="M86" i="29"/>
  <c r="N86" i="29"/>
  <c r="O86" i="29"/>
  <c r="P86" i="29"/>
  <c r="Q86" i="29"/>
  <c r="L87" i="29"/>
  <c r="M87" i="29"/>
  <c r="N87" i="29"/>
  <c r="O87" i="29"/>
  <c r="P87" i="29"/>
  <c r="Q87" i="29"/>
  <c r="L88" i="29"/>
  <c r="M88" i="29"/>
  <c r="N88" i="29"/>
  <c r="O88" i="29"/>
  <c r="P88" i="29"/>
  <c r="R88" i="29" s="1"/>
  <c r="Q88" i="29"/>
  <c r="L89" i="29"/>
  <c r="M89" i="29"/>
  <c r="N89" i="29"/>
  <c r="O89" i="29"/>
  <c r="P89" i="29"/>
  <c r="R89" i="29" s="1"/>
  <c r="Q89" i="29"/>
  <c r="L90" i="29"/>
  <c r="M90" i="29"/>
  <c r="N90" i="29"/>
  <c r="O90" i="29"/>
  <c r="P90" i="29"/>
  <c r="Q90" i="29"/>
  <c r="L91" i="29"/>
  <c r="M91" i="29"/>
  <c r="N91" i="29"/>
  <c r="O91" i="29"/>
  <c r="P91" i="29"/>
  <c r="R91" i="29" s="1"/>
  <c r="Q91" i="29"/>
  <c r="L92" i="29"/>
  <c r="M92" i="29"/>
  <c r="N92" i="29"/>
  <c r="O92" i="29"/>
  <c r="P92" i="29"/>
  <c r="Q92" i="29"/>
  <c r="L93" i="29"/>
  <c r="M93" i="29"/>
  <c r="N93" i="29"/>
  <c r="O93" i="29"/>
  <c r="P93" i="29"/>
  <c r="Q93" i="29"/>
  <c r="L94" i="29"/>
  <c r="M94" i="29"/>
  <c r="N94" i="29"/>
  <c r="O94" i="29"/>
  <c r="P94" i="29"/>
  <c r="Q94" i="29"/>
  <c r="L95" i="29"/>
  <c r="M95" i="29"/>
  <c r="N95" i="29"/>
  <c r="O95" i="29"/>
  <c r="P95" i="29"/>
  <c r="R95" i="29" s="1"/>
  <c r="Q95" i="29"/>
  <c r="L96" i="29"/>
  <c r="M96" i="29"/>
  <c r="N96" i="29"/>
  <c r="O96" i="29"/>
  <c r="P96" i="29"/>
  <c r="Q96" i="29"/>
  <c r="L97" i="29"/>
  <c r="M97" i="29"/>
  <c r="N97" i="29"/>
  <c r="O97" i="29"/>
  <c r="P97" i="29"/>
  <c r="Q97" i="29"/>
  <c r="L98" i="29"/>
  <c r="M98" i="29"/>
  <c r="N98" i="29"/>
  <c r="O98" i="29"/>
  <c r="P98" i="29"/>
  <c r="R98" i="29" s="1"/>
  <c r="Q98" i="29"/>
  <c r="L99" i="29"/>
  <c r="M99" i="29"/>
  <c r="N99" i="29"/>
  <c r="O99" i="29"/>
  <c r="P99" i="29"/>
  <c r="R99" i="29" s="1"/>
  <c r="Q99" i="29"/>
  <c r="L100" i="29"/>
  <c r="M100" i="29"/>
  <c r="N100" i="29"/>
  <c r="O100" i="29"/>
  <c r="P100" i="29"/>
  <c r="Q100" i="29"/>
  <c r="L101" i="29"/>
  <c r="M101" i="29"/>
  <c r="N101" i="29"/>
  <c r="O101" i="29"/>
  <c r="P101" i="29"/>
  <c r="Q101" i="29"/>
  <c r="L102" i="29"/>
  <c r="M102" i="29"/>
  <c r="N102" i="29"/>
  <c r="O102" i="29"/>
  <c r="P102" i="29"/>
  <c r="R102" i="29" s="1"/>
  <c r="Q102" i="29"/>
  <c r="L103" i="29"/>
  <c r="M103" i="29"/>
  <c r="N103" i="29"/>
  <c r="O103" i="29"/>
  <c r="P103" i="29"/>
  <c r="R103" i="29" s="1"/>
  <c r="Q103" i="29"/>
  <c r="L104" i="29"/>
  <c r="M104" i="29"/>
  <c r="N104" i="29"/>
  <c r="O104" i="29"/>
  <c r="P104" i="29"/>
  <c r="R104" i="29" s="1"/>
  <c r="Q104" i="29"/>
  <c r="L105" i="29"/>
  <c r="M105" i="29"/>
  <c r="N105" i="29"/>
  <c r="O105" i="29"/>
  <c r="P105" i="29"/>
  <c r="R105" i="29" s="1"/>
  <c r="Q105" i="29"/>
  <c r="L106" i="29"/>
  <c r="M106" i="29"/>
  <c r="N106" i="29"/>
  <c r="O106" i="29"/>
  <c r="P106" i="29"/>
  <c r="R106" i="29" s="1"/>
  <c r="Q106" i="29"/>
  <c r="L27" i="25"/>
  <c r="M27" i="25"/>
  <c r="N27" i="25"/>
  <c r="O27" i="25"/>
  <c r="P27" i="25"/>
  <c r="Q27" i="25"/>
  <c r="L28" i="25"/>
  <c r="M28" i="25"/>
  <c r="N28" i="25"/>
  <c r="O28" i="25"/>
  <c r="P28" i="25"/>
  <c r="R28" i="25" s="1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T30" i="25" s="1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R33" i="25" s="1"/>
  <c r="Q33" i="25"/>
  <c r="L34" i="25"/>
  <c r="M34" i="25"/>
  <c r="N34" i="25"/>
  <c r="O34" i="25"/>
  <c r="P34" i="25"/>
  <c r="R34" i="25" s="1"/>
  <c r="Q34" i="25"/>
  <c r="L35" i="25"/>
  <c r="M35" i="25"/>
  <c r="N35" i="25"/>
  <c r="O35" i="25"/>
  <c r="P35" i="25"/>
  <c r="Q35" i="25"/>
  <c r="L36" i="25"/>
  <c r="M36" i="25"/>
  <c r="N36" i="25"/>
  <c r="O36" i="25"/>
  <c r="P36" i="25"/>
  <c r="R36" i="25" s="1"/>
  <c r="Q36" i="25"/>
  <c r="L37" i="25"/>
  <c r="M37" i="25"/>
  <c r="N37" i="25"/>
  <c r="O37" i="25"/>
  <c r="P37" i="25"/>
  <c r="Q37" i="25"/>
  <c r="L38" i="25"/>
  <c r="M38" i="25"/>
  <c r="N38" i="25"/>
  <c r="O38" i="25"/>
  <c r="P38" i="25"/>
  <c r="R38" i="25" s="1"/>
  <c r="Q38" i="25"/>
  <c r="L39" i="25"/>
  <c r="M39" i="25"/>
  <c r="N39" i="25"/>
  <c r="O39" i="25"/>
  <c r="P39" i="25"/>
  <c r="Q39" i="25"/>
  <c r="L40" i="25"/>
  <c r="M40" i="25"/>
  <c r="N40" i="25"/>
  <c r="O40" i="25"/>
  <c r="P40" i="25"/>
  <c r="R40" i="25" s="1"/>
  <c r="Q40" i="25"/>
  <c r="L41" i="25"/>
  <c r="M41" i="25"/>
  <c r="N41" i="25"/>
  <c r="O41" i="25"/>
  <c r="P41" i="25"/>
  <c r="R41" i="25" s="1"/>
  <c r="Q41" i="25"/>
  <c r="L42" i="25"/>
  <c r="M42" i="25"/>
  <c r="N42" i="25"/>
  <c r="O42" i="25"/>
  <c r="P42" i="25"/>
  <c r="R42" i="25" s="1"/>
  <c r="Q42" i="25"/>
  <c r="L43" i="25"/>
  <c r="M43" i="25"/>
  <c r="N43" i="25"/>
  <c r="O43" i="25"/>
  <c r="P43" i="25"/>
  <c r="R43" i="25" s="1"/>
  <c r="Q43" i="25"/>
  <c r="L44" i="25"/>
  <c r="M44" i="25"/>
  <c r="N44" i="25"/>
  <c r="O44" i="25"/>
  <c r="P44" i="25"/>
  <c r="R44" i="25" s="1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R48" i="25" s="1"/>
  <c r="Q48" i="25"/>
  <c r="L49" i="25"/>
  <c r="M49" i="25"/>
  <c r="N49" i="25"/>
  <c r="O49" i="25"/>
  <c r="P49" i="25"/>
  <c r="R49" i="25" s="1"/>
  <c r="Q49" i="25"/>
  <c r="L50" i="25"/>
  <c r="M50" i="25"/>
  <c r="N50" i="25"/>
  <c r="O50" i="25"/>
  <c r="P50" i="25"/>
  <c r="R50" i="25" s="1"/>
  <c r="Q50" i="25"/>
  <c r="L51" i="25"/>
  <c r="M51" i="25"/>
  <c r="N51" i="25"/>
  <c r="O51" i="25"/>
  <c r="P51" i="25"/>
  <c r="R51" i="25" s="1"/>
  <c r="Q51" i="25"/>
  <c r="L52" i="25"/>
  <c r="M52" i="25"/>
  <c r="N52" i="25"/>
  <c r="O52" i="25"/>
  <c r="P52" i="25"/>
  <c r="R52" i="25" s="1"/>
  <c r="Q52" i="25"/>
  <c r="L53" i="25"/>
  <c r="M53" i="25"/>
  <c r="N53" i="25"/>
  <c r="O53" i="25"/>
  <c r="P53" i="25"/>
  <c r="Q53" i="25"/>
  <c r="L54" i="25"/>
  <c r="M54" i="25"/>
  <c r="N54" i="25"/>
  <c r="O54" i="25"/>
  <c r="P54" i="25"/>
  <c r="R54" i="25" s="1"/>
  <c r="Q54" i="25"/>
  <c r="L55" i="25"/>
  <c r="M55" i="25"/>
  <c r="N55" i="25"/>
  <c r="O55" i="25"/>
  <c r="P55" i="25"/>
  <c r="Q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Q57" i="25"/>
  <c r="L58" i="25"/>
  <c r="M58" i="25"/>
  <c r="N58" i="25"/>
  <c r="O58" i="25"/>
  <c r="P58" i="25"/>
  <c r="R58" i="25" s="1"/>
  <c r="Q58" i="25"/>
  <c r="L59" i="25"/>
  <c r="M59" i="25"/>
  <c r="N59" i="25"/>
  <c r="O59" i="25"/>
  <c r="P59" i="25"/>
  <c r="R59" i="25" s="1"/>
  <c r="Q59" i="25"/>
  <c r="L60" i="25"/>
  <c r="M60" i="25"/>
  <c r="N60" i="25"/>
  <c r="O60" i="25"/>
  <c r="P60" i="25"/>
  <c r="R60" i="25" s="1"/>
  <c r="Q60" i="25"/>
  <c r="L61" i="25"/>
  <c r="M61" i="25"/>
  <c r="N61" i="25"/>
  <c r="O61" i="25"/>
  <c r="P61" i="25"/>
  <c r="Q61" i="25"/>
  <c r="L62" i="25"/>
  <c r="M62" i="25"/>
  <c r="N62" i="25"/>
  <c r="O62" i="25"/>
  <c r="P62" i="25"/>
  <c r="R62" i="25" s="1"/>
  <c r="Q62" i="25"/>
  <c r="L63" i="25"/>
  <c r="M63" i="25"/>
  <c r="N63" i="25"/>
  <c r="O63" i="25"/>
  <c r="P63" i="25"/>
  <c r="R63" i="25" s="1"/>
  <c r="Q63" i="25"/>
  <c r="L64" i="25"/>
  <c r="M64" i="25"/>
  <c r="N64" i="25"/>
  <c r="O64" i="25"/>
  <c r="P64" i="25"/>
  <c r="R64" i="25" s="1"/>
  <c r="Q64" i="25"/>
  <c r="L65" i="25"/>
  <c r="M65" i="25"/>
  <c r="N65" i="25"/>
  <c r="O65" i="25"/>
  <c r="P65" i="25"/>
  <c r="Q65" i="25"/>
  <c r="L66" i="25"/>
  <c r="M66" i="25"/>
  <c r="N66" i="25"/>
  <c r="O66" i="25"/>
  <c r="P66" i="25"/>
  <c r="R66" i="25" s="1"/>
  <c r="Q66" i="25"/>
  <c r="L67" i="25"/>
  <c r="M67" i="25"/>
  <c r="N67" i="25"/>
  <c r="O67" i="25"/>
  <c r="P67" i="25"/>
  <c r="R67" i="25" s="1"/>
  <c r="Q67" i="25"/>
  <c r="L68" i="25"/>
  <c r="M68" i="25"/>
  <c r="N68" i="25"/>
  <c r="O68" i="25"/>
  <c r="P68" i="25"/>
  <c r="R68" i="25" s="1"/>
  <c r="Q68" i="25"/>
  <c r="L69" i="25"/>
  <c r="M69" i="25"/>
  <c r="N69" i="25"/>
  <c r="O69" i="25"/>
  <c r="P69" i="25"/>
  <c r="Q69" i="25"/>
  <c r="L70" i="25"/>
  <c r="M70" i="25"/>
  <c r="N70" i="25"/>
  <c r="O70" i="25"/>
  <c r="P70" i="25"/>
  <c r="R70" i="25" s="1"/>
  <c r="Q70" i="25"/>
  <c r="L71" i="25"/>
  <c r="M71" i="25"/>
  <c r="N71" i="25"/>
  <c r="O71" i="25"/>
  <c r="P71" i="25"/>
  <c r="R71" i="25" s="1"/>
  <c r="Q71" i="25"/>
  <c r="L72" i="25"/>
  <c r="M72" i="25"/>
  <c r="N72" i="25"/>
  <c r="O72" i="25"/>
  <c r="P72" i="25"/>
  <c r="Q72" i="25"/>
  <c r="L73" i="25"/>
  <c r="M73" i="25"/>
  <c r="N73" i="25"/>
  <c r="O73" i="25"/>
  <c r="P73" i="25"/>
  <c r="Q73" i="25"/>
  <c r="L74" i="25"/>
  <c r="M74" i="25"/>
  <c r="N74" i="25"/>
  <c r="O74" i="25"/>
  <c r="P74" i="25"/>
  <c r="R74" i="25" s="1"/>
  <c r="Q74" i="25"/>
  <c r="L75" i="25"/>
  <c r="M75" i="25"/>
  <c r="N75" i="25"/>
  <c r="O75" i="25"/>
  <c r="P75" i="25"/>
  <c r="R75" i="25" s="1"/>
  <c r="Q75" i="25"/>
  <c r="L76" i="25"/>
  <c r="M76" i="25"/>
  <c r="N76" i="25"/>
  <c r="O76" i="25"/>
  <c r="P76" i="25"/>
  <c r="R76" i="25" s="1"/>
  <c r="Q76" i="25"/>
  <c r="L77" i="25"/>
  <c r="M77" i="25"/>
  <c r="N77" i="25"/>
  <c r="O77" i="25"/>
  <c r="P77" i="25"/>
  <c r="Q77" i="25"/>
  <c r="L78" i="25"/>
  <c r="M78" i="25"/>
  <c r="N78" i="25"/>
  <c r="O78" i="25"/>
  <c r="P78" i="25"/>
  <c r="R78" i="25" s="1"/>
  <c r="Q78" i="25"/>
  <c r="L79" i="25"/>
  <c r="M79" i="25"/>
  <c r="N79" i="25"/>
  <c r="O79" i="25"/>
  <c r="P79" i="25"/>
  <c r="R79" i="25" s="1"/>
  <c r="Q79" i="25"/>
  <c r="L80" i="25"/>
  <c r="M80" i="25"/>
  <c r="N80" i="25"/>
  <c r="O80" i="25"/>
  <c r="P80" i="25"/>
  <c r="R80" i="25" s="1"/>
  <c r="Q80" i="25"/>
  <c r="L81" i="25"/>
  <c r="M81" i="25"/>
  <c r="N81" i="25"/>
  <c r="O81" i="25"/>
  <c r="P81" i="25"/>
  <c r="Q81" i="25"/>
  <c r="L82" i="25"/>
  <c r="M82" i="25"/>
  <c r="N82" i="25"/>
  <c r="O82" i="25"/>
  <c r="P82" i="25"/>
  <c r="R82" i="25" s="1"/>
  <c r="Q82" i="25"/>
  <c r="L83" i="25"/>
  <c r="M83" i="25"/>
  <c r="N83" i="25"/>
  <c r="O83" i="25"/>
  <c r="P83" i="25"/>
  <c r="R83" i="25" s="1"/>
  <c r="Q83" i="25"/>
  <c r="L84" i="25"/>
  <c r="M84" i="25"/>
  <c r="N84" i="25"/>
  <c r="O84" i="25"/>
  <c r="P84" i="25"/>
  <c r="R84" i="25" s="1"/>
  <c r="Q84" i="25"/>
  <c r="L85" i="25"/>
  <c r="M85" i="25"/>
  <c r="N85" i="25"/>
  <c r="O85" i="25"/>
  <c r="P85" i="25"/>
  <c r="R85" i="25" s="1"/>
  <c r="Q85" i="25"/>
  <c r="L86" i="25"/>
  <c r="M86" i="25"/>
  <c r="N86" i="25"/>
  <c r="O86" i="25"/>
  <c r="P86" i="25"/>
  <c r="R86" i="25" s="1"/>
  <c r="Q86" i="25"/>
  <c r="L87" i="25"/>
  <c r="M87" i="25"/>
  <c r="N87" i="25"/>
  <c r="O87" i="25"/>
  <c r="P87" i="25"/>
  <c r="R87" i="25" s="1"/>
  <c r="Q87" i="25"/>
  <c r="L88" i="25"/>
  <c r="M88" i="25"/>
  <c r="N88" i="25"/>
  <c r="O88" i="25"/>
  <c r="P88" i="25"/>
  <c r="R88" i="25" s="1"/>
  <c r="Q88" i="25"/>
  <c r="L89" i="25"/>
  <c r="M89" i="25"/>
  <c r="N89" i="25"/>
  <c r="O89" i="25"/>
  <c r="P89" i="25"/>
  <c r="Q89" i="25"/>
  <c r="L90" i="25"/>
  <c r="M90" i="25"/>
  <c r="N90" i="25"/>
  <c r="O90" i="25"/>
  <c r="P90" i="25"/>
  <c r="Q90" i="25"/>
  <c r="L91" i="25"/>
  <c r="M91" i="25"/>
  <c r="N91" i="25"/>
  <c r="O91" i="25"/>
  <c r="P91" i="25"/>
  <c r="R91" i="25" s="1"/>
  <c r="Q91" i="25"/>
  <c r="L92" i="25"/>
  <c r="M92" i="25"/>
  <c r="N92" i="25"/>
  <c r="O92" i="25"/>
  <c r="P92" i="25"/>
  <c r="Q92" i="25"/>
  <c r="L93" i="25"/>
  <c r="M93" i="25"/>
  <c r="N93" i="25"/>
  <c r="O93" i="25"/>
  <c r="P93" i="25"/>
  <c r="R93" i="25" s="1"/>
  <c r="Q93" i="25"/>
  <c r="L94" i="25"/>
  <c r="M94" i="25"/>
  <c r="N94" i="25"/>
  <c r="O94" i="25"/>
  <c r="P94" i="25"/>
  <c r="R94" i="25" s="1"/>
  <c r="Q94" i="25"/>
  <c r="L95" i="25"/>
  <c r="M95" i="25"/>
  <c r="N95" i="25"/>
  <c r="O95" i="25"/>
  <c r="P95" i="25"/>
  <c r="R95" i="25" s="1"/>
  <c r="Q95" i="25"/>
  <c r="L96" i="25"/>
  <c r="M96" i="25"/>
  <c r="N96" i="25"/>
  <c r="O96" i="25"/>
  <c r="P96" i="25"/>
  <c r="R96" i="25" s="1"/>
  <c r="Q96" i="25"/>
  <c r="L97" i="25"/>
  <c r="M97" i="25"/>
  <c r="N97" i="25"/>
  <c r="O97" i="25"/>
  <c r="P97" i="25"/>
  <c r="R97" i="25" s="1"/>
  <c r="Q97" i="25"/>
  <c r="L98" i="25"/>
  <c r="M98" i="25"/>
  <c r="N98" i="25"/>
  <c r="O98" i="25"/>
  <c r="P98" i="25"/>
  <c r="Q98" i="25"/>
  <c r="L99" i="25"/>
  <c r="M99" i="25"/>
  <c r="N99" i="25"/>
  <c r="O99" i="25"/>
  <c r="P99" i="25"/>
  <c r="R99" i="25" s="1"/>
  <c r="Q99" i="25"/>
  <c r="L100" i="25"/>
  <c r="M100" i="25"/>
  <c r="N100" i="25"/>
  <c r="O100" i="25"/>
  <c r="P100" i="25"/>
  <c r="Q100" i="25"/>
  <c r="L101" i="25"/>
  <c r="M101" i="25"/>
  <c r="N101" i="25"/>
  <c r="O101" i="25"/>
  <c r="P101" i="25"/>
  <c r="Q101" i="25"/>
  <c r="L102" i="25"/>
  <c r="M102" i="25"/>
  <c r="N102" i="25"/>
  <c r="O102" i="25"/>
  <c r="P102" i="25"/>
  <c r="Q102" i="25"/>
  <c r="L103" i="25"/>
  <c r="M103" i="25"/>
  <c r="N103" i="25"/>
  <c r="O103" i="25"/>
  <c r="P103" i="25"/>
  <c r="R103" i="25" s="1"/>
  <c r="Q103" i="25"/>
  <c r="L104" i="25"/>
  <c r="M104" i="25"/>
  <c r="N104" i="25"/>
  <c r="O104" i="25"/>
  <c r="P104" i="25"/>
  <c r="Q104" i="25"/>
  <c r="L105" i="25"/>
  <c r="M105" i="25"/>
  <c r="N105" i="25"/>
  <c r="O105" i="25"/>
  <c r="P105" i="25"/>
  <c r="Q105" i="25"/>
  <c r="L106" i="25"/>
  <c r="M106" i="25"/>
  <c r="N106" i="25"/>
  <c r="O106" i="25"/>
  <c r="P106" i="25"/>
  <c r="Q106" i="25"/>
  <c r="L27" i="20"/>
  <c r="M27" i="20"/>
  <c r="N27" i="20"/>
  <c r="O27" i="20"/>
  <c r="P27" i="20"/>
  <c r="Q27" i="20"/>
  <c r="L28" i="20"/>
  <c r="M28" i="20"/>
  <c r="N28" i="20"/>
  <c r="O28" i="20"/>
  <c r="P28" i="20"/>
  <c r="R28" i="20" s="1"/>
  <c r="Q28" i="20"/>
  <c r="L29" i="20"/>
  <c r="M29" i="20"/>
  <c r="N29" i="20"/>
  <c r="O29" i="20"/>
  <c r="P29" i="20"/>
  <c r="R29" i="20" s="1"/>
  <c r="Q29" i="20"/>
  <c r="L30" i="20"/>
  <c r="M30" i="20"/>
  <c r="N30" i="20"/>
  <c r="O30" i="20"/>
  <c r="P30" i="20"/>
  <c r="Q30" i="20"/>
  <c r="L31" i="20"/>
  <c r="M31" i="20"/>
  <c r="N31" i="20"/>
  <c r="O31" i="20"/>
  <c r="P31" i="20"/>
  <c r="R31" i="20" s="1"/>
  <c r="Q31" i="20"/>
  <c r="L32" i="20"/>
  <c r="M32" i="20"/>
  <c r="N32" i="20"/>
  <c r="O32" i="20"/>
  <c r="P32" i="20"/>
  <c r="R32" i="20" s="1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R35" i="20" s="1"/>
  <c r="Q35" i="20"/>
  <c r="L36" i="20"/>
  <c r="M36" i="20"/>
  <c r="N36" i="20"/>
  <c r="O36" i="20"/>
  <c r="P36" i="20"/>
  <c r="R36" i="20" s="1"/>
  <c r="Q36" i="20"/>
  <c r="L37" i="20"/>
  <c r="M37" i="20"/>
  <c r="N37" i="20"/>
  <c r="O37" i="20"/>
  <c r="P37" i="20"/>
  <c r="R37" i="20" s="1"/>
  <c r="Q37" i="20"/>
  <c r="L38" i="20"/>
  <c r="M38" i="20"/>
  <c r="N38" i="20"/>
  <c r="O38" i="20"/>
  <c r="P38" i="20"/>
  <c r="R38" i="20" s="1"/>
  <c r="Q38" i="20"/>
  <c r="L39" i="20"/>
  <c r="M39" i="20"/>
  <c r="N39" i="20"/>
  <c r="O39" i="20"/>
  <c r="P39" i="20"/>
  <c r="R39" i="20" s="1"/>
  <c r="Q39" i="20"/>
  <c r="L40" i="20"/>
  <c r="M40" i="20"/>
  <c r="N40" i="20"/>
  <c r="O40" i="20"/>
  <c r="P40" i="20"/>
  <c r="R40" i="20" s="1"/>
  <c r="Q40" i="20"/>
  <c r="L41" i="20"/>
  <c r="M41" i="20"/>
  <c r="N41" i="20"/>
  <c r="O41" i="20"/>
  <c r="P41" i="20"/>
  <c r="R41" i="20" s="1"/>
  <c r="Q41" i="20"/>
  <c r="L42" i="20"/>
  <c r="M42" i="20"/>
  <c r="N42" i="20"/>
  <c r="O42" i="20"/>
  <c r="P42" i="20"/>
  <c r="R42" i="20" s="1"/>
  <c r="Q42" i="20"/>
  <c r="L43" i="20"/>
  <c r="M43" i="20"/>
  <c r="N43" i="20"/>
  <c r="O43" i="20"/>
  <c r="P43" i="20"/>
  <c r="R43" i="20" s="1"/>
  <c r="Q43" i="20"/>
  <c r="L44" i="20"/>
  <c r="M44" i="20"/>
  <c r="N44" i="20"/>
  <c r="O44" i="20"/>
  <c r="P44" i="20"/>
  <c r="R44" i="20" s="1"/>
  <c r="Q44" i="20"/>
  <c r="L45" i="20"/>
  <c r="M45" i="20"/>
  <c r="N45" i="20"/>
  <c r="O45" i="20"/>
  <c r="P45" i="20"/>
  <c r="R45" i="20" s="1"/>
  <c r="Q45" i="20"/>
  <c r="L46" i="20"/>
  <c r="M46" i="20"/>
  <c r="N46" i="20"/>
  <c r="O46" i="20"/>
  <c r="P46" i="20"/>
  <c r="R46" i="20" s="1"/>
  <c r="Q46" i="20"/>
  <c r="L47" i="20"/>
  <c r="M47" i="20"/>
  <c r="N47" i="20"/>
  <c r="O47" i="20"/>
  <c r="P47" i="20"/>
  <c r="R47" i="20" s="1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R50" i="20" s="1"/>
  <c r="Q50" i="20"/>
  <c r="L51" i="20"/>
  <c r="M51" i="20"/>
  <c r="N51" i="20"/>
  <c r="O51" i="20"/>
  <c r="P51" i="20"/>
  <c r="R51" i="20" s="1"/>
  <c r="Q51" i="20"/>
  <c r="L52" i="20"/>
  <c r="M52" i="20"/>
  <c r="N52" i="20"/>
  <c r="O52" i="20"/>
  <c r="P52" i="20"/>
  <c r="R52" i="20" s="1"/>
  <c r="Q52" i="20"/>
  <c r="L53" i="20"/>
  <c r="M53" i="20"/>
  <c r="N53" i="20"/>
  <c r="O53" i="20"/>
  <c r="P53" i="20"/>
  <c r="R53" i="20" s="1"/>
  <c r="Q53" i="20"/>
  <c r="L54" i="20"/>
  <c r="M54" i="20"/>
  <c r="N54" i="20"/>
  <c r="O54" i="20"/>
  <c r="P54" i="20"/>
  <c r="R54" i="20" s="1"/>
  <c r="Q54" i="20"/>
  <c r="L55" i="20"/>
  <c r="M55" i="20"/>
  <c r="N55" i="20"/>
  <c r="O55" i="20"/>
  <c r="P55" i="20"/>
  <c r="R55" i="20" s="1"/>
  <c r="Q55" i="20"/>
  <c r="L56" i="20"/>
  <c r="M56" i="20"/>
  <c r="N56" i="20"/>
  <c r="O56" i="20"/>
  <c r="P56" i="20"/>
  <c r="R56" i="20" s="1"/>
  <c r="Q56" i="20"/>
  <c r="L57" i="20"/>
  <c r="M57" i="20"/>
  <c r="N57" i="20"/>
  <c r="O57" i="20"/>
  <c r="P57" i="20"/>
  <c r="R57" i="20" s="1"/>
  <c r="Q57" i="20"/>
  <c r="L58" i="20"/>
  <c r="M58" i="20"/>
  <c r="N58" i="20"/>
  <c r="O58" i="20"/>
  <c r="P58" i="20"/>
  <c r="R58" i="20" s="1"/>
  <c r="Q58" i="20"/>
  <c r="L59" i="20"/>
  <c r="M59" i="20"/>
  <c r="N59" i="20"/>
  <c r="O59" i="20"/>
  <c r="P59" i="20"/>
  <c r="R59" i="20" s="1"/>
  <c r="Q59" i="20"/>
  <c r="L60" i="20"/>
  <c r="M60" i="20"/>
  <c r="N60" i="20"/>
  <c r="O60" i="20"/>
  <c r="P60" i="20"/>
  <c r="R60" i="20" s="1"/>
  <c r="Q60" i="20"/>
  <c r="L61" i="20"/>
  <c r="M61" i="20"/>
  <c r="N61" i="20"/>
  <c r="O61" i="20"/>
  <c r="P61" i="20"/>
  <c r="R61" i="20" s="1"/>
  <c r="Q61" i="20"/>
  <c r="L62" i="20"/>
  <c r="M62" i="20"/>
  <c r="N62" i="20"/>
  <c r="O62" i="20"/>
  <c r="P62" i="20"/>
  <c r="R62" i="20" s="1"/>
  <c r="Q62" i="20"/>
  <c r="L63" i="20"/>
  <c r="M63" i="20"/>
  <c r="N63" i="20"/>
  <c r="O63" i="20"/>
  <c r="P63" i="20"/>
  <c r="Q63" i="20"/>
  <c r="L64" i="20"/>
  <c r="M64" i="20"/>
  <c r="N64" i="20"/>
  <c r="O64" i="20"/>
  <c r="P64" i="20"/>
  <c r="R64" i="20" s="1"/>
  <c r="Q64" i="20"/>
  <c r="L65" i="20"/>
  <c r="M65" i="20"/>
  <c r="N65" i="20"/>
  <c r="O65" i="20"/>
  <c r="P65" i="20"/>
  <c r="R65" i="20" s="1"/>
  <c r="Q65" i="20"/>
  <c r="L66" i="20"/>
  <c r="M66" i="20"/>
  <c r="N66" i="20"/>
  <c r="O66" i="20"/>
  <c r="P66" i="20"/>
  <c r="R66" i="20" s="1"/>
  <c r="Q66" i="20"/>
  <c r="L67" i="20"/>
  <c r="M67" i="20"/>
  <c r="N67" i="20"/>
  <c r="O67" i="20"/>
  <c r="P67" i="20"/>
  <c r="Q67" i="20"/>
  <c r="L68" i="20"/>
  <c r="M68" i="20"/>
  <c r="N68" i="20"/>
  <c r="O68" i="20"/>
  <c r="P68" i="20"/>
  <c r="R68" i="20" s="1"/>
  <c r="Q68" i="20"/>
  <c r="L69" i="20"/>
  <c r="M69" i="20"/>
  <c r="N69" i="20"/>
  <c r="O69" i="20"/>
  <c r="P69" i="20"/>
  <c r="R69" i="20" s="1"/>
  <c r="Q69" i="20"/>
  <c r="L70" i="20"/>
  <c r="M70" i="20"/>
  <c r="N70" i="20"/>
  <c r="O70" i="20"/>
  <c r="P70" i="20"/>
  <c r="R70" i="20" s="1"/>
  <c r="Q70" i="20"/>
  <c r="L71" i="20"/>
  <c r="M71" i="20"/>
  <c r="N71" i="20"/>
  <c r="O71" i="20"/>
  <c r="P71" i="20"/>
  <c r="R71" i="20" s="1"/>
  <c r="Q71" i="20"/>
  <c r="L72" i="20"/>
  <c r="M72" i="20"/>
  <c r="N72" i="20"/>
  <c r="O72" i="20"/>
  <c r="P72" i="20"/>
  <c r="R72" i="20" s="1"/>
  <c r="Q72" i="20"/>
  <c r="L73" i="20"/>
  <c r="M73" i="20"/>
  <c r="N73" i="20"/>
  <c r="O73" i="20"/>
  <c r="P73" i="20"/>
  <c r="Q73" i="20"/>
  <c r="L74" i="20"/>
  <c r="M74" i="20"/>
  <c r="N74" i="20"/>
  <c r="O74" i="20"/>
  <c r="P74" i="20"/>
  <c r="R74" i="20" s="1"/>
  <c r="Q74" i="20"/>
  <c r="L75" i="20"/>
  <c r="M75" i="20"/>
  <c r="N75" i="20"/>
  <c r="O75" i="20"/>
  <c r="P75" i="20"/>
  <c r="Q75" i="20"/>
  <c r="L76" i="20"/>
  <c r="M76" i="20"/>
  <c r="N76" i="20"/>
  <c r="O76" i="20"/>
  <c r="P76" i="20"/>
  <c r="R76" i="20" s="1"/>
  <c r="Q76" i="20"/>
  <c r="L77" i="20"/>
  <c r="M77" i="20"/>
  <c r="N77" i="20"/>
  <c r="O77" i="20"/>
  <c r="P77" i="20"/>
  <c r="Q77" i="20"/>
  <c r="L78" i="20"/>
  <c r="M78" i="20"/>
  <c r="N78" i="20"/>
  <c r="O78" i="20"/>
  <c r="P78" i="20"/>
  <c r="R78" i="20" s="1"/>
  <c r="Q78" i="20"/>
  <c r="L91" i="20"/>
  <c r="M91" i="20"/>
  <c r="N91" i="20"/>
  <c r="O91" i="20"/>
  <c r="P91" i="20"/>
  <c r="R91" i="20" s="1"/>
  <c r="Q91" i="20"/>
  <c r="L92" i="20"/>
  <c r="M92" i="20"/>
  <c r="N92" i="20"/>
  <c r="O92" i="20"/>
  <c r="P92" i="20"/>
  <c r="Q92" i="20"/>
  <c r="L93" i="20"/>
  <c r="M93" i="20"/>
  <c r="N93" i="20"/>
  <c r="O93" i="20"/>
  <c r="P93" i="20"/>
  <c r="R93" i="20" s="1"/>
  <c r="Q93" i="20"/>
  <c r="L94" i="20"/>
  <c r="M94" i="20"/>
  <c r="N94" i="20"/>
  <c r="O94" i="20"/>
  <c r="P94" i="20"/>
  <c r="R94" i="20" s="1"/>
  <c r="Q94" i="20"/>
  <c r="L95" i="20"/>
  <c r="M95" i="20"/>
  <c r="N95" i="20"/>
  <c r="O95" i="20"/>
  <c r="P95" i="20"/>
  <c r="R95" i="20" s="1"/>
  <c r="Q95" i="20"/>
  <c r="L96" i="20"/>
  <c r="M96" i="20"/>
  <c r="N96" i="20"/>
  <c r="O96" i="20"/>
  <c r="P96" i="20"/>
  <c r="R96" i="20" s="1"/>
  <c r="Q96" i="20"/>
  <c r="L97" i="20"/>
  <c r="M97" i="20"/>
  <c r="N97" i="20"/>
  <c r="O97" i="20"/>
  <c r="P97" i="20"/>
  <c r="R97" i="20" s="1"/>
  <c r="Q97" i="20"/>
  <c r="L98" i="20"/>
  <c r="M98" i="20"/>
  <c r="N98" i="20"/>
  <c r="O98" i="20"/>
  <c r="P98" i="20"/>
  <c r="R98" i="20" s="1"/>
  <c r="Q98" i="20"/>
  <c r="L99" i="20"/>
  <c r="M99" i="20"/>
  <c r="N99" i="20"/>
  <c r="O99" i="20"/>
  <c r="P99" i="20"/>
  <c r="R99" i="20" s="1"/>
  <c r="Q99" i="20"/>
  <c r="L100" i="20"/>
  <c r="M100" i="20"/>
  <c r="N100" i="20"/>
  <c r="O100" i="20"/>
  <c r="P100" i="20"/>
  <c r="R100" i="20" s="1"/>
  <c r="Q100" i="20"/>
  <c r="L101" i="20"/>
  <c r="M101" i="20"/>
  <c r="N101" i="20"/>
  <c r="O101" i="20"/>
  <c r="P101" i="20"/>
  <c r="R101" i="20" s="1"/>
  <c r="Q101" i="20"/>
  <c r="L102" i="20"/>
  <c r="M102" i="20"/>
  <c r="N102" i="20"/>
  <c r="O102" i="20"/>
  <c r="P102" i="20"/>
  <c r="R102" i="20" s="1"/>
  <c r="Q102" i="20"/>
  <c r="L103" i="20"/>
  <c r="M103" i="20"/>
  <c r="N103" i="20"/>
  <c r="O103" i="20"/>
  <c r="P103" i="20"/>
  <c r="R103" i="20" s="1"/>
  <c r="Q103" i="20"/>
  <c r="L104" i="20"/>
  <c r="M104" i="20"/>
  <c r="N104" i="20"/>
  <c r="O104" i="20"/>
  <c r="P104" i="20"/>
  <c r="Q104" i="20"/>
  <c r="L105" i="20"/>
  <c r="M105" i="20"/>
  <c r="N105" i="20"/>
  <c r="O105" i="20"/>
  <c r="P105" i="20"/>
  <c r="R105" i="20" s="1"/>
  <c r="Q105" i="20"/>
  <c r="L106" i="20"/>
  <c r="M106" i="20"/>
  <c r="N106" i="20"/>
  <c r="O106" i="20"/>
  <c r="P106" i="20"/>
  <c r="Q106" i="20"/>
  <c r="R33" i="20"/>
  <c r="R49" i="20"/>
  <c r="AB4" i="10"/>
  <c r="AB5" i="10" s="1"/>
  <c r="AB6" i="10" s="1"/>
  <c r="AB7" i="10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AB20" i="10" s="1"/>
  <c r="AB21" i="10" s="1"/>
  <c r="AB22" i="10" s="1"/>
  <c r="AB23" i="10" s="1"/>
  <c r="AB24" i="10" s="1"/>
  <c r="AB25" i="10" s="1"/>
  <c r="AB26" i="10" s="1"/>
  <c r="AB27" i="10" s="1"/>
  <c r="AB28" i="10" s="1"/>
  <c r="D30" i="29"/>
  <c r="E27" i="29"/>
  <c r="E28" i="29"/>
  <c r="E29" i="29"/>
  <c r="D27" i="29"/>
  <c r="D28" i="29"/>
  <c r="D29" i="29"/>
  <c r="E30" i="29"/>
  <c r="D34" i="29"/>
  <c r="E31" i="29"/>
  <c r="E32" i="29"/>
  <c r="E33" i="29"/>
  <c r="D31" i="29"/>
  <c r="D32" i="29"/>
  <c r="D33" i="29"/>
  <c r="E34" i="29"/>
  <c r="D38" i="29"/>
  <c r="E35" i="29"/>
  <c r="E36" i="29"/>
  <c r="E37" i="29"/>
  <c r="D35" i="29"/>
  <c r="D36" i="29"/>
  <c r="D37" i="29"/>
  <c r="E38" i="29"/>
  <c r="D42" i="29"/>
  <c r="E39" i="29"/>
  <c r="E40" i="29"/>
  <c r="E41" i="29"/>
  <c r="D39" i="29"/>
  <c r="D40" i="29"/>
  <c r="D41" i="29"/>
  <c r="E42" i="29"/>
  <c r="D46" i="29"/>
  <c r="E43" i="29"/>
  <c r="E44" i="29"/>
  <c r="E45" i="29"/>
  <c r="D43" i="29"/>
  <c r="D44" i="29"/>
  <c r="D45" i="29"/>
  <c r="E46" i="29"/>
  <c r="D50" i="29"/>
  <c r="E47" i="29"/>
  <c r="E48" i="29"/>
  <c r="E49" i="29"/>
  <c r="D47" i="29"/>
  <c r="D48" i="29"/>
  <c r="D49" i="29"/>
  <c r="E50" i="29"/>
  <c r="D54" i="29"/>
  <c r="E51" i="29"/>
  <c r="E52" i="29"/>
  <c r="E53" i="29"/>
  <c r="D51" i="29"/>
  <c r="D52" i="29"/>
  <c r="D53" i="29"/>
  <c r="E54" i="29"/>
  <c r="D58" i="29"/>
  <c r="E55" i="29"/>
  <c r="E56" i="29"/>
  <c r="E57" i="29"/>
  <c r="D55" i="29"/>
  <c r="D56" i="29"/>
  <c r="D57" i="29"/>
  <c r="E58" i="29"/>
  <c r="D62" i="29"/>
  <c r="E59" i="29"/>
  <c r="E60" i="29"/>
  <c r="E61" i="29"/>
  <c r="D59" i="29"/>
  <c r="D60" i="29"/>
  <c r="D61" i="29"/>
  <c r="E62" i="29"/>
  <c r="D66" i="29"/>
  <c r="E63" i="29"/>
  <c r="E64" i="29"/>
  <c r="E65" i="29"/>
  <c r="D63" i="29"/>
  <c r="D64" i="29"/>
  <c r="D65" i="29"/>
  <c r="E66" i="29"/>
  <c r="D70" i="29"/>
  <c r="E67" i="29"/>
  <c r="E68" i="29"/>
  <c r="E69" i="29"/>
  <c r="D67" i="29"/>
  <c r="D68" i="29"/>
  <c r="D69" i="29"/>
  <c r="E70" i="29"/>
  <c r="D74" i="29"/>
  <c r="E71" i="29"/>
  <c r="E72" i="29"/>
  <c r="E73" i="29"/>
  <c r="D71" i="29"/>
  <c r="D72" i="29"/>
  <c r="D73" i="29"/>
  <c r="E74" i="29"/>
  <c r="D78" i="29"/>
  <c r="E75" i="29"/>
  <c r="E76" i="29"/>
  <c r="E77" i="29"/>
  <c r="D75" i="29"/>
  <c r="D76" i="29"/>
  <c r="D77" i="29"/>
  <c r="E78" i="29"/>
  <c r="D82" i="29"/>
  <c r="E79" i="29"/>
  <c r="E80" i="29"/>
  <c r="E81" i="29"/>
  <c r="D79" i="29"/>
  <c r="D80" i="29"/>
  <c r="D81" i="29"/>
  <c r="E82" i="29"/>
  <c r="D86" i="29"/>
  <c r="E83" i="29"/>
  <c r="E84" i="29"/>
  <c r="E85" i="29"/>
  <c r="D83" i="29"/>
  <c r="D84" i="29"/>
  <c r="D85" i="29"/>
  <c r="E86" i="29"/>
  <c r="D90" i="29"/>
  <c r="E87" i="29"/>
  <c r="E88" i="29"/>
  <c r="E89" i="29"/>
  <c r="D87" i="29"/>
  <c r="D88" i="29"/>
  <c r="D89" i="29"/>
  <c r="E90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H27" i="29"/>
  <c r="H28" i="29"/>
  <c r="R29" i="29"/>
  <c r="H29" i="29"/>
  <c r="H30" i="29"/>
  <c r="J30" i="29" s="1"/>
  <c r="H31" i="29"/>
  <c r="J31" i="29" s="1"/>
  <c r="H32" i="29"/>
  <c r="J32" i="29" s="1"/>
  <c r="R33" i="29"/>
  <c r="H33" i="29"/>
  <c r="J33" i="29" s="1"/>
  <c r="H34" i="29"/>
  <c r="J34" i="29" s="1"/>
  <c r="H35" i="29"/>
  <c r="J35" i="29" s="1"/>
  <c r="H36" i="29"/>
  <c r="J36" i="29" s="1"/>
  <c r="R37" i="29"/>
  <c r="H37" i="29"/>
  <c r="H38" i="29"/>
  <c r="J38" i="29" s="1"/>
  <c r="H39" i="29"/>
  <c r="J39" i="29" s="1"/>
  <c r="H40" i="29"/>
  <c r="R41" i="29"/>
  <c r="H41" i="29"/>
  <c r="J41" i="29" s="1"/>
  <c r="H42" i="29"/>
  <c r="H43" i="29"/>
  <c r="H44" i="29"/>
  <c r="J44" i="29" s="1"/>
  <c r="R45" i="29"/>
  <c r="H45" i="29"/>
  <c r="H46" i="29"/>
  <c r="J46" i="29" s="1"/>
  <c r="H47" i="29"/>
  <c r="J47" i="29" s="1"/>
  <c r="H48" i="29"/>
  <c r="J48" i="29" s="1"/>
  <c r="R49" i="29"/>
  <c r="H49" i="29"/>
  <c r="H50" i="29"/>
  <c r="J50" i="29" s="1"/>
  <c r="H51" i="29"/>
  <c r="H52" i="29"/>
  <c r="J52" i="29" s="1"/>
  <c r="R53" i="29"/>
  <c r="H53" i="29"/>
  <c r="H54" i="29"/>
  <c r="J54" i="29" s="1"/>
  <c r="H55" i="29"/>
  <c r="J55" i="29" s="1"/>
  <c r="H56" i="29"/>
  <c r="J56" i="29" s="1"/>
  <c r="R57" i="29"/>
  <c r="H57" i="29"/>
  <c r="J57" i="29" s="1"/>
  <c r="H58" i="29"/>
  <c r="J58" i="29" s="1"/>
  <c r="H59" i="29"/>
  <c r="J59" i="29" s="1"/>
  <c r="H60" i="29"/>
  <c r="J60" i="29" s="1"/>
  <c r="H61" i="29"/>
  <c r="H62" i="29"/>
  <c r="J62" i="29" s="1"/>
  <c r="H63" i="29"/>
  <c r="J63" i="29" s="1"/>
  <c r="H64" i="29"/>
  <c r="J64" i="29" s="1"/>
  <c r="H65" i="29"/>
  <c r="J65" i="29" s="1"/>
  <c r="H66" i="29"/>
  <c r="J66" i="29" s="1"/>
  <c r="H67" i="29"/>
  <c r="J67" i="29" s="1"/>
  <c r="H68" i="29"/>
  <c r="J68" i="29" s="1"/>
  <c r="H69" i="29"/>
  <c r="H70" i="29"/>
  <c r="J70" i="29" s="1"/>
  <c r="H71" i="29"/>
  <c r="J71" i="29" s="1"/>
  <c r="H72" i="29"/>
  <c r="J72" i="29" s="1"/>
  <c r="H73" i="29"/>
  <c r="J73" i="29" s="1"/>
  <c r="H74" i="29"/>
  <c r="J74" i="29" s="1"/>
  <c r="H75" i="29"/>
  <c r="J75" i="29" s="1"/>
  <c r="H76" i="29"/>
  <c r="J76" i="29" s="1"/>
  <c r="H77" i="29"/>
  <c r="J77" i="29" s="1"/>
  <c r="H78" i="29"/>
  <c r="J78" i="29" s="1"/>
  <c r="H79" i="29"/>
  <c r="H80" i="29"/>
  <c r="J80" i="29" s="1"/>
  <c r="H81" i="29"/>
  <c r="J81" i="29" s="1"/>
  <c r="H82" i="29"/>
  <c r="J82" i="29" s="1"/>
  <c r="H83" i="29"/>
  <c r="H84" i="29"/>
  <c r="J84" i="29" s="1"/>
  <c r="R85" i="29"/>
  <c r="H85" i="29"/>
  <c r="J85" i="29" s="1"/>
  <c r="H86" i="29"/>
  <c r="J86" i="29" s="1"/>
  <c r="H87" i="29"/>
  <c r="J87" i="29" s="1"/>
  <c r="H88" i="29"/>
  <c r="J88" i="29" s="1"/>
  <c r="H89" i="29"/>
  <c r="S89" i="29" s="1"/>
  <c r="H90" i="29"/>
  <c r="J90" i="29" s="1"/>
  <c r="I27" i="29"/>
  <c r="I28" i="29"/>
  <c r="I29" i="29"/>
  <c r="T29" i="29" s="1"/>
  <c r="I30" i="29"/>
  <c r="I31" i="29"/>
  <c r="I32" i="29"/>
  <c r="I33" i="29"/>
  <c r="T33" i="29" s="1"/>
  <c r="I34" i="29"/>
  <c r="I35" i="29"/>
  <c r="I36" i="29"/>
  <c r="I37" i="29"/>
  <c r="T37" i="29" s="1"/>
  <c r="I38" i="29"/>
  <c r="I39" i="29"/>
  <c r="I40" i="29"/>
  <c r="I41" i="29"/>
  <c r="T41" i="29" s="1"/>
  <c r="I42" i="29"/>
  <c r="I43" i="29"/>
  <c r="T43" i="29" s="1"/>
  <c r="I44" i="29"/>
  <c r="I45" i="29"/>
  <c r="T45" i="29" s="1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T65" i="29" s="1"/>
  <c r="I66" i="29"/>
  <c r="I67" i="29"/>
  <c r="I68" i="29"/>
  <c r="I69" i="29"/>
  <c r="T69" i="29" s="1"/>
  <c r="I70" i="29"/>
  <c r="I71" i="29"/>
  <c r="I72" i="29"/>
  <c r="I73" i="29"/>
  <c r="T73" i="29" s="1"/>
  <c r="I74" i="29"/>
  <c r="I75" i="29"/>
  <c r="I76" i="29"/>
  <c r="I77" i="29"/>
  <c r="T77" i="29" s="1"/>
  <c r="I78" i="29"/>
  <c r="I79" i="29"/>
  <c r="I80" i="29"/>
  <c r="I81" i="29"/>
  <c r="T81" i="29" s="1"/>
  <c r="I82" i="29"/>
  <c r="I83" i="29"/>
  <c r="I84" i="29"/>
  <c r="I85" i="29"/>
  <c r="T85" i="29" s="1"/>
  <c r="I86" i="29"/>
  <c r="I87" i="29"/>
  <c r="I88" i="29"/>
  <c r="I89" i="29"/>
  <c r="T89" i="29" s="1"/>
  <c r="I90" i="29"/>
  <c r="AC30" i="29"/>
  <c r="AC29" i="29"/>
  <c r="AC28" i="29"/>
  <c r="AC27" i="29"/>
  <c r="AD27" i="29"/>
  <c r="AD28" i="29"/>
  <c r="AD29" i="29"/>
  <c r="AD30" i="29"/>
  <c r="AC34" i="29"/>
  <c r="AC33" i="29"/>
  <c r="AC32" i="29"/>
  <c r="AC31" i="29"/>
  <c r="AD31" i="29"/>
  <c r="AD32" i="29"/>
  <c r="AD33" i="29"/>
  <c r="AD34" i="29"/>
  <c r="AC38" i="29"/>
  <c r="AC37" i="29"/>
  <c r="AC36" i="29"/>
  <c r="AC35" i="29"/>
  <c r="AD35" i="29"/>
  <c r="AD36" i="29"/>
  <c r="AD37" i="29"/>
  <c r="AD38" i="29"/>
  <c r="AC42" i="29"/>
  <c r="AC41" i="29"/>
  <c r="AC40" i="29"/>
  <c r="AC39" i="29"/>
  <c r="AD39" i="29"/>
  <c r="AD40" i="29"/>
  <c r="AD41" i="29"/>
  <c r="AD42" i="29"/>
  <c r="AC46" i="29"/>
  <c r="AC45" i="29"/>
  <c r="AC44" i="29"/>
  <c r="AC43" i="29"/>
  <c r="AD43" i="29"/>
  <c r="AD44" i="29"/>
  <c r="AD45" i="29"/>
  <c r="AD46" i="29"/>
  <c r="AC50" i="29"/>
  <c r="AC49" i="29"/>
  <c r="AC48" i="29"/>
  <c r="AC47" i="29"/>
  <c r="AD47" i="29"/>
  <c r="AD48" i="29"/>
  <c r="AD49" i="29"/>
  <c r="AD50" i="29"/>
  <c r="AC54" i="29"/>
  <c r="AC53" i="29"/>
  <c r="AC52" i="29"/>
  <c r="AC51" i="29"/>
  <c r="AD51" i="29"/>
  <c r="AD52" i="29"/>
  <c r="AD53" i="29"/>
  <c r="AD54" i="29"/>
  <c r="AC58" i="29"/>
  <c r="AC57" i="29"/>
  <c r="AC56" i="29"/>
  <c r="AC55" i="29"/>
  <c r="AD55" i="29"/>
  <c r="AD56" i="29"/>
  <c r="AD57" i="29"/>
  <c r="AD58" i="29"/>
  <c r="AC62" i="29"/>
  <c r="AC61" i="29"/>
  <c r="AC60" i="29"/>
  <c r="AC59" i="29"/>
  <c r="AD59" i="29"/>
  <c r="AD60" i="29"/>
  <c r="AD61" i="29"/>
  <c r="AD62" i="29"/>
  <c r="AC66" i="29"/>
  <c r="AC65" i="29"/>
  <c r="AC64" i="29"/>
  <c r="AC63" i="29"/>
  <c r="AD63" i="29"/>
  <c r="AD64" i="29"/>
  <c r="AD65" i="29"/>
  <c r="AD66" i="29"/>
  <c r="AC70" i="29"/>
  <c r="AC69" i="29"/>
  <c r="AC68" i="29"/>
  <c r="AC67" i="29"/>
  <c r="AD67" i="29"/>
  <c r="AD68" i="29"/>
  <c r="AD69" i="29"/>
  <c r="AD70" i="29"/>
  <c r="AC74" i="29"/>
  <c r="AC73" i="29"/>
  <c r="AC72" i="29"/>
  <c r="AC71" i="29"/>
  <c r="AD71" i="29"/>
  <c r="AD72" i="29"/>
  <c r="AD73" i="29"/>
  <c r="AD74" i="29"/>
  <c r="AC78" i="29"/>
  <c r="AC77" i="29"/>
  <c r="AC76" i="29"/>
  <c r="AC75" i="29"/>
  <c r="AD75" i="29"/>
  <c r="AD76" i="29"/>
  <c r="AD77" i="29"/>
  <c r="AD78" i="29"/>
  <c r="AC82" i="29"/>
  <c r="AC81" i="29"/>
  <c r="AC80" i="29"/>
  <c r="AC79" i="29"/>
  <c r="AD79" i="29"/>
  <c r="AD80" i="29"/>
  <c r="AD81" i="29"/>
  <c r="AD82" i="29"/>
  <c r="AC86" i="29"/>
  <c r="AC85" i="29"/>
  <c r="AC84" i="29"/>
  <c r="AC83" i="29"/>
  <c r="AD83" i="29"/>
  <c r="AD84" i="29"/>
  <c r="AD85" i="29"/>
  <c r="AD86" i="29"/>
  <c r="AC90" i="29"/>
  <c r="AC89" i="29"/>
  <c r="AC88" i="29"/>
  <c r="AC87" i="29"/>
  <c r="AD87" i="29"/>
  <c r="AD88" i="29"/>
  <c r="AD89" i="29"/>
  <c r="AD90" i="29"/>
  <c r="AE27" i="29"/>
  <c r="AE28" i="29"/>
  <c r="AE29" i="29"/>
  <c r="AE30" i="29"/>
  <c r="AE31" i="29"/>
  <c r="AE32" i="29"/>
  <c r="AE33" i="29"/>
  <c r="AE34" i="29"/>
  <c r="AE35" i="29"/>
  <c r="AE36" i="29"/>
  <c r="AE37" i="29"/>
  <c r="AE38" i="29"/>
  <c r="AE39" i="29"/>
  <c r="AE40" i="29"/>
  <c r="AE41" i="29"/>
  <c r="AE42" i="29"/>
  <c r="AE43" i="29"/>
  <c r="AE44" i="29"/>
  <c r="AE45" i="29"/>
  <c r="AE46" i="29"/>
  <c r="AE47" i="29"/>
  <c r="AE48" i="29"/>
  <c r="AE49" i="29"/>
  <c r="AE50" i="29"/>
  <c r="AE51" i="29"/>
  <c r="AE52" i="29"/>
  <c r="AE53" i="29"/>
  <c r="AE54" i="29"/>
  <c r="AE55" i="29"/>
  <c r="AE56" i="29"/>
  <c r="AE57" i="29"/>
  <c r="AE58" i="29"/>
  <c r="AE59" i="29"/>
  <c r="AE60" i="29"/>
  <c r="AE61" i="29"/>
  <c r="AE62" i="29"/>
  <c r="AE63" i="29"/>
  <c r="AE64" i="29"/>
  <c r="AE65" i="29"/>
  <c r="AE66" i="29"/>
  <c r="AE67" i="29"/>
  <c r="AE68" i="29"/>
  <c r="AE69" i="29"/>
  <c r="AE70" i="29"/>
  <c r="AE71" i="29"/>
  <c r="AE72" i="29"/>
  <c r="AE73" i="29"/>
  <c r="AE74" i="29"/>
  <c r="AE75" i="29"/>
  <c r="AE76" i="29"/>
  <c r="AE77" i="29"/>
  <c r="AE78" i="29"/>
  <c r="AE79" i="29"/>
  <c r="AE80" i="29"/>
  <c r="AE81" i="29"/>
  <c r="AE82" i="29"/>
  <c r="AE83" i="29"/>
  <c r="AE84" i="29"/>
  <c r="AE85" i="29"/>
  <c r="AE86" i="29"/>
  <c r="AE87" i="29"/>
  <c r="AE88" i="29"/>
  <c r="AE89" i="29"/>
  <c r="AE90" i="29"/>
  <c r="AF27" i="29"/>
  <c r="AF28" i="29"/>
  <c r="AF29" i="29"/>
  <c r="AF30" i="29"/>
  <c r="AF31" i="29"/>
  <c r="AF32" i="29"/>
  <c r="AF33" i="29"/>
  <c r="AF34" i="29"/>
  <c r="AF35" i="29"/>
  <c r="AF36" i="29"/>
  <c r="AF37" i="29"/>
  <c r="AF38" i="29"/>
  <c r="AF39" i="29"/>
  <c r="AF40" i="29"/>
  <c r="AF41" i="29"/>
  <c r="AF42" i="29"/>
  <c r="AF43" i="29"/>
  <c r="AF44" i="29"/>
  <c r="AF45" i="29"/>
  <c r="AF46" i="29"/>
  <c r="AF47" i="29"/>
  <c r="AF48" i="29"/>
  <c r="AF49" i="29"/>
  <c r="AF50" i="29"/>
  <c r="AF51" i="29"/>
  <c r="AF52" i="29"/>
  <c r="AF53" i="29"/>
  <c r="AF54" i="29"/>
  <c r="AF55" i="29"/>
  <c r="AF56" i="29"/>
  <c r="AF57" i="29"/>
  <c r="AF58" i="29"/>
  <c r="AF59" i="29"/>
  <c r="AF60" i="29"/>
  <c r="AF61" i="29"/>
  <c r="AF62" i="29"/>
  <c r="AF63" i="29"/>
  <c r="AF64" i="29"/>
  <c r="AF65" i="29"/>
  <c r="AF66" i="29"/>
  <c r="AF67" i="29"/>
  <c r="AF68" i="29"/>
  <c r="AF69" i="29"/>
  <c r="AF70" i="29"/>
  <c r="AF71" i="29"/>
  <c r="AF72" i="29"/>
  <c r="AF73" i="29"/>
  <c r="AF74" i="29"/>
  <c r="AF75" i="29"/>
  <c r="AF76" i="29"/>
  <c r="AF77" i="29"/>
  <c r="AF78" i="29"/>
  <c r="AF79" i="29"/>
  <c r="AF80" i="29"/>
  <c r="AF81" i="29"/>
  <c r="AF82" i="29"/>
  <c r="AF83" i="29"/>
  <c r="AF84" i="29"/>
  <c r="AF85" i="29"/>
  <c r="AF86" i="29"/>
  <c r="AF87" i="29"/>
  <c r="AF88" i="29"/>
  <c r="AF89" i="29"/>
  <c r="AF90" i="29"/>
  <c r="AG27" i="29"/>
  <c r="AI27" i="29" s="1"/>
  <c r="AG28" i="29"/>
  <c r="AI28" i="29" s="1"/>
  <c r="AG29" i="29"/>
  <c r="AI29" i="29" s="1"/>
  <c r="AG30" i="29"/>
  <c r="AI30" i="29" s="1"/>
  <c r="AG31" i="29"/>
  <c r="AI31" i="29" s="1"/>
  <c r="AG32" i="29"/>
  <c r="AI32" i="29" s="1"/>
  <c r="AG33" i="29"/>
  <c r="AI33" i="29" s="1"/>
  <c r="AG34" i="29"/>
  <c r="AI34" i="29" s="1"/>
  <c r="AG35" i="29"/>
  <c r="AI35" i="29" s="1"/>
  <c r="AG36" i="29"/>
  <c r="AI36" i="29" s="1"/>
  <c r="AG37" i="29"/>
  <c r="AI37" i="29" s="1"/>
  <c r="AG38" i="29"/>
  <c r="AI38" i="29" s="1"/>
  <c r="AG39" i="29"/>
  <c r="AI39" i="29" s="1"/>
  <c r="AG40" i="29"/>
  <c r="AI40" i="29" s="1"/>
  <c r="AG41" i="29"/>
  <c r="AI41" i="29" s="1"/>
  <c r="AG42" i="29"/>
  <c r="AI42" i="29" s="1"/>
  <c r="AG43" i="29"/>
  <c r="AI43" i="29" s="1"/>
  <c r="AG44" i="29"/>
  <c r="AI44" i="29" s="1"/>
  <c r="AG45" i="29"/>
  <c r="AI45" i="29" s="1"/>
  <c r="AG46" i="29"/>
  <c r="AI46" i="29" s="1"/>
  <c r="AG47" i="29"/>
  <c r="AI47" i="29" s="1"/>
  <c r="AG48" i="29"/>
  <c r="AI48" i="29" s="1"/>
  <c r="AG49" i="29"/>
  <c r="AI49" i="29" s="1"/>
  <c r="AG50" i="29"/>
  <c r="AI50" i="29" s="1"/>
  <c r="AG51" i="29"/>
  <c r="AI51" i="29" s="1"/>
  <c r="AG52" i="29"/>
  <c r="AI52" i="29" s="1"/>
  <c r="AG53" i="29"/>
  <c r="AI53" i="29" s="1"/>
  <c r="AG54" i="29"/>
  <c r="AI54" i="29" s="1"/>
  <c r="AG55" i="29"/>
  <c r="AI55" i="29" s="1"/>
  <c r="AG56" i="29"/>
  <c r="AI56" i="29" s="1"/>
  <c r="AG57" i="29"/>
  <c r="AI57" i="29" s="1"/>
  <c r="AG58" i="29"/>
  <c r="AI58" i="29" s="1"/>
  <c r="AG59" i="29"/>
  <c r="AI59" i="29" s="1"/>
  <c r="AJ59" i="29" s="1"/>
  <c r="AG60" i="29"/>
  <c r="AI60" i="29" s="1"/>
  <c r="AG61" i="29"/>
  <c r="AI61" i="29" s="1"/>
  <c r="AJ61" i="29" s="1"/>
  <c r="AG62" i="29"/>
  <c r="AI62" i="29" s="1"/>
  <c r="AG63" i="29"/>
  <c r="AI63" i="29" s="1"/>
  <c r="AG64" i="29"/>
  <c r="AI64" i="29" s="1"/>
  <c r="AG65" i="29"/>
  <c r="AI65" i="29" s="1"/>
  <c r="AG66" i="29"/>
  <c r="AI66" i="29" s="1"/>
  <c r="AG67" i="29"/>
  <c r="AI67" i="29" s="1"/>
  <c r="AG68" i="29"/>
  <c r="AI68" i="29" s="1"/>
  <c r="AG69" i="29"/>
  <c r="AI69" i="29" s="1"/>
  <c r="AJ69" i="29" s="1"/>
  <c r="AG70" i="29"/>
  <c r="AI70" i="29" s="1"/>
  <c r="AG71" i="29"/>
  <c r="AI71" i="29" s="1"/>
  <c r="AG72" i="29"/>
  <c r="AI72" i="29" s="1"/>
  <c r="AG73" i="29"/>
  <c r="AI73" i="29" s="1"/>
  <c r="AJ73" i="29" s="1"/>
  <c r="AG74" i="29"/>
  <c r="AI74" i="29" s="1"/>
  <c r="AG75" i="29"/>
  <c r="AI75" i="29" s="1"/>
  <c r="AG76" i="29"/>
  <c r="AI76" i="29" s="1"/>
  <c r="AG77" i="29"/>
  <c r="AI77" i="29" s="1"/>
  <c r="AJ77" i="29" s="1"/>
  <c r="AG78" i="29"/>
  <c r="AI78" i="29" s="1"/>
  <c r="AG79" i="29"/>
  <c r="AI79" i="29" s="1"/>
  <c r="AG80" i="29"/>
  <c r="AI80" i="29" s="1"/>
  <c r="AG81" i="29"/>
  <c r="AI81" i="29" s="1"/>
  <c r="AJ81" i="29" s="1"/>
  <c r="AG82" i="29"/>
  <c r="AI82" i="29" s="1"/>
  <c r="AG83" i="29"/>
  <c r="AI83" i="29" s="1"/>
  <c r="AG84" i="29"/>
  <c r="AI84" i="29" s="1"/>
  <c r="AG85" i="29"/>
  <c r="AI85" i="29" s="1"/>
  <c r="AG86" i="29"/>
  <c r="AI86" i="29" s="1"/>
  <c r="AG87" i="29"/>
  <c r="AI87" i="29" s="1"/>
  <c r="AG88" i="29"/>
  <c r="AI88" i="29" s="1"/>
  <c r="AG89" i="29"/>
  <c r="AI89" i="29" s="1"/>
  <c r="AJ89" i="29" s="1"/>
  <c r="AG90" i="29"/>
  <c r="AI90" i="29" s="1"/>
  <c r="AH27" i="29"/>
  <c r="AH28" i="29"/>
  <c r="AH29" i="29"/>
  <c r="AK29" i="29" s="1"/>
  <c r="AH30" i="29"/>
  <c r="AH31" i="29"/>
  <c r="AH32" i="29"/>
  <c r="AH33" i="29"/>
  <c r="AK33" i="29" s="1"/>
  <c r="AH34" i="29"/>
  <c r="AH35" i="29"/>
  <c r="AH36" i="29"/>
  <c r="AH37" i="29"/>
  <c r="AK37" i="29" s="1"/>
  <c r="AH38" i="29"/>
  <c r="AH39" i="29"/>
  <c r="AH40" i="29"/>
  <c r="AH41" i="29"/>
  <c r="AH42" i="29"/>
  <c r="AH43" i="29"/>
  <c r="AH44" i="29"/>
  <c r="AH45" i="29"/>
  <c r="AH46" i="29"/>
  <c r="AH47" i="29"/>
  <c r="AH48" i="29"/>
  <c r="AH49" i="29"/>
  <c r="AH50" i="29"/>
  <c r="AH51" i="29"/>
  <c r="AH52" i="29"/>
  <c r="AH53" i="29"/>
  <c r="AH54" i="29"/>
  <c r="AH55" i="29"/>
  <c r="AH56" i="29"/>
  <c r="AH57" i="29"/>
  <c r="AH58" i="29"/>
  <c r="AH59" i="29"/>
  <c r="AH60" i="29"/>
  <c r="AH61" i="29"/>
  <c r="AH62" i="29"/>
  <c r="AH63" i="29"/>
  <c r="AH64" i="29"/>
  <c r="AH65" i="29"/>
  <c r="AH66" i="29"/>
  <c r="AH67" i="29"/>
  <c r="AH68" i="29"/>
  <c r="AH69" i="29"/>
  <c r="AH70" i="29"/>
  <c r="AH71" i="29"/>
  <c r="AH72" i="29"/>
  <c r="AH73" i="29"/>
  <c r="AH74" i="29"/>
  <c r="AH75" i="29"/>
  <c r="AH76" i="29"/>
  <c r="AH77" i="29"/>
  <c r="AH78" i="29"/>
  <c r="AH79" i="29"/>
  <c r="AH80" i="29"/>
  <c r="AH81" i="29"/>
  <c r="AH82" i="29"/>
  <c r="AH83" i="29"/>
  <c r="AH84" i="29"/>
  <c r="AH85" i="29"/>
  <c r="AH86" i="29"/>
  <c r="AH87" i="29"/>
  <c r="AH88" i="29"/>
  <c r="AH89" i="29"/>
  <c r="AH90" i="29"/>
  <c r="D94" i="29"/>
  <c r="E91" i="29"/>
  <c r="E92" i="29"/>
  <c r="E93" i="29"/>
  <c r="D91" i="29"/>
  <c r="D92" i="29"/>
  <c r="D93" i="29"/>
  <c r="E94" i="29"/>
  <c r="D98" i="29"/>
  <c r="E95" i="29"/>
  <c r="E96" i="29"/>
  <c r="E97" i="29"/>
  <c r="D95" i="29"/>
  <c r="D96" i="29"/>
  <c r="D97" i="29"/>
  <c r="E98" i="29"/>
  <c r="D102" i="29"/>
  <c r="E99" i="29"/>
  <c r="E100" i="29"/>
  <c r="E101" i="29"/>
  <c r="D99" i="29"/>
  <c r="D100" i="29"/>
  <c r="D101" i="29"/>
  <c r="E102" i="29"/>
  <c r="D106" i="29"/>
  <c r="E103" i="29"/>
  <c r="E104" i="29"/>
  <c r="E105" i="29"/>
  <c r="D103" i="29"/>
  <c r="D104" i="29"/>
  <c r="D105" i="29"/>
  <c r="E106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H91" i="29"/>
  <c r="J91" i="29" s="1"/>
  <c r="H92" i="29"/>
  <c r="J92" i="29" s="1"/>
  <c r="H93" i="29"/>
  <c r="J93" i="29" s="1"/>
  <c r="H94" i="29"/>
  <c r="J94" i="29" s="1"/>
  <c r="H95" i="29"/>
  <c r="J95" i="29" s="1"/>
  <c r="H96" i="29"/>
  <c r="J96" i="29" s="1"/>
  <c r="H97" i="29"/>
  <c r="J97" i="29" s="1"/>
  <c r="H98" i="29"/>
  <c r="J98" i="29" s="1"/>
  <c r="H99" i="29"/>
  <c r="H100" i="29"/>
  <c r="J100" i="29" s="1"/>
  <c r="H101" i="29"/>
  <c r="S101" i="29" s="1"/>
  <c r="H102" i="29"/>
  <c r="J102" i="29" s="1"/>
  <c r="H103" i="29"/>
  <c r="H104" i="29"/>
  <c r="H105" i="29"/>
  <c r="J105" i="29" s="1"/>
  <c r="H106" i="29"/>
  <c r="I91" i="29"/>
  <c r="I92" i="29"/>
  <c r="I93" i="29"/>
  <c r="T93" i="29" s="1"/>
  <c r="I94" i="29"/>
  <c r="I95" i="29"/>
  <c r="I96" i="29"/>
  <c r="I97" i="29"/>
  <c r="I98" i="29"/>
  <c r="AH99" i="29"/>
  <c r="I99" i="29"/>
  <c r="I100" i="29"/>
  <c r="I101" i="29"/>
  <c r="I102" i="29"/>
  <c r="I103" i="29"/>
  <c r="I104" i="29"/>
  <c r="I105" i="29"/>
  <c r="T105" i="29" s="1"/>
  <c r="I106" i="29"/>
  <c r="AC94" i="29"/>
  <c r="AC93" i="29"/>
  <c r="AC92" i="29"/>
  <c r="AC91" i="29"/>
  <c r="AD91" i="29"/>
  <c r="AD92" i="29"/>
  <c r="AD93" i="29"/>
  <c r="AD94" i="29"/>
  <c r="AC98" i="29"/>
  <c r="AC97" i="29"/>
  <c r="AC96" i="29"/>
  <c r="AC95" i="29"/>
  <c r="AD95" i="29"/>
  <c r="AD96" i="29"/>
  <c r="AD97" i="29"/>
  <c r="AD98" i="29"/>
  <c r="AC102" i="29"/>
  <c r="AC101" i="29"/>
  <c r="AC100" i="29"/>
  <c r="AC99" i="29"/>
  <c r="AD99" i="29"/>
  <c r="AD100" i="29"/>
  <c r="AD101" i="29"/>
  <c r="AD102" i="29"/>
  <c r="AC106" i="29"/>
  <c r="AC105" i="29"/>
  <c r="AC104" i="29"/>
  <c r="AC103" i="29"/>
  <c r="AD103" i="29"/>
  <c r="AD104" i="29"/>
  <c r="AD105" i="29"/>
  <c r="AD106" i="29"/>
  <c r="AE91" i="29"/>
  <c r="AE92" i="29"/>
  <c r="AE93" i="29"/>
  <c r="AE94" i="29"/>
  <c r="AE95" i="29"/>
  <c r="AE96" i="29"/>
  <c r="AE97" i="29"/>
  <c r="AE98" i="29"/>
  <c r="AE99" i="29"/>
  <c r="AE100" i="29"/>
  <c r="AE101" i="29"/>
  <c r="AE102" i="29"/>
  <c r="AE103" i="29"/>
  <c r="AE104" i="29"/>
  <c r="AE105" i="29"/>
  <c r="AE106" i="29"/>
  <c r="AF91" i="29"/>
  <c r="AF92" i="29"/>
  <c r="AF93" i="29"/>
  <c r="AF94" i="29"/>
  <c r="AF95" i="29"/>
  <c r="AF96" i="29"/>
  <c r="AF97" i="29"/>
  <c r="AF98" i="29"/>
  <c r="AF99" i="29"/>
  <c r="AF100" i="29"/>
  <c r="AF101" i="29"/>
  <c r="AF102" i="29"/>
  <c r="AF103" i="29"/>
  <c r="AF104" i="29"/>
  <c r="AF105" i="29"/>
  <c r="AF106" i="29"/>
  <c r="AG91" i="29"/>
  <c r="AI91" i="29" s="1"/>
  <c r="AG92" i="29"/>
  <c r="AI92" i="29" s="1"/>
  <c r="AG93" i="29"/>
  <c r="AI93" i="29" s="1"/>
  <c r="AG94" i="29"/>
  <c r="AI94" i="29" s="1"/>
  <c r="AG95" i="29"/>
  <c r="AI95" i="29" s="1"/>
  <c r="AG96" i="29"/>
  <c r="AI96" i="29" s="1"/>
  <c r="R97" i="29"/>
  <c r="AG97" i="29"/>
  <c r="AI97" i="29" s="1"/>
  <c r="AG98" i="29"/>
  <c r="AI98" i="29" s="1"/>
  <c r="AG99" i="29"/>
  <c r="AI99" i="29" s="1"/>
  <c r="AG100" i="29"/>
  <c r="AI100" i="29" s="1"/>
  <c r="R101" i="29"/>
  <c r="AG101" i="29"/>
  <c r="AI101" i="29" s="1"/>
  <c r="AG102" i="29"/>
  <c r="AI102" i="29" s="1"/>
  <c r="AG103" i="29"/>
  <c r="AI103" i="29" s="1"/>
  <c r="AG104" i="29"/>
  <c r="AI104" i="29" s="1"/>
  <c r="AG105" i="29"/>
  <c r="AI105" i="29" s="1"/>
  <c r="AG106" i="29"/>
  <c r="AI106" i="29" s="1"/>
  <c r="AH91" i="29"/>
  <c r="AH92" i="29"/>
  <c r="AH93" i="29"/>
  <c r="AH94" i="29"/>
  <c r="AH95" i="29"/>
  <c r="AH96" i="29"/>
  <c r="AH97" i="29"/>
  <c r="AH98" i="29"/>
  <c r="AH100" i="29"/>
  <c r="AH101" i="29"/>
  <c r="AH102" i="29"/>
  <c r="AH103" i="29"/>
  <c r="AH104" i="29"/>
  <c r="AH105" i="29"/>
  <c r="AH106" i="29"/>
  <c r="D30" i="25"/>
  <c r="E27" i="25"/>
  <c r="E28" i="25"/>
  <c r="E29" i="25"/>
  <c r="D27" i="25"/>
  <c r="D28" i="25"/>
  <c r="D29" i="25"/>
  <c r="E30" i="25"/>
  <c r="D34" i="25"/>
  <c r="E31" i="25"/>
  <c r="E32" i="25"/>
  <c r="E33" i="25"/>
  <c r="D31" i="25"/>
  <c r="D32" i="25"/>
  <c r="D33" i="25"/>
  <c r="E34" i="25"/>
  <c r="D38" i="25"/>
  <c r="E35" i="25"/>
  <c r="E36" i="25"/>
  <c r="E37" i="25"/>
  <c r="D35" i="25"/>
  <c r="D36" i="25"/>
  <c r="D37" i="25"/>
  <c r="E38" i="25"/>
  <c r="D42" i="25"/>
  <c r="E39" i="25"/>
  <c r="E40" i="25"/>
  <c r="E41" i="25"/>
  <c r="D39" i="25"/>
  <c r="D40" i="25"/>
  <c r="D41" i="25"/>
  <c r="E42" i="25"/>
  <c r="D46" i="25"/>
  <c r="E43" i="25"/>
  <c r="E44" i="25"/>
  <c r="E45" i="25"/>
  <c r="D43" i="25"/>
  <c r="D44" i="25"/>
  <c r="D45" i="25"/>
  <c r="E46" i="25"/>
  <c r="D50" i="25"/>
  <c r="E47" i="25"/>
  <c r="E48" i="25"/>
  <c r="E49" i="25"/>
  <c r="D47" i="25"/>
  <c r="D48" i="25"/>
  <c r="D49" i="25"/>
  <c r="E50" i="25"/>
  <c r="D54" i="25"/>
  <c r="E51" i="25"/>
  <c r="E52" i="25"/>
  <c r="E53" i="25"/>
  <c r="D51" i="25"/>
  <c r="D52" i="25"/>
  <c r="D53" i="25"/>
  <c r="E54" i="25"/>
  <c r="D58" i="25"/>
  <c r="E55" i="25"/>
  <c r="E56" i="25"/>
  <c r="E57" i="25"/>
  <c r="D55" i="25"/>
  <c r="D56" i="25"/>
  <c r="D57" i="25"/>
  <c r="E58" i="25"/>
  <c r="D62" i="25"/>
  <c r="E59" i="25"/>
  <c r="E60" i="25"/>
  <c r="E61" i="25"/>
  <c r="D59" i="25"/>
  <c r="D60" i="25"/>
  <c r="D61" i="25"/>
  <c r="E62" i="25"/>
  <c r="D66" i="25"/>
  <c r="E63" i="25"/>
  <c r="E64" i="25"/>
  <c r="E65" i="25"/>
  <c r="D63" i="25"/>
  <c r="D64" i="25"/>
  <c r="D65" i="25"/>
  <c r="E66" i="25"/>
  <c r="D70" i="25"/>
  <c r="E67" i="25"/>
  <c r="E68" i="25"/>
  <c r="E69" i="25"/>
  <c r="D67" i="25"/>
  <c r="D68" i="25"/>
  <c r="D69" i="25"/>
  <c r="E70" i="25"/>
  <c r="D74" i="25"/>
  <c r="E71" i="25"/>
  <c r="E72" i="25"/>
  <c r="E73" i="25"/>
  <c r="D71" i="25"/>
  <c r="D72" i="25"/>
  <c r="D73" i="25"/>
  <c r="E74" i="25"/>
  <c r="D78" i="25"/>
  <c r="E75" i="25"/>
  <c r="E76" i="25"/>
  <c r="E77" i="25"/>
  <c r="D75" i="25"/>
  <c r="D76" i="25"/>
  <c r="D77" i="25"/>
  <c r="E78" i="25"/>
  <c r="D82" i="25"/>
  <c r="E79" i="25"/>
  <c r="E80" i="25"/>
  <c r="E81" i="25"/>
  <c r="D79" i="25"/>
  <c r="D80" i="25"/>
  <c r="D81" i="25"/>
  <c r="E82" i="25"/>
  <c r="D86" i="25"/>
  <c r="E83" i="25"/>
  <c r="E84" i="25"/>
  <c r="E85" i="25"/>
  <c r="D83" i="25"/>
  <c r="D84" i="25"/>
  <c r="D85" i="25"/>
  <c r="E86" i="25"/>
  <c r="D90" i="25"/>
  <c r="E87" i="25"/>
  <c r="E88" i="25"/>
  <c r="E89" i="25"/>
  <c r="D87" i="25"/>
  <c r="D88" i="25"/>
  <c r="D89" i="25"/>
  <c r="E90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H27" i="25"/>
  <c r="J27" i="25" s="1"/>
  <c r="H28" i="25"/>
  <c r="H29" i="25"/>
  <c r="J29" i="25" s="1"/>
  <c r="H30" i="25"/>
  <c r="J30" i="25" s="1"/>
  <c r="H31" i="25"/>
  <c r="J31" i="25" s="1"/>
  <c r="H32" i="25"/>
  <c r="J32" i="25" s="1"/>
  <c r="H33" i="25"/>
  <c r="J33" i="25" s="1"/>
  <c r="H34" i="25"/>
  <c r="J34" i="25" s="1"/>
  <c r="H35" i="25"/>
  <c r="J35" i="25" s="1"/>
  <c r="H36" i="25"/>
  <c r="J36" i="25" s="1"/>
  <c r="H37" i="25"/>
  <c r="J37" i="25" s="1"/>
  <c r="H38" i="25"/>
  <c r="H39" i="25"/>
  <c r="J39" i="25" s="1"/>
  <c r="H40" i="25"/>
  <c r="J40" i="25" s="1"/>
  <c r="H41" i="25"/>
  <c r="J41" i="25" s="1"/>
  <c r="H42" i="25"/>
  <c r="J42" i="25" s="1"/>
  <c r="H43" i="25"/>
  <c r="H44" i="25"/>
  <c r="J44" i="25" s="1"/>
  <c r="R45" i="25"/>
  <c r="H45" i="25"/>
  <c r="J45" i="25" s="1"/>
  <c r="H46" i="25"/>
  <c r="J46" i="25" s="1"/>
  <c r="H47" i="25"/>
  <c r="J47" i="25" s="1"/>
  <c r="H48" i="25"/>
  <c r="J48" i="25" s="1"/>
  <c r="H49" i="25"/>
  <c r="J49" i="25" s="1"/>
  <c r="H50" i="25"/>
  <c r="J50" i="25" s="1"/>
  <c r="H51" i="25"/>
  <c r="J51" i="25" s="1"/>
  <c r="H52" i="25"/>
  <c r="H53" i="25"/>
  <c r="H54" i="25"/>
  <c r="J54" i="25" s="1"/>
  <c r="H55" i="25"/>
  <c r="J55" i="25" s="1"/>
  <c r="H56" i="25"/>
  <c r="J56" i="25" s="1"/>
  <c r="H57" i="25"/>
  <c r="J57" i="25" s="1"/>
  <c r="H58" i="25"/>
  <c r="J58" i="25" s="1"/>
  <c r="H59" i="25"/>
  <c r="J59" i="25" s="1"/>
  <c r="H60" i="25"/>
  <c r="J60" i="25" s="1"/>
  <c r="R61" i="25"/>
  <c r="H61" i="25"/>
  <c r="J61" i="25" s="1"/>
  <c r="H62" i="25"/>
  <c r="J62" i="25" s="1"/>
  <c r="H63" i="25"/>
  <c r="J63" i="25" s="1"/>
  <c r="H64" i="25"/>
  <c r="J64" i="25" s="1"/>
  <c r="R65" i="25"/>
  <c r="H65" i="25"/>
  <c r="J65" i="25" s="1"/>
  <c r="H66" i="25"/>
  <c r="H67" i="25"/>
  <c r="J67" i="25" s="1"/>
  <c r="H68" i="25"/>
  <c r="R69" i="25"/>
  <c r="H69" i="25"/>
  <c r="J69" i="25" s="1"/>
  <c r="H70" i="25"/>
  <c r="H71" i="25"/>
  <c r="J71" i="25" s="1"/>
  <c r="H72" i="25"/>
  <c r="J72" i="25" s="1"/>
  <c r="H73" i="25"/>
  <c r="J73" i="25" s="1"/>
  <c r="H74" i="25"/>
  <c r="H75" i="25"/>
  <c r="H76" i="25"/>
  <c r="J76" i="25" s="1"/>
  <c r="R77" i="25"/>
  <c r="H77" i="25"/>
  <c r="J77" i="25" s="1"/>
  <c r="H78" i="25"/>
  <c r="J78" i="25" s="1"/>
  <c r="H79" i="25"/>
  <c r="J79" i="25" s="1"/>
  <c r="H80" i="25"/>
  <c r="AG81" i="25"/>
  <c r="AI81" i="25" s="1"/>
  <c r="H81" i="25"/>
  <c r="J81" i="25" s="1"/>
  <c r="H82" i="25"/>
  <c r="J82" i="25" s="1"/>
  <c r="H83" i="25"/>
  <c r="J83" i="25" s="1"/>
  <c r="H84" i="25"/>
  <c r="J84" i="25" s="1"/>
  <c r="H85" i="25"/>
  <c r="H86" i="25"/>
  <c r="J86" i="25" s="1"/>
  <c r="H87" i="25"/>
  <c r="J87" i="25" s="1"/>
  <c r="H88" i="25"/>
  <c r="R89" i="25"/>
  <c r="H89" i="25"/>
  <c r="S89" i="25" s="1"/>
  <c r="H90" i="25"/>
  <c r="J90" i="25" s="1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AH47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AH75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AC30" i="25"/>
  <c r="AC29" i="25"/>
  <c r="AC28" i="25"/>
  <c r="AC27" i="25"/>
  <c r="AD27" i="25"/>
  <c r="AD28" i="25"/>
  <c r="AD29" i="25"/>
  <c r="AD30" i="25"/>
  <c r="AC34" i="25"/>
  <c r="AC33" i="25"/>
  <c r="AC32" i="25"/>
  <c r="AC31" i="25"/>
  <c r="AD31" i="25"/>
  <c r="AD32" i="25"/>
  <c r="AD33" i="25"/>
  <c r="AD34" i="25"/>
  <c r="AC38" i="25"/>
  <c r="AC37" i="25"/>
  <c r="AC36" i="25"/>
  <c r="AC35" i="25"/>
  <c r="AD35" i="25"/>
  <c r="AD36" i="25"/>
  <c r="AD37" i="25"/>
  <c r="AD38" i="25"/>
  <c r="AC42" i="25"/>
  <c r="AC41" i="25"/>
  <c r="AC40" i="25"/>
  <c r="AC39" i="25"/>
  <c r="AD39" i="25"/>
  <c r="AD40" i="25"/>
  <c r="AD41" i="25"/>
  <c r="AD42" i="25"/>
  <c r="AC46" i="25"/>
  <c r="AC45" i="25"/>
  <c r="AC44" i="25"/>
  <c r="AC43" i="25"/>
  <c r="AD43" i="25"/>
  <c r="AD44" i="25"/>
  <c r="AD45" i="25"/>
  <c r="AD46" i="25"/>
  <c r="AC50" i="25"/>
  <c r="AC49" i="25"/>
  <c r="AC48" i="25"/>
  <c r="AC47" i="25"/>
  <c r="AD47" i="25"/>
  <c r="AD48" i="25"/>
  <c r="AD49" i="25"/>
  <c r="AD50" i="25"/>
  <c r="AC54" i="25"/>
  <c r="AC53" i="25"/>
  <c r="AC52" i="25"/>
  <c r="AC51" i="25"/>
  <c r="AD51" i="25"/>
  <c r="AD52" i="25"/>
  <c r="AD53" i="25"/>
  <c r="AD54" i="25"/>
  <c r="AC58" i="25"/>
  <c r="AC57" i="25"/>
  <c r="AC56" i="25"/>
  <c r="AC55" i="25"/>
  <c r="AD55" i="25"/>
  <c r="AD56" i="25"/>
  <c r="AD57" i="25"/>
  <c r="AD58" i="25"/>
  <c r="AC62" i="25"/>
  <c r="AC61" i="25"/>
  <c r="AC60" i="25"/>
  <c r="AC59" i="25"/>
  <c r="AD59" i="25"/>
  <c r="AD60" i="25"/>
  <c r="AD61" i="25"/>
  <c r="AD62" i="25"/>
  <c r="AC66" i="25"/>
  <c r="AC65" i="25"/>
  <c r="AC64" i="25"/>
  <c r="AC63" i="25"/>
  <c r="AD63" i="25"/>
  <c r="AD64" i="25"/>
  <c r="AD65" i="25"/>
  <c r="AD66" i="25"/>
  <c r="AC70" i="25"/>
  <c r="AC69" i="25"/>
  <c r="AC68" i="25"/>
  <c r="AC67" i="25"/>
  <c r="AD67" i="25"/>
  <c r="AD68" i="25"/>
  <c r="AD69" i="25"/>
  <c r="AD70" i="25"/>
  <c r="AC74" i="25"/>
  <c r="AC73" i="25"/>
  <c r="AC72" i="25"/>
  <c r="AC71" i="25"/>
  <c r="AD71" i="25"/>
  <c r="AD72" i="25"/>
  <c r="AD73" i="25"/>
  <c r="AD74" i="25"/>
  <c r="AC78" i="25"/>
  <c r="AC77" i="25"/>
  <c r="AC76" i="25"/>
  <c r="AC75" i="25"/>
  <c r="AD75" i="25"/>
  <c r="AD76" i="25"/>
  <c r="AD77" i="25"/>
  <c r="AD78" i="25"/>
  <c r="AC82" i="25"/>
  <c r="AC81" i="25"/>
  <c r="AC80" i="25"/>
  <c r="AC79" i="25"/>
  <c r="AD79" i="25"/>
  <c r="AD80" i="25"/>
  <c r="AD81" i="25"/>
  <c r="AD82" i="25"/>
  <c r="AC86" i="25"/>
  <c r="AC85" i="25"/>
  <c r="AC84" i="25"/>
  <c r="AC83" i="25"/>
  <c r="AD83" i="25"/>
  <c r="AD84" i="25"/>
  <c r="AD85" i="25"/>
  <c r="AD86" i="25"/>
  <c r="AC90" i="25"/>
  <c r="AC89" i="25"/>
  <c r="AC88" i="25"/>
  <c r="AC87" i="25"/>
  <c r="AD87" i="25"/>
  <c r="AD88" i="25"/>
  <c r="AD89" i="25"/>
  <c r="AD90" i="25"/>
  <c r="AE27" i="25"/>
  <c r="AE28" i="25"/>
  <c r="AE29" i="25"/>
  <c r="AE30" i="25"/>
  <c r="AE31" i="25"/>
  <c r="AE32" i="25"/>
  <c r="AE33" i="25"/>
  <c r="AE34" i="25"/>
  <c r="AE35" i="25"/>
  <c r="AE36" i="25"/>
  <c r="AE37" i="25"/>
  <c r="AE38" i="25"/>
  <c r="AE39" i="25"/>
  <c r="AE40" i="25"/>
  <c r="AE41" i="25"/>
  <c r="AE42" i="25"/>
  <c r="AE43" i="25"/>
  <c r="AE44" i="25"/>
  <c r="AE45" i="25"/>
  <c r="AE46" i="25"/>
  <c r="AE47" i="25"/>
  <c r="AE48" i="25"/>
  <c r="AE49" i="25"/>
  <c r="AE50" i="25"/>
  <c r="AE51" i="25"/>
  <c r="AE52" i="25"/>
  <c r="AE53" i="25"/>
  <c r="AE54" i="25"/>
  <c r="AE55" i="25"/>
  <c r="AE56" i="25"/>
  <c r="AE57" i="25"/>
  <c r="AE58" i="25"/>
  <c r="AE59" i="25"/>
  <c r="AE60" i="25"/>
  <c r="AE61" i="25"/>
  <c r="AE62" i="25"/>
  <c r="AE63" i="25"/>
  <c r="AE64" i="25"/>
  <c r="AE65" i="25"/>
  <c r="AE66" i="25"/>
  <c r="AE67" i="25"/>
  <c r="AE68" i="25"/>
  <c r="AE69" i="25"/>
  <c r="AE70" i="25"/>
  <c r="AE71" i="25"/>
  <c r="AE72" i="25"/>
  <c r="AE73" i="25"/>
  <c r="AE74" i="25"/>
  <c r="AE75" i="25"/>
  <c r="AE76" i="25"/>
  <c r="AE77" i="25"/>
  <c r="AE78" i="25"/>
  <c r="AE79" i="25"/>
  <c r="AE80" i="25"/>
  <c r="AE81" i="25"/>
  <c r="AE82" i="25"/>
  <c r="AE83" i="25"/>
  <c r="AE84" i="25"/>
  <c r="AE85" i="25"/>
  <c r="AE86" i="25"/>
  <c r="AE87" i="25"/>
  <c r="AE88" i="25"/>
  <c r="AE89" i="25"/>
  <c r="AE90" i="25"/>
  <c r="AF27" i="25"/>
  <c r="AF28" i="25"/>
  <c r="AF29" i="25"/>
  <c r="AF30" i="25"/>
  <c r="AF31" i="25"/>
  <c r="AF32" i="25"/>
  <c r="AF33" i="25"/>
  <c r="AF34" i="25"/>
  <c r="AF35" i="25"/>
  <c r="AF36" i="25"/>
  <c r="AF37" i="25"/>
  <c r="AF38" i="25"/>
  <c r="AF39" i="25"/>
  <c r="AF40" i="25"/>
  <c r="AF41" i="25"/>
  <c r="AF42" i="25"/>
  <c r="AF43" i="25"/>
  <c r="AF44" i="25"/>
  <c r="AF45" i="25"/>
  <c r="AF46" i="25"/>
  <c r="AF47" i="25"/>
  <c r="AF48" i="25"/>
  <c r="AF49" i="25"/>
  <c r="AF50" i="25"/>
  <c r="AF51" i="25"/>
  <c r="AF52" i="25"/>
  <c r="AF53" i="25"/>
  <c r="AF54" i="25"/>
  <c r="AF55" i="25"/>
  <c r="AF56" i="25"/>
  <c r="AF57" i="25"/>
  <c r="AF58" i="25"/>
  <c r="AF59" i="25"/>
  <c r="AF60" i="25"/>
  <c r="AF61" i="25"/>
  <c r="AF62" i="25"/>
  <c r="AF63" i="25"/>
  <c r="AF64" i="25"/>
  <c r="AF65" i="25"/>
  <c r="AF66" i="25"/>
  <c r="AF67" i="25"/>
  <c r="AF68" i="25"/>
  <c r="AF69" i="25"/>
  <c r="AF70" i="25"/>
  <c r="AF71" i="25"/>
  <c r="AF72" i="25"/>
  <c r="AF73" i="25"/>
  <c r="AF74" i="25"/>
  <c r="AF75" i="25"/>
  <c r="AF76" i="25"/>
  <c r="AF77" i="25"/>
  <c r="AF78" i="25"/>
  <c r="AF79" i="25"/>
  <c r="AF80" i="25"/>
  <c r="AF81" i="25"/>
  <c r="AF82" i="25"/>
  <c r="AF83" i="25"/>
  <c r="AF84" i="25"/>
  <c r="AF85" i="25"/>
  <c r="AF86" i="25"/>
  <c r="AF87" i="25"/>
  <c r="AF88" i="25"/>
  <c r="AF89" i="25"/>
  <c r="AF90" i="25"/>
  <c r="AG27" i="25"/>
  <c r="AI27" i="25" s="1"/>
  <c r="AG28" i="25"/>
  <c r="AI28" i="25" s="1"/>
  <c r="AG29" i="25"/>
  <c r="AI29" i="25" s="1"/>
  <c r="AG30" i="25"/>
  <c r="AI30" i="25" s="1"/>
  <c r="AG31" i="25"/>
  <c r="AI31" i="25" s="1"/>
  <c r="AG32" i="25"/>
  <c r="AI32" i="25" s="1"/>
  <c r="AG33" i="25"/>
  <c r="AI33" i="25" s="1"/>
  <c r="AG34" i="25"/>
  <c r="AI34" i="25" s="1"/>
  <c r="AG35" i="25"/>
  <c r="AI35" i="25" s="1"/>
  <c r="AG36" i="25"/>
  <c r="AI36" i="25" s="1"/>
  <c r="AG37" i="25"/>
  <c r="AI37" i="25" s="1"/>
  <c r="AG38" i="25"/>
  <c r="AI38" i="25" s="1"/>
  <c r="AG39" i="25"/>
  <c r="AI39" i="25" s="1"/>
  <c r="AG40" i="25"/>
  <c r="AI40" i="25" s="1"/>
  <c r="AG41" i="25"/>
  <c r="AI41" i="25" s="1"/>
  <c r="AG42" i="25"/>
  <c r="AI42" i="25" s="1"/>
  <c r="AG43" i="25"/>
  <c r="AI43" i="25" s="1"/>
  <c r="AG44" i="25"/>
  <c r="AI44" i="25" s="1"/>
  <c r="AG45" i="25"/>
  <c r="AI45" i="25" s="1"/>
  <c r="AG46" i="25"/>
  <c r="AI46" i="25" s="1"/>
  <c r="AG47" i="25"/>
  <c r="AI47" i="25" s="1"/>
  <c r="AG48" i="25"/>
  <c r="AI48" i="25" s="1"/>
  <c r="AG49" i="25"/>
  <c r="AI49" i="25" s="1"/>
  <c r="AG50" i="25"/>
  <c r="AI50" i="25" s="1"/>
  <c r="AG51" i="25"/>
  <c r="AI51" i="25" s="1"/>
  <c r="AG52" i="25"/>
  <c r="AI52" i="25" s="1"/>
  <c r="AG53" i="25"/>
  <c r="AI53" i="25" s="1"/>
  <c r="AG54" i="25"/>
  <c r="AI54" i="25" s="1"/>
  <c r="AG55" i="25"/>
  <c r="AI55" i="25" s="1"/>
  <c r="AG56" i="25"/>
  <c r="AI56" i="25" s="1"/>
  <c r="AG57" i="25"/>
  <c r="AI57" i="25" s="1"/>
  <c r="AG58" i="25"/>
  <c r="AI58" i="25" s="1"/>
  <c r="AG59" i="25"/>
  <c r="AI59" i="25" s="1"/>
  <c r="AG60" i="25"/>
  <c r="AI60" i="25" s="1"/>
  <c r="AG61" i="25"/>
  <c r="AI61" i="25" s="1"/>
  <c r="AG62" i="25"/>
  <c r="AI62" i="25" s="1"/>
  <c r="AG63" i="25"/>
  <c r="AI63" i="25" s="1"/>
  <c r="AG64" i="25"/>
  <c r="AI64" i="25" s="1"/>
  <c r="AG65" i="25"/>
  <c r="AI65" i="25" s="1"/>
  <c r="AG66" i="25"/>
  <c r="AI66" i="25" s="1"/>
  <c r="AG67" i="25"/>
  <c r="AI67" i="25" s="1"/>
  <c r="AG68" i="25"/>
  <c r="AI68" i="25" s="1"/>
  <c r="AG69" i="25"/>
  <c r="AI69" i="25" s="1"/>
  <c r="AG70" i="25"/>
  <c r="AI70" i="25" s="1"/>
  <c r="AG71" i="25"/>
  <c r="AI71" i="25" s="1"/>
  <c r="AG72" i="25"/>
  <c r="AI72" i="25" s="1"/>
  <c r="R73" i="25"/>
  <c r="AG73" i="25"/>
  <c r="AI73" i="25" s="1"/>
  <c r="AG74" i="25"/>
  <c r="AI74" i="25" s="1"/>
  <c r="AG75" i="25"/>
  <c r="AI75" i="25" s="1"/>
  <c r="AG76" i="25"/>
  <c r="AI76" i="25" s="1"/>
  <c r="AG77" i="25"/>
  <c r="AI77" i="25" s="1"/>
  <c r="AG78" i="25"/>
  <c r="AI78" i="25" s="1"/>
  <c r="AG79" i="25"/>
  <c r="AI79" i="25" s="1"/>
  <c r="AG80" i="25"/>
  <c r="AI80" i="25" s="1"/>
  <c r="AG82" i="25"/>
  <c r="AI82" i="25" s="1"/>
  <c r="AG83" i="25"/>
  <c r="AI83" i="25" s="1"/>
  <c r="AG84" i="25"/>
  <c r="AI84" i="25" s="1"/>
  <c r="AG85" i="25"/>
  <c r="AI85" i="25" s="1"/>
  <c r="AJ85" i="25" s="1"/>
  <c r="AG86" i="25"/>
  <c r="AI86" i="25" s="1"/>
  <c r="AG87" i="25"/>
  <c r="AI87" i="25" s="1"/>
  <c r="AJ87" i="25" s="1"/>
  <c r="AG88" i="25"/>
  <c r="AI88" i="25" s="1"/>
  <c r="AG89" i="25"/>
  <c r="AI89" i="25" s="1"/>
  <c r="AG90" i="25"/>
  <c r="AI90" i="25" s="1"/>
  <c r="AH27" i="25"/>
  <c r="AH28" i="25"/>
  <c r="AH29" i="25"/>
  <c r="AH30" i="25"/>
  <c r="AH31" i="25"/>
  <c r="AH32" i="25"/>
  <c r="AH33" i="25"/>
  <c r="AH34" i="25"/>
  <c r="AH35" i="25"/>
  <c r="AH36" i="25"/>
  <c r="AH37" i="25"/>
  <c r="AH38" i="25"/>
  <c r="AH39" i="25"/>
  <c r="AH40" i="25"/>
  <c r="AH41" i="25"/>
  <c r="AH42" i="25"/>
  <c r="AH43" i="25"/>
  <c r="AH44" i="25"/>
  <c r="AH45" i="25"/>
  <c r="AH46" i="25"/>
  <c r="AH48" i="25"/>
  <c r="AH49" i="25"/>
  <c r="AK49" i="25" s="1"/>
  <c r="AH50" i="25"/>
  <c r="AH51" i="25"/>
  <c r="AH52" i="25"/>
  <c r="AH53" i="25"/>
  <c r="AH54" i="25"/>
  <c r="AH55" i="25"/>
  <c r="AH56" i="25"/>
  <c r="AH57" i="25"/>
  <c r="AK57" i="25" s="1"/>
  <c r="AH58" i="25"/>
  <c r="AH59" i="25"/>
  <c r="AH60" i="25"/>
  <c r="AH61" i="25"/>
  <c r="AK61" i="25" s="1"/>
  <c r="AH62" i="25"/>
  <c r="AH63" i="25"/>
  <c r="AH64" i="25"/>
  <c r="AH65" i="25"/>
  <c r="AK65" i="25" s="1"/>
  <c r="AH66" i="25"/>
  <c r="AH67" i="25"/>
  <c r="AH68" i="25"/>
  <c r="AH69" i="25"/>
  <c r="AK69" i="25" s="1"/>
  <c r="AH70" i="25"/>
  <c r="AH71" i="25"/>
  <c r="AH72" i="25"/>
  <c r="AH73" i="25"/>
  <c r="AK73" i="25" s="1"/>
  <c r="AH74" i="25"/>
  <c r="AH76" i="25"/>
  <c r="AH77" i="25"/>
  <c r="AK77" i="25" s="1"/>
  <c r="AH78" i="25"/>
  <c r="AH79" i="25"/>
  <c r="AH80" i="25"/>
  <c r="AH81" i="25"/>
  <c r="AK81" i="25" s="1"/>
  <c r="AH82" i="25"/>
  <c r="AH83" i="25"/>
  <c r="AH84" i="25"/>
  <c r="AH85" i="25"/>
  <c r="AK85" i="25" s="1"/>
  <c r="AH86" i="25"/>
  <c r="AH87" i="25"/>
  <c r="AH88" i="25"/>
  <c r="AH89" i="25"/>
  <c r="AK89" i="25" s="1"/>
  <c r="AH90" i="25"/>
  <c r="D94" i="25"/>
  <c r="E91" i="25"/>
  <c r="E92" i="25"/>
  <c r="E93" i="25"/>
  <c r="D91" i="25"/>
  <c r="D92" i="25"/>
  <c r="D93" i="25"/>
  <c r="E94" i="25"/>
  <c r="D98" i="25"/>
  <c r="E95" i="25"/>
  <c r="E96" i="25"/>
  <c r="E97" i="25"/>
  <c r="D95" i="25"/>
  <c r="D96" i="25"/>
  <c r="D97" i="25"/>
  <c r="E98" i="25"/>
  <c r="D102" i="25"/>
  <c r="E99" i="25"/>
  <c r="E100" i="25"/>
  <c r="E101" i="25"/>
  <c r="D99" i="25"/>
  <c r="D100" i="25"/>
  <c r="D101" i="25"/>
  <c r="E102" i="25"/>
  <c r="D106" i="25"/>
  <c r="E103" i="25"/>
  <c r="E104" i="25"/>
  <c r="E105" i="25"/>
  <c r="D103" i="25"/>
  <c r="D104" i="25"/>
  <c r="D105" i="25"/>
  <c r="E106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H91" i="25"/>
  <c r="H92" i="25"/>
  <c r="J92" i="25" s="1"/>
  <c r="H93" i="25"/>
  <c r="J93" i="25" s="1"/>
  <c r="H94" i="25"/>
  <c r="J94" i="25" s="1"/>
  <c r="H95" i="25"/>
  <c r="J95" i="25" s="1"/>
  <c r="H96" i="25"/>
  <c r="J96" i="25" s="1"/>
  <c r="H97" i="25"/>
  <c r="J97" i="25" s="1"/>
  <c r="H98" i="25"/>
  <c r="J98" i="25" s="1"/>
  <c r="H99" i="25"/>
  <c r="H100" i="25"/>
  <c r="J100" i="25" s="1"/>
  <c r="R101" i="25"/>
  <c r="H101" i="25"/>
  <c r="J101" i="25" s="1"/>
  <c r="H102" i="25"/>
  <c r="J102" i="25" s="1"/>
  <c r="H103" i="25"/>
  <c r="H104" i="25"/>
  <c r="J104" i="25" s="1"/>
  <c r="R105" i="25"/>
  <c r="H105" i="25"/>
  <c r="J105" i="25" s="1"/>
  <c r="H106" i="25"/>
  <c r="J106" i="25" s="1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AC94" i="25"/>
  <c r="AC93" i="25"/>
  <c r="AC92" i="25"/>
  <c r="AC91" i="25"/>
  <c r="AD91" i="25"/>
  <c r="AD92" i="25"/>
  <c r="AD93" i="25"/>
  <c r="AD94" i="25"/>
  <c r="AC98" i="25"/>
  <c r="AC97" i="25"/>
  <c r="AC96" i="25"/>
  <c r="AC95" i="25"/>
  <c r="AD95" i="25"/>
  <c r="AD96" i="25"/>
  <c r="AD97" i="25"/>
  <c r="AD98" i="25"/>
  <c r="AC102" i="25"/>
  <c r="AC101" i="25"/>
  <c r="AC100" i="25"/>
  <c r="AC99" i="25"/>
  <c r="AD99" i="25"/>
  <c r="AD100" i="25"/>
  <c r="AD101" i="25"/>
  <c r="AD102" i="25"/>
  <c r="AC106" i="25"/>
  <c r="AC105" i="25"/>
  <c r="AC104" i="25"/>
  <c r="AC103" i="25"/>
  <c r="AD103" i="25"/>
  <c r="AD104" i="25"/>
  <c r="AD105" i="25"/>
  <c r="AD106" i="25"/>
  <c r="AE91" i="25"/>
  <c r="AE92" i="25"/>
  <c r="AE93" i="25"/>
  <c r="AE94" i="25"/>
  <c r="AE95" i="25"/>
  <c r="AE96" i="25"/>
  <c r="AE97" i="25"/>
  <c r="AE98" i="25"/>
  <c r="AE99" i="25"/>
  <c r="AE100" i="25"/>
  <c r="AE101" i="25"/>
  <c r="AE102" i="25"/>
  <c r="AE103" i="25"/>
  <c r="AE104" i="25"/>
  <c r="AE105" i="25"/>
  <c r="AE106" i="25"/>
  <c r="AF91" i="25"/>
  <c r="AF92" i="25"/>
  <c r="AF93" i="25"/>
  <c r="AF94" i="25"/>
  <c r="AF95" i="25"/>
  <c r="AF96" i="25"/>
  <c r="AF97" i="25"/>
  <c r="AF98" i="25"/>
  <c r="AF99" i="25"/>
  <c r="AF100" i="25"/>
  <c r="AF101" i="25"/>
  <c r="AF102" i="25"/>
  <c r="AF103" i="25"/>
  <c r="AF104" i="25"/>
  <c r="AF105" i="25"/>
  <c r="AF106" i="25"/>
  <c r="AG91" i="25"/>
  <c r="AI91" i="25" s="1"/>
  <c r="AG92" i="25"/>
  <c r="AI92" i="25" s="1"/>
  <c r="AG93" i="25"/>
  <c r="AI93" i="25" s="1"/>
  <c r="AG94" i="25"/>
  <c r="AI94" i="25" s="1"/>
  <c r="AG95" i="25"/>
  <c r="AI95" i="25" s="1"/>
  <c r="AG96" i="25"/>
  <c r="AI96" i="25" s="1"/>
  <c r="AG97" i="25"/>
  <c r="AI97" i="25" s="1"/>
  <c r="AG98" i="25"/>
  <c r="AI98" i="25" s="1"/>
  <c r="AG99" i="25"/>
  <c r="AI99" i="25" s="1"/>
  <c r="AG100" i="25"/>
  <c r="AI100" i="25" s="1"/>
  <c r="AG101" i="25"/>
  <c r="AI101" i="25" s="1"/>
  <c r="AG102" i="25"/>
  <c r="AI102" i="25" s="1"/>
  <c r="AG103" i="25"/>
  <c r="AI103" i="25" s="1"/>
  <c r="AG104" i="25"/>
  <c r="AI104" i="25" s="1"/>
  <c r="AG105" i="25"/>
  <c r="AI105" i="25" s="1"/>
  <c r="AG106" i="25"/>
  <c r="AI106" i="25" s="1"/>
  <c r="AH91" i="25"/>
  <c r="AH92" i="25"/>
  <c r="AH93" i="25"/>
  <c r="AH94" i="25"/>
  <c r="AH95" i="25"/>
  <c r="AH96" i="25"/>
  <c r="AH97" i="25"/>
  <c r="AK97" i="25" s="1"/>
  <c r="AH98" i="25"/>
  <c r="AH99" i="25"/>
  <c r="AH100" i="25"/>
  <c r="AH101" i="25"/>
  <c r="AK101" i="25" s="1"/>
  <c r="AH102" i="25"/>
  <c r="AH103" i="25"/>
  <c r="AH104" i="25"/>
  <c r="AH105" i="25"/>
  <c r="AK105" i="25" s="1"/>
  <c r="AH106" i="25"/>
  <c r="L6" i="20"/>
  <c r="L5" i="20"/>
  <c r="L4" i="20"/>
  <c r="L3" i="20"/>
  <c r="M3" i="20"/>
  <c r="M4" i="20"/>
  <c r="M5" i="20"/>
  <c r="M6" i="20"/>
  <c r="D6" i="20"/>
  <c r="E3" i="20"/>
  <c r="E4" i="20"/>
  <c r="E5" i="20"/>
  <c r="D3" i="20"/>
  <c r="D4" i="20"/>
  <c r="D5" i="20"/>
  <c r="E6" i="20"/>
  <c r="L10" i="20"/>
  <c r="L9" i="20"/>
  <c r="L8" i="20"/>
  <c r="L7" i="20"/>
  <c r="M7" i="20"/>
  <c r="M8" i="20"/>
  <c r="M9" i="20"/>
  <c r="M10" i="20"/>
  <c r="D10" i="20"/>
  <c r="E7" i="20"/>
  <c r="E8" i="20"/>
  <c r="E9" i="20"/>
  <c r="D7" i="20"/>
  <c r="D8" i="20"/>
  <c r="D9" i="20"/>
  <c r="E10" i="20"/>
  <c r="L14" i="20"/>
  <c r="L13" i="20"/>
  <c r="L12" i="20"/>
  <c r="L11" i="20"/>
  <c r="M11" i="20"/>
  <c r="M12" i="20"/>
  <c r="M13" i="20"/>
  <c r="M14" i="20"/>
  <c r="D14" i="20"/>
  <c r="E11" i="20"/>
  <c r="E12" i="20"/>
  <c r="E13" i="20"/>
  <c r="D11" i="20"/>
  <c r="D12" i="20"/>
  <c r="D13" i="20"/>
  <c r="E14" i="20"/>
  <c r="L18" i="20"/>
  <c r="L17" i="20"/>
  <c r="L16" i="20"/>
  <c r="L15" i="20"/>
  <c r="M15" i="20"/>
  <c r="M16" i="20"/>
  <c r="M17" i="20"/>
  <c r="M18" i="20"/>
  <c r="D18" i="20"/>
  <c r="E15" i="20"/>
  <c r="E16" i="20"/>
  <c r="E17" i="20"/>
  <c r="D15" i="20"/>
  <c r="D16" i="20"/>
  <c r="D17" i="20"/>
  <c r="E18" i="20"/>
  <c r="L22" i="20"/>
  <c r="L21" i="20"/>
  <c r="L20" i="20"/>
  <c r="L19" i="20"/>
  <c r="M19" i="20"/>
  <c r="M20" i="20"/>
  <c r="M21" i="20"/>
  <c r="M22" i="20"/>
  <c r="D22" i="20"/>
  <c r="E19" i="20"/>
  <c r="E20" i="20"/>
  <c r="E21" i="20"/>
  <c r="D19" i="20"/>
  <c r="D20" i="20"/>
  <c r="D21" i="20"/>
  <c r="E22" i="20"/>
  <c r="L26" i="20"/>
  <c r="L25" i="20"/>
  <c r="L24" i="20"/>
  <c r="L23" i="20"/>
  <c r="M23" i="20"/>
  <c r="M24" i="20"/>
  <c r="M25" i="20"/>
  <c r="M26" i="20"/>
  <c r="D26" i="20"/>
  <c r="E23" i="20"/>
  <c r="E24" i="20"/>
  <c r="E25" i="20"/>
  <c r="D23" i="20"/>
  <c r="D24" i="20"/>
  <c r="D25" i="20"/>
  <c r="E26" i="20"/>
  <c r="D30" i="20"/>
  <c r="E27" i="20"/>
  <c r="E28" i="20"/>
  <c r="E29" i="20"/>
  <c r="D27" i="20"/>
  <c r="D28" i="20"/>
  <c r="D29" i="20"/>
  <c r="E30" i="20"/>
  <c r="D34" i="20"/>
  <c r="E31" i="20"/>
  <c r="E32" i="20"/>
  <c r="E33" i="20"/>
  <c r="D31" i="20"/>
  <c r="D32" i="20"/>
  <c r="D33" i="20"/>
  <c r="E34" i="20"/>
  <c r="D38" i="20"/>
  <c r="E35" i="20"/>
  <c r="E36" i="20"/>
  <c r="E37" i="20"/>
  <c r="D35" i="20"/>
  <c r="D36" i="20"/>
  <c r="D37" i="20"/>
  <c r="E38" i="20"/>
  <c r="D42" i="20"/>
  <c r="E39" i="20"/>
  <c r="E40" i="20"/>
  <c r="E41" i="20"/>
  <c r="D39" i="20"/>
  <c r="D40" i="20"/>
  <c r="D41" i="20"/>
  <c r="E42" i="20"/>
  <c r="D46" i="20"/>
  <c r="E43" i="20"/>
  <c r="E44" i="20"/>
  <c r="E45" i="20"/>
  <c r="D43" i="20"/>
  <c r="D44" i="20"/>
  <c r="D45" i="20"/>
  <c r="E46" i="20"/>
  <c r="D50" i="20"/>
  <c r="E47" i="20"/>
  <c r="E48" i="20"/>
  <c r="E49" i="20"/>
  <c r="D47" i="20"/>
  <c r="D48" i="20"/>
  <c r="D49" i="20"/>
  <c r="E50" i="20"/>
  <c r="D54" i="20"/>
  <c r="E51" i="20"/>
  <c r="E52" i="20"/>
  <c r="E53" i="20"/>
  <c r="D51" i="20"/>
  <c r="D52" i="20"/>
  <c r="D53" i="20"/>
  <c r="E54" i="20"/>
  <c r="D58" i="20"/>
  <c r="E55" i="20"/>
  <c r="E56" i="20"/>
  <c r="E57" i="20"/>
  <c r="D55" i="20"/>
  <c r="D56" i="20"/>
  <c r="D57" i="20"/>
  <c r="E58" i="20"/>
  <c r="D62" i="20"/>
  <c r="E59" i="20"/>
  <c r="E60" i="20"/>
  <c r="E61" i="20"/>
  <c r="D59" i="20"/>
  <c r="D60" i="20"/>
  <c r="D61" i="20"/>
  <c r="E62" i="20"/>
  <c r="D66" i="20"/>
  <c r="E63" i="20"/>
  <c r="E64" i="20"/>
  <c r="E65" i="20"/>
  <c r="D63" i="20"/>
  <c r="D64" i="20"/>
  <c r="D65" i="20"/>
  <c r="E66" i="20"/>
  <c r="D70" i="20"/>
  <c r="E67" i="20"/>
  <c r="E68" i="20"/>
  <c r="E69" i="20"/>
  <c r="D67" i="20"/>
  <c r="D68" i="20"/>
  <c r="D69" i="20"/>
  <c r="E70" i="20"/>
  <c r="D74" i="20"/>
  <c r="E71" i="20"/>
  <c r="E72" i="20"/>
  <c r="E73" i="20"/>
  <c r="D71" i="20"/>
  <c r="D72" i="20"/>
  <c r="D73" i="20"/>
  <c r="E74" i="20"/>
  <c r="D78" i="20"/>
  <c r="E75" i="20"/>
  <c r="E76" i="20"/>
  <c r="E77" i="20"/>
  <c r="D75" i="20"/>
  <c r="D76" i="20"/>
  <c r="D77" i="20"/>
  <c r="E78" i="20"/>
  <c r="N3" i="20"/>
  <c r="N4" i="20"/>
  <c r="N5" i="20"/>
  <c r="N6" i="20"/>
  <c r="F3" i="20"/>
  <c r="F4" i="20"/>
  <c r="F5" i="20"/>
  <c r="F6" i="20"/>
  <c r="N7" i="20"/>
  <c r="N8" i="20"/>
  <c r="N9" i="20"/>
  <c r="N10" i="20"/>
  <c r="F7" i="20"/>
  <c r="F8" i="20"/>
  <c r="F9" i="20"/>
  <c r="F10" i="20"/>
  <c r="N11" i="20"/>
  <c r="N12" i="20"/>
  <c r="N13" i="20"/>
  <c r="N14" i="20"/>
  <c r="F11" i="20"/>
  <c r="F12" i="20"/>
  <c r="F13" i="20"/>
  <c r="F14" i="20"/>
  <c r="N15" i="20"/>
  <c r="N16" i="20"/>
  <c r="N17" i="20"/>
  <c r="N18" i="20"/>
  <c r="F15" i="20"/>
  <c r="F16" i="20"/>
  <c r="F17" i="20"/>
  <c r="F18" i="20"/>
  <c r="N19" i="20"/>
  <c r="N20" i="20"/>
  <c r="N21" i="20"/>
  <c r="N22" i="20"/>
  <c r="F19" i="20"/>
  <c r="F20" i="20"/>
  <c r="F21" i="20"/>
  <c r="F22" i="20"/>
  <c r="N23" i="20"/>
  <c r="N24" i="20"/>
  <c r="N25" i="20"/>
  <c r="N26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O3" i="20"/>
  <c r="O4" i="20"/>
  <c r="O5" i="20"/>
  <c r="O6" i="20"/>
  <c r="G3" i="20"/>
  <c r="G4" i="20"/>
  <c r="G5" i="20"/>
  <c r="G6" i="20"/>
  <c r="O7" i="20"/>
  <c r="O8" i="20"/>
  <c r="O9" i="20"/>
  <c r="O10" i="20"/>
  <c r="G7" i="20"/>
  <c r="G8" i="20"/>
  <c r="G9" i="20"/>
  <c r="G10" i="20"/>
  <c r="O11" i="20"/>
  <c r="O12" i="20"/>
  <c r="O13" i="20"/>
  <c r="O14" i="20"/>
  <c r="G11" i="20"/>
  <c r="G12" i="20"/>
  <c r="G13" i="20"/>
  <c r="G14" i="20"/>
  <c r="O15" i="20"/>
  <c r="O16" i="20"/>
  <c r="O17" i="20"/>
  <c r="O18" i="20"/>
  <c r="G15" i="20"/>
  <c r="G16" i="20"/>
  <c r="G17" i="20"/>
  <c r="G18" i="20"/>
  <c r="O19" i="20"/>
  <c r="O20" i="20"/>
  <c r="O21" i="20"/>
  <c r="O22" i="20"/>
  <c r="G19" i="20"/>
  <c r="G20" i="20"/>
  <c r="G21" i="20"/>
  <c r="G22" i="20"/>
  <c r="O23" i="20"/>
  <c r="O24" i="20"/>
  <c r="O25" i="20"/>
  <c r="O26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P3" i="20"/>
  <c r="H3" i="20"/>
  <c r="J3" i="20" s="1"/>
  <c r="P4" i="20"/>
  <c r="R4" i="20" s="1"/>
  <c r="H4" i="20"/>
  <c r="J4" i="20" s="1"/>
  <c r="P5" i="20"/>
  <c r="R5" i="20" s="1"/>
  <c r="H5" i="20"/>
  <c r="J5" i="20" s="1"/>
  <c r="P6" i="20"/>
  <c r="H6" i="20"/>
  <c r="J6" i="20" s="1"/>
  <c r="P7" i="20"/>
  <c r="R7" i="20" s="1"/>
  <c r="H7" i="20"/>
  <c r="J7" i="20" s="1"/>
  <c r="P8" i="20"/>
  <c r="H8" i="20"/>
  <c r="J8" i="20" s="1"/>
  <c r="P9" i="20"/>
  <c r="H9" i="20"/>
  <c r="J9" i="20" s="1"/>
  <c r="P10" i="20"/>
  <c r="R10" i="20" s="1"/>
  <c r="H10" i="20"/>
  <c r="J10" i="20" s="1"/>
  <c r="P11" i="20"/>
  <c r="R11" i="20" s="1"/>
  <c r="H11" i="20"/>
  <c r="J11" i="20" s="1"/>
  <c r="P12" i="20"/>
  <c r="R12" i="20" s="1"/>
  <c r="H12" i="20"/>
  <c r="J12" i="20" s="1"/>
  <c r="P13" i="20"/>
  <c r="R13" i="20" s="1"/>
  <c r="H13" i="20"/>
  <c r="J13" i="20" s="1"/>
  <c r="P14" i="20"/>
  <c r="R14" i="20" s="1"/>
  <c r="H14" i="20"/>
  <c r="P15" i="20"/>
  <c r="R15" i="20" s="1"/>
  <c r="H15" i="20"/>
  <c r="J15" i="20" s="1"/>
  <c r="P16" i="20"/>
  <c r="R16" i="20" s="1"/>
  <c r="H16" i="20"/>
  <c r="J16" i="20" s="1"/>
  <c r="P17" i="20"/>
  <c r="R17" i="20" s="1"/>
  <c r="H17" i="20"/>
  <c r="J17" i="20" s="1"/>
  <c r="P18" i="20"/>
  <c r="R18" i="20" s="1"/>
  <c r="H18" i="20"/>
  <c r="P19" i="20"/>
  <c r="R19" i="20" s="1"/>
  <c r="H19" i="20"/>
  <c r="J19" i="20" s="1"/>
  <c r="P20" i="20"/>
  <c r="H20" i="20"/>
  <c r="J20" i="20" s="1"/>
  <c r="P21" i="20"/>
  <c r="R21" i="20" s="1"/>
  <c r="H21" i="20"/>
  <c r="P22" i="20"/>
  <c r="R22" i="20" s="1"/>
  <c r="H22" i="20"/>
  <c r="P23" i="20"/>
  <c r="R23" i="20" s="1"/>
  <c r="H23" i="20"/>
  <c r="J23" i="20" s="1"/>
  <c r="P24" i="20"/>
  <c r="H24" i="20"/>
  <c r="P25" i="20"/>
  <c r="H25" i="20"/>
  <c r="J25" i="20" s="1"/>
  <c r="P26" i="20"/>
  <c r="H26" i="20"/>
  <c r="J26" i="20" s="1"/>
  <c r="H27" i="20"/>
  <c r="J27" i="20" s="1"/>
  <c r="H28" i="20"/>
  <c r="J28" i="20" s="1"/>
  <c r="H29" i="20"/>
  <c r="J29" i="20" s="1"/>
  <c r="H30" i="20"/>
  <c r="J30" i="20" s="1"/>
  <c r="H31" i="20"/>
  <c r="H32" i="20"/>
  <c r="J32" i="20" s="1"/>
  <c r="H33" i="20"/>
  <c r="H34" i="20"/>
  <c r="J34" i="20" s="1"/>
  <c r="H35" i="20"/>
  <c r="J35" i="20" s="1"/>
  <c r="H36" i="20"/>
  <c r="J36" i="20" s="1"/>
  <c r="H37" i="20"/>
  <c r="H38" i="20"/>
  <c r="H39" i="20"/>
  <c r="J39" i="20" s="1"/>
  <c r="H40" i="20"/>
  <c r="J40" i="20" s="1"/>
  <c r="H41" i="20"/>
  <c r="H42" i="20"/>
  <c r="J42" i="20" s="1"/>
  <c r="H43" i="20"/>
  <c r="J43" i="20" s="1"/>
  <c r="H44" i="20"/>
  <c r="J44" i="20" s="1"/>
  <c r="H45" i="20"/>
  <c r="J45" i="20" s="1"/>
  <c r="H46" i="20"/>
  <c r="H47" i="20"/>
  <c r="H48" i="20"/>
  <c r="J48" i="20" s="1"/>
  <c r="H49" i="20"/>
  <c r="J49" i="20" s="1"/>
  <c r="H50" i="20"/>
  <c r="J50" i="20" s="1"/>
  <c r="H51" i="20"/>
  <c r="H52" i="20"/>
  <c r="J52" i="20" s="1"/>
  <c r="H53" i="20"/>
  <c r="J53" i="20" s="1"/>
  <c r="H54" i="20"/>
  <c r="J54" i="20" s="1"/>
  <c r="H55" i="20"/>
  <c r="J55" i="20" s="1"/>
  <c r="H56" i="20"/>
  <c r="J56" i="20" s="1"/>
  <c r="H57" i="20"/>
  <c r="J57" i="20" s="1"/>
  <c r="H58" i="20"/>
  <c r="J58" i="20" s="1"/>
  <c r="H59" i="20"/>
  <c r="J59" i="20" s="1"/>
  <c r="H60" i="20"/>
  <c r="J60" i="20" s="1"/>
  <c r="H61" i="20"/>
  <c r="J61" i="20" s="1"/>
  <c r="H62" i="20"/>
  <c r="J62" i="20" s="1"/>
  <c r="H63" i="20"/>
  <c r="J63" i="20" s="1"/>
  <c r="H64" i="20"/>
  <c r="J64" i="20" s="1"/>
  <c r="H65" i="20"/>
  <c r="H66" i="20"/>
  <c r="J66" i="20" s="1"/>
  <c r="H67" i="20"/>
  <c r="J67" i="20" s="1"/>
  <c r="H68" i="20"/>
  <c r="J68" i="20" s="1"/>
  <c r="H69" i="20"/>
  <c r="J69" i="20" s="1"/>
  <c r="H70" i="20"/>
  <c r="J70" i="20" s="1"/>
  <c r="H71" i="20"/>
  <c r="J71" i="20" s="1"/>
  <c r="H72" i="20"/>
  <c r="J72" i="20" s="1"/>
  <c r="H73" i="20"/>
  <c r="J73" i="20" s="1"/>
  <c r="H74" i="20"/>
  <c r="J74" i="20" s="1"/>
  <c r="H75" i="20"/>
  <c r="J75" i="20" s="1"/>
  <c r="H76" i="20"/>
  <c r="J76" i="20" s="1"/>
  <c r="H77" i="20"/>
  <c r="J77" i="20" s="1"/>
  <c r="H78" i="20"/>
  <c r="J78" i="20" s="1"/>
  <c r="Q3" i="20"/>
  <c r="I3" i="20"/>
  <c r="Q4" i="20"/>
  <c r="I4" i="20"/>
  <c r="Q5" i="20"/>
  <c r="I5" i="20"/>
  <c r="Q6" i="20"/>
  <c r="I6" i="20"/>
  <c r="Q7" i="20"/>
  <c r="I7" i="20"/>
  <c r="Q8" i="20"/>
  <c r="I8" i="20"/>
  <c r="Q9" i="20"/>
  <c r="I9" i="20"/>
  <c r="Q10" i="20"/>
  <c r="I10" i="20"/>
  <c r="Q11" i="20"/>
  <c r="I11" i="20"/>
  <c r="Q12" i="20"/>
  <c r="I12" i="20"/>
  <c r="Q13" i="20"/>
  <c r="I13" i="20"/>
  <c r="Q14" i="20"/>
  <c r="I14" i="20"/>
  <c r="Q15" i="20"/>
  <c r="I15" i="20"/>
  <c r="Q16" i="20"/>
  <c r="I16" i="20"/>
  <c r="Q17" i="20"/>
  <c r="I17" i="20"/>
  <c r="Q18" i="20"/>
  <c r="I18" i="20"/>
  <c r="Q19" i="20"/>
  <c r="I19" i="20"/>
  <c r="Q20" i="20"/>
  <c r="I20" i="20"/>
  <c r="Q21" i="20"/>
  <c r="I21" i="20"/>
  <c r="Q22" i="20"/>
  <c r="I22" i="20"/>
  <c r="Q23" i="20"/>
  <c r="I23" i="20"/>
  <c r="Q24" i="20"/>
  <c r="I24" i="20"/>
  <c r="Q25" i="20"/>
  <c r="I25" i="20"/>
  <c r="Q26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AC6" i="20"/>
  <c r="AC5" i="20"/>
  <c r="AC4" i="20"/>
  <c r="AC3" i="20"/>
  <c r="AD3" i="20"/>
  <c r="AD4" i="20"/>
  <c r="AD5" i="20"/>
  <c r="AD6" i="20"/>
  <c r="AC10" i="20"/>
  <c r="AC9" i="20"/>
  <c r="AC8" i="20"/>
  <c r="AC7" i="20"/>
  <c r="AD7" i="20"/>
  <c r="AD8" i="20"/>
  <c r="AD9" i="20"/>
  <c r="AD10" i="20"/>
  <c r="AC14" i="20"/>
  <c r="AC13" i="20"/>
  <c r="AC12" i="20"/>
  <c r="AC11" i="20"/>
  <c r="AD11" i="20"/>
  <c r="AD12" i="20"/>
  <c r="AD13" i="20"/>
  <c r="AD14" i="20"/>
  <c r="AC18" i="20"/>
  <c r="AC17" i="20"/>
  <c r="AC16" i="20"/>
  <c r="AC15" i="20"/>
  <c r="AD15" i="20"/>
  <c r="AD16" i="20"/>
  <c r="AD17" i="20"/>
  <c r="AD18" i="20"/>
  <c r="AC22" i="20"/>
  <c r="AC21" i="20"/>
  <c r="AC20" i="20"/>
  <c r="AC19" i="20"/>
  <c r="AD19" i="20"/>
  <c r="AD20" i="20"/>
  <c r="AD21" i="20"/>
  <c r="AD22" i="20"/>
  <c r="AC26" i="20"/>
  <c r="AC25" i="20"/>
  <c r="AC24" i="20"/>
  <c r="AC23" i="20"/>
  <c r="AD23" i="20"/>
  <c r="AD24" i="20"/>
  <c r="AD25" i="20"/>
  <c r="AD26" i="20"/>
  <c r="AC30" i="20"/>
  <c r="AC29" i="20"/>
  <c r="AC28" i="20"/>
  <c r="AC27" i="20"/>
  <c r="AD27" i="20"/>
  <c r="AD28" i="20"/>
  <c r="AD29" i="20"/>
  <c r="AD30" i="20"/>
  <c r="AC34" i="20"/>
  <c r="AC33" i="20"/>
  <c r="AC32" i="20"/>
  <c r="AC31" i="20"/>
  <c r="AD31" i="20"/>
  <c r="AD32" i="20"/>
  <c r="AD33" i="20"/>
  <c r="AD34" i="20"/>
  <c r="AC38" i="20"/>
  <c r="AC37" i="20"/>
  <c r="AC36" i="20"/>
  <c r="AC35" i="20"/>
  <c r="AD35" i="20"/>
  <c r="AD36" i="20"/>
  <c r="AD37" i="20"/>
  <c r="AD38" i="20"/>
  <c r="AC42" i="20"/>
  <c r="AC41" i="20"/>
  <c r="AC40" i="20"/>
  <c r="AC39" i="20"/>
  <c r="AD39" i="20"/>
  <c r="AD40" i="20"/>
  <c r="AD41" i="20"/>
  <c r="AD42" i="20"/>
  <c r="AC46" i="20"/>
  <c r="AC45" i="20"/>
  <c r="AC44" i="20"/>
  <c r="AC43" i="20"/>
  <c r="AD43" i="20"/>
  <c r="AD44" i="20"/>
  <c r="AD45" i="20"/>
  <c r="AD46" i="20"/>
  <c r="AC50" i="20"/>
  <c r="AC49" i="20"/>
  <c r="AC48" i="20"/>
  <c r="AC47" i="20"/>
  <c r="AD47" i="20"/>
  <c r="AD48" i="20"/>
  <c r="AD49" i="20"/>
  <c r="AD50" i="20"/>
  <c r="AC54" i="20"/>
  <c r="AC53" i="20"/>
  <c r="AC52" i="20"/>
  <c r="AC51" i="20"/>
  <c r="AD51" i="20"/>
  <c r="AD52" i="20"/>
  <c r="AD53" i="20"/>
  <c r="AD54" i="20"/>
  <c r="AC58" i="20"/>
  <c r="AC57" i="20"/>
  <c r="AC56" i="20"/>
  <c r="AC55" i="20"/>
  <c r="AD55" i="20"/>
  <c r="AD56" i="20"/>
  <c r="AD57" i="20"/>
  <c r="AD58" i="20"/>
  <c r="AC62" i="20"/>
  <c r="AC61" i="20"/>
  <c r="AC60" i="20"/>
  <c r="AC59" i="20"/>
  <c r="AD59" i="20"/>
  <c r="AD60" i="20"/>
  <c r="AD61" i="20"/>
  <c r="AD62" i="20"/>
  <c r="AC66" i="20"/>
  <c r="AC65" i="20"/>
  <c r="AC64" i="20"/>
  <c r="AC63" i="20"/>
  <c r="AD63" i="20"/>
  <c r="AD64" i="20"/>
  <c r="AD65" i="20"/>
  <c r="AD66" i="20"/>
  <c r="AC70" i="20"/>
  <c r="AC69" i="20"/>
  <c r="AC68" i="20"/>
  <c r="AC67" i="20"/>
  <c r="AD67" i="20"/>
  <c r="AD68" i="20"/>
  <c r="AD69" i="20"/>
  <c r="AD70" i="20"/>
  <c r="AC74" i="20"/>
  <c r="AC73" i="20"/>
  <c r="AC72" i="20"/>
  <c r="AC71" i="20"/>
  <c r="AD71" i="20"/>
  <c r="AD72" i="20"/>
  <c r="AD73" i="20"/>
  <c r="AD74" i="20"/>
  <c r="AC78" i="20"/>
  <c r="AC77" i="20"/>
  <c r="AC76" i="20"/>
  <c r="AC75" i="20"/>
  <c r="AD75" i="20"/>
  <c r="AD76" i="20"/>
  <c r="AD77" i="20"/>
  <c r="AD78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F3" i="20"/>
  <c r="AF4" i="20"/>
  <c r="AF5" i="20"/>
  <c r="AF6" i="20"/>
  <c r="AF7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G3" i="20"/>
  <c r="AI3" i="20" s="1"/>
  <c r="AG4" i="20"/>
  <c r="AI4" i="20" s="1"/>
  <c r="AG5" i="20"/>
  <c r="AI5" i="20" s="1"/>
  <c r="AG6" i="20"/>
  <c r="AI6" i="20" s="1"/>
  <c r="AG7" i="20"/>
  <c r="AI7" i="20" s="1"/>
  <c r="AG8" i="20"/>
  <c r="AI8" i="20" s="1"/>
  <c r="AG9" i="20"/>
  <c r="AI9" i="20" s="1"/>
  <c r="AG10" i="20"/>
  <c r="AI10" i="20" s="1"/>
  <c r="AG11" i="20"/>
  <c r="AI11" i="20" s="1"/>
  <c r="AG12" i="20"/>
  <c r="AI12" i="20" s="1"/>
  <c r="AG13" i="20"/>
  <c r="AI13" i="20" s="1"/>
  <c r="AG14" i="20"/>
  <c r="AI14" i="20" s="1"/>
  <c r="AG15" i="20"/>
  <c r="AI15" i="20" s="1"/>
  <c r="AG16" i="20"/>
  <c r="AI16" i="20" s="1"/>
  <c r="AG17" i="20"/>
  <c r="AI17" i="20" s="1"/>
  <c r="AG18" i="20"/>
  <c r="AI18" i="20" s="1"/>
  <c r="AG19" i="20"/>
  <c r="AI19" i="20" s="1"/>
  <c r="AG20" i="20"/>
  <c r="AI20" i="20" s="1"/>
  <c r="AG21" i="20"/>
  <c r="AI21" i="20" s="1"/>
  <c r="AG22" i="20"/>
  <c r="AI22" i="20" s="1"/>
  <c r="AG23" i="20"/>
  <c r="AI23" i="20" s="1"/>
  <c r="AG24" i="20"/>
  <c r="AI24" i="20" s="1"/>
  <c r="AG25" i="20"/>
  <c r="AI25" i="20" s="1"/>
  <c r="AG26" i="20"/>
  <c r="AI26" i="20" s="1"/>
  <c r="AG27" i="20"/>
  <c r="AI27" i="20" s="1"/>
  <c r="AG28" i="20"/>
  <c r="AI28" i="20" s="1"/>
  <c r="AG29" i="20"/>
  <c r="AI29" i="20" s="1"/>
  <c r="AG30" i="20"/>
  <c r="AI30" i="20" s="1"/>
  <c r="AG31" i="20"/>
  <c r="AI31" i="20" s="1"/>
  <c r="AG32" i="20"/>
  <c r="AI32" i="20" s="1"/>
  <c r="AG33" i="20"/>
  <c r="AI33" i="20" s="1"/>
  <c r="AG34" i="20"/>
  <c r="AI34" i="20" s="1"/>
  <c r="AG35" i="20"/>
  <c r="AI35" i="20" s="1"/>
  <c r="AG36" i="20"/>
  <c r="AI36" i="20" s="1"/>
  <c r="AG37" i="20"/>
  <c r="AI37" i="20" s="1"/>
  <c r="AJ37" i="20" s="1"/>
  <c r="AG38" i="20"/>
  <c r="AI38" i="20" s="1"/>
  <c r="AG39" i="20"/>
  <c r="AI39" i="20" s="1"/>
  <c r="AG40" i="20"/>
  <c r="AI40" i="20" s="1"/>
  <c r="AG41" i="20"/>
  <c r="AI41" i="20" s="1"/>
  <c r="AJ41" i="20" s="1"/>
  <c r="AG42" i="20"/>
  <c r="AI42" i="20" s="1"/>
  <c r="AG43" i="20"/>
  <c r="AI43" i="20" s="1"/>
  <c r="AG44" i="20"/>
  <c r="AI44" i="20" s="1"/>
  <c r="AG45" i="20"/>
  <c r="AI45" i="20" s="1"/>
  <c r="AJ45" i="20" s="1"/>
  <c r="AG46" i="20"/>
  <c r="AI46" i="20" s="1"/>
  <c r="AG47" i="20"/>
  <c r="AI47" i="20" s="1"/>
  <c r="AG48" i="20"/>
  <c r="AI48" i="20" s="1"/>
  <c r="AG49" i="20"/>
  <c r="AI49" i="20" s="1"/>
  <c r="AG50" i="20"/>
  <c r="AI50" i="20" s="1"/>
  <c r="AG51" i="20"/>
  <c r="AI51" i="20" s="1"/>
  <c r="AG52" i="20"/>
  <c r="AI52" i="20" s="1"/>
  <c r="AG53" i="20"/>
  <c r="AI53" i="20" s="1"/>
  <c r="AJ53" i="20" s="1"/>
  <c r="AG54" i="20"/>
  <c r="AI54" i="20" s="1"/>
  <c r="AG55" i="20"/>
  <c r="AI55" i="20" s="1"/>
  <c r="AG56" i="20"/>
  <c r="AI56" i="20" s="1"/>
  <c r="AG57" i="20"/>
  <c r="AI57" i="20" s="1"/>
  <c r="AJ57" i="20" s="1"/>
  <c r="AG58" i="20"/>
  <c r="AI58" i="20" s="1"/>
  <c r="AG59" i="20"/>
  <c r="AI59" i="20" s="1"/>
  <c r="AG60" i="20"/>
  <c r="AI60" i="20" s="1"/>
  <c r="AG61" i="20"/>
  <c r="AI61" i="20" s="1"/>
  <c r="AG62" i="20"/>
  <c r="AI62" i="20" s="1"/>
  <c r="AG63" i="20"/>
  <c r="AI63" i="20" s="1"/>
  <c r="AG64" i="20"/>
  <c r="AI64" i="20" s="1"/>
  <c r="AG65" i="20"/>
  <c r="AI65" i="20" s="1"/>
  <c r="AG66" i="20"/>
  <c r="AI66" i="20" s="1"/>
  <c r="AG67" i="20"/>
  <c r="AI67" i="20" s="1"/>
  <c r="AG68" i="20"/>
  <c r="AI68" i="20" s="1"/>
  <c r="AG69" i="20"/>
  <c r="AI69" i="20" s="1"/>
  <c r="AG70" i="20"/>
  <c r="AI70" i="20" s="1"/>
  <c r="AG71" i="20"/>
  <c r="AI71" i="20" s="1"/>
  <c r="AG72" i="20"/>
  <c r="AI72" i="20" s="1"/>
  <c r="AG73" i="20"/>
  <c r="AI73" i="20" s="1"/>
  <c r="AG74" i="20"/>
  <c r="AI74" i="20" s="1"/>
  <c r="AG75" i="20"/>
  <c r="AI75" i="20" s="1"/>
  <c r="AG76" i="20"/>
  <c r="AI76" i="20" s="1"/>
  <c r="AG77" i="20"/>
  <c r="AI77" i="20" s="1"/>
  <c r="AG78" i="20"/>
  <c r="AI78" i="20" s="1"/>
  <c r="AH3" i="20"/>
  <c r="AH4" i="20"/>
  <c r="AH5" i="20"/>
  <c r="AH6" i="20"/>
  <c r="AH7" i="20"/>
  <c r="AH8" i="20"/>
  <c r="AH9" i="20"/>
  <c r="AH10" i="20"/>
  <c r="AH11" i="20"/>
  <c r="AH12" i="20"/>
  <c r="AH13" i="20"/>
  <c r="AH14" i="20"/>
  <c r="AH15" i="20"/>
  <c r="AH16" i="20"/>
  <c r="AH17" i="20"/>
  <c r="AH18" i="20"/>
  <c r="AH19" i="20"/>
  <c r="AH20" i="20"/>
  <c r="AH21" i="20"/>
  <c r="AH22" i="20"/>
  <c r="AH23" i="20"/>
  <c r="AH24" i="20"/>
  <c r="AH25" i="20"/>
  <c r="AH26" i="20"/>
  <c r="AH27" i="20"/>
  <c r="AH28" i="20"/>
  <c r="AH29" i="20"/>
  <c r="AH30" i="20"/>
  <c r="AH31" i="20"/>
  <c r="AH32" i="20"/>
  <c r="AH33" i="20"/>
  <c r="AH34" i="20"/>
  <c r="AH35" i="20"/>
  <c r="AH36" i="20"/>
  <c r="AH37" i="20"/>
  <c r="AH38" i="20"/>
  <c r="AH39" i="20"/>
  <c r="AH40" i="20"/>
  <c r="AH41" i="20"/>
  <c r="AH42" i="20"/>
  <c r="AH43" i="20"/>
  <c r="AH44" i="20"/>
  <c r="AH45" i="20"/>
  <c r="AH46" i="20"/>
  <c r="AH47" i="20"/>
  <c r="AH48" i="20"/>
  <c r="AH49" i="20"/>
  <c r="AH50" i="20"/>
  <c r="AH51" i="20"/>
  <c r="AH52" i="20"/>
  <c r="AH53" i="20"/>
  <c r="AH54" i="20"/>
  <c r="AH55" i="20"/>
  <c r="AH56" i="20"/>
  <c r="AH57" i="20"/>
  <c r="AH58" i="20"/>
  <c r="AH59" i="20"/>
  <c r="AH60" i="20"/>
  <c r="AH61" i="20"/>
  <c r="AH62" i="20"/>
  <c r="AH63" i="20"/>
  <c r="AH64" i="20"/>
  <c r="AH65" i="20"/>
  <c r="AH66" i="20"/>
  <c r="AH67" i="20"/>
  <c r="AH68" i="20"/>
  <c r="AH69" i="20"/>
  <c r="AH70" i="20"/>
  <c r="AH71" i="20"/>
  <c r="AH72" i="20"/>
  <c r="AH73" i="20"/>
  <c r="AH74" i="20"/>
  <c r="AH75" i="20"/>
  <c r="AH76" i="20"/>
  <c r="AH77" i="20"/>
  <c r="AH78" i="20"/>
  <c r="B42" i="9"/>
  <c r="B30" i="9"/>
  <c r="B18" i="9"/>
  <c r="AG91" i="20"/>
  <c r="AI91" i="20" s="1"/>
  <c r="AG92" i="20"/>
  <c r="AI92" i="20" s="1"/>
  <c r="AG93" i="20"/>
  <c r="AI93" i="20" s="1"/>
  <c r="AG94" i="20"/>
  <c r="AI94" i="20" s="1"/>
  <c r="AG95" i="20"/>
  <c r="AI95" i="20" s="1"/>
  <c r="AG96" i="20"/>
  <c r="AI96" i="20" s="1"/>
  <c r="AG97" i="20"/>
  <c r="AI97" i="20" s="1"/>
  <c r="AG98" i="20"/>
  <c r="AI98" i="20" s="1"/>
  <c r="AG99" i="20"/>
  <c r="AI99" i="20" s="1"/>
  <c r="AG100" i="20"/>
  <c r="AI100" i="20" s="1"/>
  <c r="AG101" i="20"/>
  <c r="AI101" i="20" s="1"/>
  <c r="AG102" i="20"/>
  <c r="AI102" i="20" s="1"/>
  <c r="AG103" i="20"/>
  <c r="AI103" i="20" s="1"/>
  <c r="AG104" i="20"/>
  <c r="AI104" i="20" s="1"/>
  <c r="AG105" i="20"/>
  <c r="AI105" i="20" s="1"/>
  <c r="AG106" i="20"/>
  <c r="AI106" i="20" s="1"/>
  <c r="AH91" i="20"/>
  <c r="AH92" i="20"/>
  <c r="AH93" i="20"/>
  <c r="AH94" i="20"/>
  <c r="AH95" i="20"/>
  <c r="AH96" i="20"/>
  <c r="AH97" i="20"/>
  <c r="AK97" i="20" s="1"/>
  <c r="AH98" i="20"/>
  <c r="AH99" i="20"/>
  <c r="AH100" i="20"/>
  <c r="AH101" i="20"/>
  <c r="AK101" i="20" s="1"/>
  <c r="AH102" i="20"/>
  <c r="AH103" i="20"/>
  <c r="AH104" i="20"/>
  <c r="AH105" i="20"/>
  <c r="AK105" i="20" s="1"/>
  <c r="AH106" i="20"/>
  <c r="H91" i="20"/>
  <c r="H92" i="20"/>
  <c r="H93" i="20"/>
  <c r="J93" i="20" s="1"/>
  <c r="H94" i="20"/>
  <c r="J94" i="20" s="1"/>
  <c r="H95" i="20"/>
  <c r="H96" i="20"/>
  <c r="J96" i="20" s="1"/>
  <c r="H97" i="20"/>
  <c r="J97" i="20" s="1"/>
  <c r="H98" i="20"/>
  <c r="J98" i="20" s="1"/>
  <c r="H99" i="20"/>
  <c r="J99" i="20" s="1"/>
  <c r="H100" i="20"/>
  <c r="J100" i="20" s="1"/>
  <c r="H101" i="20"/>
  <c r="H102" i="20"/>
  <c r="J102" i="20" s="1"/>
  <c r="H103" i="20"/>
  <c r="J103" i="20" s="1"/>
  <c r="H104" i="20"/>
  <c r="J104" i="20" s="1"/>
  <c r="H105" i="20"/>
  <c r="J105" i="20" s="1"/>
  <c r="H106" i="20"/>
  <c r="J106" i="20" s="1"/>
  <c r="I91" i="20"/>
  <c r="I92" i="20"/>
  <c r="I93" i="20"/>
  <c r="I94" i="20"/>
  <c r="I95" i="20"/>
  <c r="I96" i="20"/>
  <c r="I97" i="20"/>
  <c r="T97" i="20" s="1"/>
  <c r="I98" i="20"/>
  <c r="I99" i="20"/>
  <c r="I100" i="20"/>
  <c r="I101" i="20"/>
  <c r="T101" i="20" s="1"/>
  <c r="I102" i="20"/>
  <c r="I103" i="20"/>
  <c r="I104" i="20"/>
  <c r="I105" i="20"/>
  <c r="T105" i="20" s="1"/>
  <c r="I106" i="20"/>
  <c r="AC94" i="20"/>
  <c r="AC93" i="20"/>
  <c r="AC92" i="20"/>
  <c r="AC91" i="20"/>
  <c r="AF91" i="20"/>
  <c r="AF92" i="20"/>
  <c r="AF93" i="20"/>
  <c r="AF94" i="20"/>
  <c r="AC98" i="20"/>
  <c r="AC97" i="20"/>
  <c r="AC96" i="20"/>
  <c r="AC95" i="20"/>
  <c r="AF95" i="20"/>
  <c r="AF96" i="20"/>
  <c r="AF97" i="20"/>
  <c r="AF98" i="20"/>
  <c r="AC102" i="20"/>
  <c r="AC101" i="20"/>
  <c r="AC100" i="20"/>
  <c r="AC99" i="20"/>
  <c r="AF99" i="20"/>
  <c r="AF100" i="20"/>
  <c r="AF101" i="20"/>
  <c r="AF102" i="20"/>
  <c r="AC106" i="20"/>
  <c r="AC105" i="20"/>
  <c r="AC104" i="20"/>
  <c r="AC103" i="20"/>
  <c r="AF103" i="20"/>
  <c r="AF104" i="20"/>
  <c r="AF105" i="20"/>
  <c r="AF106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D94" i="20"/>
  <c r="G91" i="20"/>
  <c r="G92" i="20"/>
  <c r="G93" i="20"/>
  <c r="D91" i="20"/>
  <c r="D92" i="20"/>
  <c r="D93" i="20"/>
  <c r="G94" i="20"/>
  <c r="D98" i="20"/>
  <c r="G95" i="20"/>
  <c r="G96" i="20"/>
  <c r="G97" i="20"/>
  <c r="D95" i="20"/>
  <c r="D96" i="20"/>
  <c r="D97" i="20"/>
  <c r="G98" i="20"/>
  <c r="D102" i="20"/>
  <c r="G99" i="20"/>
  <c r="G100" i="20"/>
  <c r="G101" i="20"/>
  <c r="D99" i="20"/>
  <c r="D100" i="20"/>
  <c r="D101" i="20"/>
  <c r="G102" i="20"/>
  <c r="D106" i="20"/>
  <c r="G103" i="20"/>
  <c r="G104" i="20"/>
  <c r="G105" i="20"/>
  <c r="D103" i="20"/>
  <c r="D104" i="20"/>
  <c r="D105" i="20"/>
  <c r="G106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Q90" i="27"/>
  <c r="AH90" i="27"/>
  <c r="P90" i="27"/>
  <c r="R90" i="27" s="1"/>
  <c r="AG90" i="27"/>
  <c r="AI90" i="27" s="1"/>
  <c r="AF90" i="27"/>
  <c r="AE90" i="27"/>
  <c r="AD90" i="27"/>
  <c r="AC90" i="27"/>
  <c r="I90" i="27"/>
  <c r="T90" i="27" s="1"/>
  <c r="H90" i="27"/>
  <c r="J90" i="27" s="1"/>
  <c r="O90" i="27"/>
  <c r="N90" i="27"/>
  <c r="M90" i="27"/>
  <c r="L90" i="27"/>
  <c r="G90" i="27"/>
  <c r="F90" i="27"/>
  <c r="E90" i="27"/>
  <c r="D90" i="27"/>
  <c r="Q89" i="27"/>
  <c r="AH89" i="27"/>
  <c r="P89" i="27"/>
  <c r="R89" i="27" s="1"/>
  <c r="AG89" i="27"/>
  <c r="AI89" i="27" s="1"/>
  <c r="AF89" i="27"/>
  <c r="AE89" i="27"/>
  <c r="AD89" i="27"/>
  <c r="AC89" i="27"/>
  <c r="I89" i="27"/>
  <c r="H89" i="27"/>
  <c r="J89" i="27" s="1"/>
  <c r="O89" i="27"/>
  <c r="N89" i="27"/>
  <c r="M89" i="27"/>
  <c r="L89" i="27"/>
  <c r="G89" i="27"/>
  <c r="F89" i="27"/>
  <c r="E89" i="27"/>
  <c r="D89" i="27"/>
  <c r="Q88" i="27"/>
  <c r="AH88" i="27"/>
  <c r="P88" i="27"/>
  <c r="R88" i="27" s="1"/>
  <c r="AG88" i="27"/>
  <c r="AI88" i="27" s="1"/>
  <c r="AF88" i="27"/>
  <c r="AE88" i="27"/>
  <c r="AD88" i="27"/>
  <c r="AC88" i="27"/>
  <c r="I88" i="27"/>
  <c r="T88" i="27" s="1"/>
  <c r="H88" i="27"/>
  <c r="J88" i="27" s="1"/>
  <c r="O88" i="27"/>
  <c r="N88" i="27"/>
  <c r="M88" i="27"/>
  <c r="L88" i="27"/>
  <c r="G88" i="27"/>
  <c r="F88" i="27"/>
  <c r="E88" i="27"/>
  <c r="D88" i="27"/>
  <c r="AC87" i="27"/>
  <c r="L87" i="27"/>
  <c r="O87" i="27"/>
  <c r="AF87" i="27"/>
  <c r="N87" i="27"/>
  <c r="AE87" i="27"/>
  <c r="M87" i="27"/>
  <c r="AD87" i="27"/>
  <c r="Q87" i="27"/>
  <c r="AH87" i="27"/>
  <c r="P87" i="27"/>
  <c r="R87" i="27" s="1"/>
  <c r="AG87" i="27"/>
  <c r="AI87" i="27" s="1"/>
  <c r="D87" i="27"/>
  <c r="G87" i="27"/>
  <c r="F87" i="27"/>
  <c r="E87" i="27"/>
  <c r="I87" i="27"/>
  <c r="H87" i="27"/>
  <c r="J87" i="27" s="1"/>
  <c r="Q86" i="27"/>
  <c r="AH86" i="27"/>
  <c r="P86" i="27"/>
  <c r="R86" i="27" s="1"/>
  <c r="AG86" i="27"/>
  <c r="AI86" i="27" s="1"/>
  <c r="AF86" i="27"/>
  <c r="AE86" i="27"/>
  <c r="AD86" i="27"/>
  <c r="AC86" i="27"/>
  <c r="I86" i="27"/>
  <c r="H86" i="27"/>
  <c r="J86" i="27" s="1"/>
  <c r="O86" i="27"/>
  <c r="N86" i="27"/>
  <c r="M86" i="27"/>
  <c r="L86" i="27"/>
  <c r="G86" i="27"/>
  <c r="F86" i="27"/>
  <c r="E86" i="27"/>
  <c r="D86" i="27"/>
  <c r="Q85" i="27"/>
  <c r="AH85" i="27"/>
  <c r="P85" i="27"/>
  <c r="R85" i="27" s="1"/>
  <c r="AG85" i="27"/>
  <c r="AI85" i="27" s="1"/>
  <c r="AF85" i="27"/>
  <c r="AE85" i="27"/>
  <c r="AD85" i="27"/>
  <c r="AC85" i="27"/>
  <c r="I85" i="27"/>
  <c r="H85" i="27"/>
  <c r="O85" i="27"/>
  <c r="N85" i="27"/>
  <c r="M85" i="27"/>
  <c r="L85" i="27"/>
  <c r="G85" i="27"/>
  <c r="F85" i="27"/>
  <c r="E85" i="27"/>
  <c r="D85" i="27"/>
  <c r="Q84" i="27"/>
  <c r="AH84" i="27"/>
  <c r="P84" i="27"/>
  <c r="AG84" i="27"/>
  <c r="AI84" i="27" s="1"/>
  <c r="AF84" i="27"/>
  <c r="AE84" i="27"/>
  <c r="AD84" i="27"/>
  <c r="AC84" i="27"/>
  <c r="I84" i="27"/>
  <c r="H84" i="27"/>
  <c r="J84" i="27" s="1"/>
  <c r="O84" i="27"/>
  <c r="N84" i="27"/>
  <c r="M84" i="27"/>
  <c r="L84" i="27"/>
  <c r="G84" i="27"/>
  <c r="F84" i="27"/>
  <c r="E84" i="27"/>
  <c r="D84" i="27"/>
  <c r="AC83" i="27"/>
  <c r="L83" i="27"/>
  <c r="O83" i="27"/>
  <c r="AF83" i="27"/>
  <c r="N83" i="27"/>
  <c r="AE83" i="27"/>
  <c r="M83" i="27"/>
  <c r="AD83" i="27"/>
  <c r="Q83" i="27"/>
  <c r="AH83" i="27"/>
  <c r="P83" i="27"/>
  <c r="R83" i="27" s="1"/>
  <c r="AG83" i="27"/>
  <c r="AI83" i="27" s="1"/>
  <c r="D83" i="27"/>
  <c r="G83" i="27"/>
  <c r="F83" i="27"/>
  <c r="E83" i="27"/>
  <c r="I83" i="27"/>
  <c r="H83" i="27"/>
  <c r="J83" i="27" s="1"/>
  <c r="Q82" i="27"/>
  <c r="AH82" i="27"/>
  <c r="P82" i="27"/>
  <c r="R82" i="27" s="1"/>
  <c r="AG82" i="27"/>
  <c r="AI82" i="27" s="1"/>
  <c r="AF82" i="27"/>
  <c r="AE82" i="27"/>
  <c r="AD82" i="27"/>
  <c r="AC82" i="27"/>
  <c r="I82" i="27"/>
  <c r="T82" i="27" s="1"/>
  <c r="H82" i="27"/>
  <c r="O82" i="27"/>
  <c r="N82" i="27"/>
  <c r="M82" i="27"/>
  <c r="L82" i="27"/>
  <c r="G82" i="27"/>
  <c r="F82" i="27"/>
  <c r="E82" i="27"/>
  <c r="D82" i="27"/>
  <c r="Q81" i="27"/>
  <c r="AH81" i="27"/>
  <c r="P81" i="27"/>
  <c r="AG81" i="27"/>
  <c r="AI81" i="27" s="1"/>
  <c r="AF81" i="27"/>
  <c r="AE81" i="27"/>
  <c r="AD81" i="27"/>
  <c r="AC81" i="27"/>
  <c r="I81" i="27"/>
  <c r="H81" i="27"/>
  <c r="J81" i="27" s="1"/>
  <c r="O81" i="27"/>
  <c r="N81" i="27"/>
  <c r="M81" i="27"/>
  <c r="L81" i="27"/>
  <c r="G81" i="27"/>
  <c r="F81" i="27"/>
  <c r="E81" i="27"/>
  <c r="D81" i="27"/>
  <c r="Q80" i="27"/>
  <c r="AH80" i="27"/>
  <c r="P80" i="27"/>
  <c r="R80" i="27" s="1"/>
  <c r="AG80" i="27"/>
  <c r="AI80" i="27" s="1"/>
  <c r="AF80" i="27"/>
  <c r="AE80" i="27"/>
  <c r="AD80" i="27"/>
  <c r="AC80" i="27"/>
  <c r="I80" i="27"/>
  <c r="H80" i="27"/>
  <c r="J80" i="27" s="1"/>
  <c r="O80" i="27"/>
  <c r="N80" i="27"/>
  <c r="M80" i="27"/>
  <c r="L80" i="27"/>
  <c r="G80" i="27"/>
  <c r="F80" i="27"/>
  <c r="E80" i="27"/>
  <c r="D80" i="27"/>
  <c r="AC79" i="27"/>
  <c r="L79" i="27"/>
  <c r="O79" i="27"/>
  <c r="AF79" i="27"/>
  <c r="N79" i="27"/>
  <c r="AE79" i="27"/>
  <c r="M79" i="27"/>
  <c r="AD79" i="27"/>
  <c r="Q79" i="27"/>
  <c r="AH79" i="27"/>
  <c r="P79" i="27"/>
  <c r="R79" i="27" s="1"/>
  <c r="AG79" i="27"/>
  <c r="AI79" i="27" s="1"/>
  <c r="D79" i="27"/>
  <c r="G79" i="27"/>
  <c r="F79" i="27"/>
  <c r="E79" i="27"/>
  <c r="I79" i="27"/>
  <c r="H79" i="27"/>
  <c r="J79" i="27" s="1"/>
  <c r="Q106" i="27"/>
  <c r="AH106" i="27"/>
  <c r="P106" i="27"/>
  <c r="R106" i="27" s="1"/>
  <c r="AG106" i="27"/>
  <c r="AI106" i="27" s="1"/>
  <c r="AF106" i="27"/>
  <c r="AE106" i="27"/>
  <c r="AD106" i="27"/>
  <c r="AC106" i="27"/>
  <c r="I106" i="27"/>
  <c r="T106" i="27" s="1"/>
  <c r="H106" i="27"/>
  <c r="J106" i="27" s="1"/>
  <c r="O106" i="27"/>
  <c r="N106" i="27"/>
  <c r="M106" i="27"/>
  <c r="L106" i="27"/>
  <c r="G106" i="27"/>
  <c r="F106" i="27"/>
  <c r="E106" i="27"/>
  <c r="D106" i="27"/>
  <c r="Q105" i="27"/>
  <c r="AH105" i="27"/>
  <c r="P105" i="27"/>
  <c r="R105" i="27" s="1"/>
  <c r="AG105" i="27"/>
  <c r="AI105" i="27" s="1"/>
  <c r="AF105" i="27"/>
  <c r="AE105" i="27"/>
  <c r="AD105" i="27"/>
  <c r="AC105" i="27"/>
  <c r="I105" i="27"/>
  <c r="H105" i="27"/>
  <c r="J105" i="27" s="1"/>
  <c r="O105" i="27"/>
  <c r="N105" i="27"/>
  <c r="M105" i="27"/>
  <c r="L105" i="27"/>
  <c r="G105" i="27"/>
  <c r="F105" i="27"/>
  <c r="E105" i="27"/>
  <c r="D105" i="27"/>
  <c r="Q104" i="27"/>
  <c r="AH104" i="27"/>
  <c r="P104" i="27"/>
  <c r="R104" i="27" s="1"/>
  <c r="AG104" i="27"/>
  <c r="AI104" i="27" s="1"/>
  <c r="AF104" i="27"/>
  <c r="AE104" i="27"/>
  <c r="AD104" i="27"/>
  <c r="AC104" i="27"/>
  <c r="I104" i="27"/>
  <c r="H104" i="27"/>
  <c r="O104" i="27"/>
  <c r="N104" i="27"/>
  <c r="M104" i="27"/>
  <c r="L104" i="27"/>
  <c r="G104" i="27"/>
  <c r="F104" i="27"/>
  <c r="E104" i="27"/>
  <c r="D104" i="27"/>
  <c r="AC103" i="27"/>
  <c r="L103" i="27"/>
  <c r="O103" i="27"/>
  <c r="AF103" i="27"/>
  <c r="N103" i="27"/>
  <c r="AE103" i="27"/>
  <c r="M103" i="27"/>
  <c r="AD103" i="27"/>
  <c r="Q103" i="27"/>
  <c r="AH103" i="27"/>
  <c r="P103" i="27"/>
  <c r="AG103" i="27"/>
  <c r="AI103" i="27" s="1"/>
  <c r="D103" i="27"/>
  <c r="G103" i="27"/>
  <c r="F103" i="27"/>
  <c r="E103" i="27"/>
  <c r="I103" i="27"/>
  <c r="H103" i="27"/>
  <c r="J103" i="27" s="1"/>
  <c r="Q102" i="27"/>
  <c r="AH102" i="27"/>
  <c r="P102" i="27"/>
  <c r="AG102" i="27"/>
  <c r="AI102" i="27" s="1"/>
  <c r="AF102" i="27"/>
  <c r="AE102" i="27"/>
  <c r="AD102" i="27"/>
  <c r="AC102" i="27"/>
  <c r="I102" i="27"/>
  <c r="T102" i="27" s="1"/>
  <c r="H102" i="27"/>
  <c r="J102" i="27" s="1"/>
  <c r="O102" i="27"/>
  <c r="N102" i="27"/>
  <c r="M102" i="27"/>
  <c r="L102" i="27"/>
  <c r="G102" i="27"/>
  <c r="F102" i="27"/>
  <c r="E102" i="27"/>
  <c r="D102" i="27"/>
  <c r="Q101" i="27"/>
  <c r="AH101" i="27"/>
  <c r="P101" i="27"/>
  <c r="R101" i="27" s="1"/>
  <c r="AG101" i="27"/>
  <c r="AI101" i="27" s="1"/>
  <c r="AF101" i="27"/>
  <c r="AE101" i="27"/>
  <c r="AD101" i="27"/>
  <c r="AC101" i="27"/>
  <c r="I101" i="27"/>
  <c r="H101" i="27"/>
  <c r="J101" i="27" s="1"/>
  <c r="O101" i="27"/>
  <c r="N101" i="27"/>
  <c r="M101" i="27"/>
  <c r="L101" i="27"/>
  <c r="G101" i="27"/>
  <c r="F101" i="27"/>
  <c r="E101" i="27"/>
  <c r="D101" i="27"/>
  <c r="Q100" i="27"/>
  <c r="AH100" i="27"/>
  <c r="P100" i="27"/>
  <c r="R100" i="27" s="1"/>
  <c r="AG100" i="27"/>
  <c r="AI100" i="27" s="1"/>
  <c r="AF100" i="27"/>
  <c r="AE100" i="27"/>
  <c r="AD100" i="27"/>
  <c r="AC100" i="27"/>
  <c r="I100" i="27"/>
  <c r="H100" i="27"/>
  <c r="J100" i="27" s="1"/>
  <c r="O100" i="27"/>
  <c r="N100" i="27"/>
  <c r="M100" i="27"/>
  <c r="L100" i="27"/>
  <c r="G100" i="27"/>
  <c r="F100" i="27"/>
  <c r="E100" i="27"/>
  <c r="D100" i="27"/>
  <c r="AC99" i="27"/>
  <c r="L99" i="27"/>
  <c r="O99" i="27"/>
  <c r="AF99" i="27"/>
  <c r="N99" i="27"/>
  <c r="AE99" i="27"/>
  <c r="M99" i="27"/>
  <c r="AD99" i="27"/>
  <c r="Q99" i="27"/>
  <c r="AH99" i="27"/>
  <c r="P99" i="27"/>
  <c r="R99" i="27" s="1"/>
  <c r="AG99" i="27"/>
  <c r="AI99" i="27" s="1"/>
  <c r="D99" i="27"/>
  <c r="G99" i="27"/>
  <c r="F99" i="27"/>
  <c r="E99" i="27"/>
  <c r="I99" i="27"/>
  <c r="H99" i="27"/>
  <c r="Q98" i="27"/>
  <c r="AH98" i="27"/>
  <c r="P98" i="27"/>
  <c r="R98" i="27" s="1"/>
  <c r="AG98" i="27"/>
  <c r="AI98" i="27" s="1"/>
  <c r="AF98" i="27"/>
  <c r="AE98" i="27"/>
  <c r="AD98" i="27"/>
  <c r="AC98" i="27"/>
  <c r="I98" i="27"/>
  <c r="H98" i="27"/>
  <c r="J98" i="27" s="1"/>
  <c r="O98" i="27"/>
  <c r="N98" i="27"/>
  <c r="M98" i="27"/>
  <c r="L98" i="27"/>
  <c r="G98" i="27"/>
  <c r="F98" i="27"/>
  <c r="E98" i="27"/>
  <c r="D98" i="27"/>
  <c r="Q97" i="27"/>
  <c r="AH97" i="27"/>
  <c r="P97" i="27"/>
  <c r="R97" i="27" s="1"/>
  <c r="AG97" i="27"/>
  <c r="AI97" i="27" s="1"/>
  <c r="AF97" i="27"/>
  <c r="AE97" i="27"/>
  <c r="AD97" i="27"/>
  <c r="AC97" i="27"/>
  <c r="I97" i="27"/>
  <c r="H97" i="27"/>
  <c r="J97" i="27" s="1"/>
  <c r="O97" i="27"/>
  <c r="N97" i="27"/>
  <c r="M97" i="27"/>
  <c r="L97" i="27"/>
  <c r="G97" i="27"/>
  <c r="F97" i="27"/>
  <c r="E97" i="27"/>
  <c r="D97" i="27"/>
  <c r="Q96" i="27"/>
  <c r="AH96" i="27"/>
  <c r="P96" i="27"/>
  <c r="R96" i="27" s="1"/>
  <c r="AG96" i="27"/>
  <c r="AI96" i="27" s="1"/>
  <c r="AF96" i="27"/>
  <c r="AE96" i="27"/>
  <c r="AD96" i="27"/>
  <c r="AC96" i="27"/>
  <c r="I96" i="27"/>
  <c r="H96" i="27"/>
  <c r="J96" i="27" s="1"/>
  <c r="O96" i="27"/>
  <c r="N96" i="27"/>
  <c r="M96" i="27"/>
  <c r="L96" i="27"/>
  <c r="G96" i="27"/>
  <c r="F96" i="27"/>
  <c r="E96" i="27"/>
  <c r="D96" i="27"/>
  <c r="AC95" i="27"/>
  <c r="L95" i="27"/>
  <c r="O95" i="27"/>
  <c r="AF95" i="27"/>
  <c r="N95" i="27"/>
  <c r="AE95" i="27"/>
  <c r="M95" i="27"/>
  <c r="AD95" i="27"/>
  <c r="Q95" i="27"/>
  <c r="AH95" i="27"/>
  <c r="P95" i="27"/>
  <c r="AG95" i="27"/>
  <c r="AI95" i="27" s="1"/>
  <c r="D95" i="27"/>
  <c r="G95" i="27"/>
  <c r="F95" i="27"/>
  <c r="E95" i="27"/>
  <c r="I95" i="27"/>
  <c r="H95" i="27"/>
  <c r="J95" i="27" s="1"/>
  <c r="Q94" i="27"/>
  <c r="AH94" i="27"/>
  <c r="P94" i="27"/>
  <c r="R94" i="27" s="1"/>
  <c r="AG94" i="27"/>
  <c r="AI94" i="27" s="1"/>
  <c r="AF94" i="27"/>
  <c r="AE94" i="27"/>
  <c r="AD94" i="27"/>
  <c r="AC94" i="27"/>
  <c r="I94" i="27"/>
  <c r="H94" i="27"/>
  <c r="J94" i="27" s="1"/>
  <c r="O94" i="27"/>
  <c r="N94" i="27"/>
  <c r="M94" i="27"/>
  <c r="L94" i="27"/>
  <c r="G94" i="27"/>
  <c r="F94" i="27"/>
  <c r="E94" i="27"/>
  <c r="D94" i="27"/>
  <c r="Q93" i="27"/>
  <c r="AH93" i="27"/>
  <c r="P93" i="27"/>
  <c r="R93" i="27" s="1"/>
  <c r="AG93" i="27"/>
  <c r="AI93" i="27" s="1"/>
  <c r="AF93" i="27"/>
  <c r="AE93" i="27"/>
  <c r="AD93" i="27"/>
  <c r="AC93" i="27"/>
  <c r="I93" i="27"/>
  <c r="H93" i="27"/>
  <c r="J93" i="27" s="1"/>
  <c r="O93" i="27"/>
  <c r="N93" i="27"/>
  <c r="M93" i="27"/>
  <c r="L93" i="27"/>
  <c r="G93" i="27"/>
  <c r="F93" i="27"/>
  <c r="E93" i="27"/>
  <c r="D93" i="27"/>
  <c r="Q92" i="27"/>
  <c r="AH92" i="27"/>
  <c r="P92" i="27"/>
  <c r="R92" i="27" s="1"/>
  <c r="AG92" i="27"/>
  <c r="AI92" i="27" s="1"/>
  <c r="AF92" i="27"/>
  <c r="AE92" i="27"/>
  <c r="AD92" i="27"/>
  <c r="AC92" i="27"/>
  <c r="I92" i="27"/>
  <c r="H92" i="27"/>
  <c r="J92" i="27" s="1"/>
  <c r="O92" i="27"/>
  <c r="N92" i="27"/>
  <c r="M92" i="27"/>
  <c r="L92" i="27"/>
  <c r="G92" i="27"/>
  <c r="F92" i="27"/>
  <c r="E92" i="27"/>
  <c r="D92" i="27"/>
  <c r="AC91" i="27"/>
  <c r="L91" i="27"/>
  <c r="O91" i="27"/>
  <c r="AF91" i="27"/>
  <c r="N91" i="27"/>
  <c r="AE91" i="27"/>
  <c r="M91" i="27"/>
  <c r="AD91" i="27"/>
  <c r="Q91" i="27"/>
  <c r="AH91" i="27"/>
  <c r="P91" i="27"/>
  <c r="R91" i="27" s="1"/>
  <c r="AG91" i="27"/>
  <c r="AI91" i="27" s="1"/>
  <c r="D91" i="27"/>
  <c r="G91" i="27"/>
  <c r="F91" i="27"/>
  <c r="E91" i="27"/>
  <c r="I91" i="27"/>
  <c r="H91" i="27"/>
  <c r="J91" i="27" s="1"/>
  <c r="Q78" i="27"/>
  <c r="AH78" i="27"/>
  <c r="P78" i="27"/>
  <c r="R78" i="27" s="1"/>
  <c r="AG78" i="27"/>
  <c r="AI78" i="27" s="1"/>
  <c r="AF78" i="27"/>
  <c r="AE78" i="27"/>
  <c r="AD78" i="27"/>
  <c r="AC78" i="27"/>
  <c r="I78" i="27"/>
  <c r="T78" i="27" s="1"/>
  <c r="H78" i="27"/>
  <c r="J78" i="27" s="1"/>
  <c r="O78" i="27"/>
  <c r="N78" i="27"/>
  <c r="M78" i="27"/>
  <c r="L78" i="27"/>
  <c r="G78" i="27"/>
  <c r="F78" i="27"/>
  <c r="E78" i="27"/>
  <c r="D78" i="27"/>
  <c r="Q77" i="27"/>
  <c r="T77" i="27" s="1"/>
  <c r="AH77" i="27"/>
  <c r="P77" i="27"/>
  <c r="R77" i="27" s="1"/>
  <c r="AG77" i="27"/>
  <c r="AI77" i="27" s="1"/>
  <c r="AF77" i="27"/>
  <c r="AE77" i="27"/>
  <c r="AD77" i="27"/>
  <c r="AC77" i="27"/>
  <c r="I77" i="27"/>
  <c r="H77" i="27"/>
  <c r="J77" i="27" s="1"/>
  <c r="O77" i="27"/>
  <c r="N77" i="27"/>
  <c r="M77" i="27"/>
  <c r="L77" i="27"/>
  <c r="G77" i="27"/>
  <c r="F77" i="27"/>
  <c r="E77" i="27"/>
  <c r="D77" i="27"/>
  <c r="Q76" i="27"/>
  <c r="AH76" i="27"/>
  <c r="P76" i="27"/>
  <c r="R76" i="27" s="1"/>
  <c r="AG76" i="27"/>
  <c r="AI76" i="27" s="1"/>
  <c r="AF76" i="27"/>
  <c r="AE76" i="27"/>
  <c r="AD76" i="27"/>
  <c r="AC76" i="27"/>
  <c r="I76" i="27"/>
  <c r="H76" i="27"/>
  <c r="J76" i="27" s="1"/>
  <c r="O76" i="27"/>
  <c r="N76" i="27"/>
  <c r="M76" i="27"/>
  <c r="L76" i="27"/>
  <c r="G76" i="27"/>
  <c r="F76" i="27"/>
  <c r="E76" i="27"/>
  <c r="D76" i="27"/>
  <c r="AC75" i="27"/>
  <c r="L75" i="27"/>
  <c r="O75" i="27"/>
  <c r="AF75" i="27"/>
  <c r="N75" i="27"/>
  <c r="AE75" i="27"/>
  <c r="M75" i="27"/>
  <c r="AD75" i="27"/>
  <c r="Q75" i="27"/>
  <c r="AH75" i="27"/>
  <c r="P75" i="27"/>
  <c r="R75" i="27" s="1"/>
  <c r="AG75" i="27"/>
  <c r="AI75" i="27" s="1"/>
  <c r="D75" i="27"/>
  <c r="G75" i="27"/>
  <c r="F75" i="27"/>
  <c r="E75" i="27"/>
  <c r="I75" i="27"/>
  <c r="H75" i="27"/>
  <c r="Q74" i="27"/>
  <c r="AH74" i="27"/>
  <c r="P74" i="27"/>
  <c r="R74" i="27" s="1"/>
  <c r="AG74" i="27"/>
  <c r="AI74" i="27" s="1"/>
  <c r="AF74" i="27"/>
  <c r="AE74" i="27"/>
  <c r="AD74" i="27"/>
  <c r="AC74" i="27"/>
  <c r="I74" i="27"/>
  <c r="H74" i="27"/>
  <c r="J74" i="27" s="1"/>
  <c r="O74" i="27"/>
  <c r="N74" i="27"/>
  <c r="M74" i="27"/>
  <c r="L74" i="27"/>
  <c r="G74" i="27"/>
  <c r="F74" i="27"/>
  <c r="E74" i="27"/>
  <c r="D74" i="27"/>
  <c r="Q73" i="27"/>
  <c r="AH73" i="27"/>
  <c r="P73" i="27"/>
  <c r="R73" i="27" s="1"/>
  <c r="AG73" i="27"/>
  <c r="AI73" i="27" s="1"/>
  <c r="AF73" i="27"/>
  <c r="AE73" i="27"/>
  <c r="AD73" i="27"/>
  <c r="AC73" i="27"/>
  <c r="I73" i="27"/>
  <c r="H73" i="27"/>
  <c r="J73" i="27" s="1"/>
  <c r="O73" i="27"/>
  <c r="N73" i="27"/>
  <c r="M73" i="27"/>
  <c r="L73" i="27"/>
  <c r="G73" i="27"/>
  <c r="F73" i="27"/>
  <c r="E73" i="27"/>
  <c r="D73" i="27"/>
  <c r="Q72" i="27"/>
  <c r="AH72" i="27"/>
  <c r="P72" i="27"/>
  <c r="R72" i="27" s="1"/>
  <c r="AG72" i="27"/>
  <c r="AI72" i="27" s="1"/>
  <c r="AF72" i="27"/>
  <c r="AE72" i="27"/>
  <c r="AD72" i="27"/>
  <c r="AC72" i="27"/>
  <c r="I72" i="27"/>
  <c r="H72" i="27"/>
  <c r="O72" i="27"/>
  <c r="N72" i="27"/>
  <c r="M72" i="27"/>
  <c r="L72" i="27"/>
  <c r="G72" i="27"/>
  <c r="F72" i="27"/>
  <c r="E72" i="27"/>
  <c r="D72" i="27"/>
  <c r="AC71" i="27"/>
  <c r="L71" i="27"/>
  <c r="O71" i="27"/>
  <c r="AF71" i="27"/>
  <c r="N71" i="27"/>
  <c r="AE71" i="27"/>
  <c r="M71" i="27"/>
  <c r="AD71" i="27"/>
  <c r="Q71" i="27"/>
  <c r="AH71" i="27"/>
  <c r="P71" i="27"/>
  <c r="R71" i="27" s="1"/>
  <c r="AG71" i="27"/>
  <c r="AI71" i="27" s="1"/>
  <c r="D71" i="27"/>
  <c r="G71" i="27"/>
  <c r="F71" i="27"/>
  <c r="E71" i="27"/>
  <c r="I71" i="27"/>
  <c r="H71" i="27"/>
  <c r="J71" i="27" s="1"/>
  <c r="Q70" i="27"/>
  <c r="AH70" i="27"/>
  <c r="P70" i="27"/>
  <c r="R70" i="27" s="1"/>
  <c r="AG70" i="27"/>
  <c r="AI70" i="27" s="1"/>
  <c r="AF70" i="27"/>
  <c r="AE70" i="27"/>
  <c r="AD70" i="27"/>
  <c r="AC70" i="27"/>
  <c r="I70" i="27"/>
  <c r="H70" i="27"/>
  <c r="O70" i="27"/>
  <c r="N70" i="27"/>
  <c r="M70" i="27"/>
  <c r="L70" i="27"/>
  <c r="G70" i="27"/>
  <c r="F70" i="27"/>
  <c r="E70" i="27"/>
  <c r="D70" i="27"/>
  <c r="Q69" i="27"/>
  <c r="AH69" i="27"/>
  <c r="P69" i="27"/>
  <c r="R69" i="27" s="1"/>
  <c r="AG69" i="27"/>
  <c r="AI69" i="27" s="1"/>
  <c r="AF69" i="27"/>
  <c r="AE69" i="27"/>
  <c r="AD69" i="27"/>
  <c r="AC69" i="27"/>
  <c r="I69" i="27"/>
  <c r="H69" i="27"/>
  <c r="J69" i="27" s="1"/>
  <c r="O69" i="27"/>
  <c r="N69" i="27"/>
  <c r="M69" i="27"/>
  <c r="L69" i="27"/>
  <c r="G69" i="27"/>
  <c r="F69" i="27"/>
  <c r="E69" i="27"/>
  <c r="D69" i="27"/>
  <c r="Q68" i="27"/>
  <c r="AH68" i="27"/>
  <c r="P68" i="27"/>
  <c r="R68" i="27" s="1"/>
  <c r="AG68" i="27"/>
  <c r="AI68" i="27" s="1"/>
  <c r="AF68" i="27"/>
  <c r="AE68" i="27"/>
  <c r="AD68" i="27"/>
  <c r="AC68" i="27"/>
  <c r="I68" i="27"/>
  <c r="H68" i="27"/>
  <c r="O68" i="27"/>
  <c r="N68" i="27"/>
  <c r="M68" i="27"/>
  <c r="L68" i="27"/>
  <c r="G68" i="27"/>
  <c r="F68" i="27"/>
  <c r="E68" i="27"/>
  <c r="D68" i="27"/>
  <c r="AC67" i="27"/>
  <c r="L67" i="27"/>
  <c r="O67" i="27"/>
  <c r="AF67" i="27"/>
  <c r="N67" i="27"/>
  <c r="AE67" i="27"/>
  <c r="M67" i="27"/>
  <c r="AD67" i="27"/>
  <c r="Q67" i="27"/>
  <c r="AH67" i="27"/>
  <c r="P67" i="27"/>
  <c r="R67" i="27" s="1"/>
  <c r="AG67" i="27"/>
  <c r="AI67" i="27" s="1"/>
  <c r="D67" i="27"/>
  <c r="G67" i="27"/>
  <c r="F67" i="27"/>
  <c r="E67" i="27"/>
  <c r="I67" i="27"/>
  <c r="H67" i="27"/>
  <c r="Q66" i="27"/>
  <c r="AH66" i="27"/>
  <c r="P66" i="27"/>
  <c r="AG66" i="27"/>
  <c r="AI66" i="27" s="1"/>
  <c r="AF66" i="27"/>
  <c r="AE66" i="27"/>
  <c r="AD66" i="27"/>
  <c r="AC66" i="27"/>
  <c r="I66" i="27"/>
  <c r="H66" i="27"/>
  <c r="J66" i="27" s="1"/>
  <c r="O66" i="27"/>
  <c r="N66" i="27"/>
  <c r="M66" i="27"/>
  <c r="L66" i="27"/>
  <c r="G66" i="27"/>
  <c r="F66" i="27"/>
  <c r="E66" i="27"/>
  <c r="D66" i="27"/>
  <c r="Q65" i="27"/>
  <c r="AH65" i="27"/>
  <c r="P65" i="27"/>
  <c r="R65" i="27" s="1"/>
  <c r="AG65" i="27"/>
  <c r="AI65" i="27" s="1"/>
  <c r="AF65" i="27"/>
  <c r="AE65" i="27"/>
  <c r="AD65" i="27"/>
  <c r="AC65" i="27"/>
  <c r="I65" i="27"/>
  <c r="T65" i="27" s="1"/>
  <c r="H65" i="27"/>
  <c r="O65" i="27"/>
  <c r="N65" i="27"/>
  <c r="M65" i="27"/>
  <c r="L65" i="27"/>
  <c r="G65" i="27"/>
  <c r="F65" i="27"/>
  <c r="E65" i="27"/>
  <c r="D65" i="27"/>
  <c r="Q64" i="27"/>
  <c r="AH64" i="27"/>
  <c r="P64" i="27"/>
  <c r="R64" i="27" s="1"/>
  <c r="AG64" i="27"/>
  <c r="AI64" i="27" s="1"/>
  <c r="AF64" i="27"/>
  <c r="AE64" i="27"/>
  <c r="AD64" i="27"/>
  <c r="AC64" i="27"/>
  <c r="I64" i="27"/>
  <c r="H64" i="27"/>
  <c r="J64" i="27" s="1"/>
  <c r="O64" i="27"/>
  <c r="N64" i="27"/>
  <c r="M64" i="27"/>
  <c r="L64" i="27"/>
  <c r="G64" i="27"/>
  <c r="F64" i="27"/>
  <c r="E64" i="27"/>
  <c r="D64" i="27"/>
  <c r="AC63" i="27"/>
  <c r="L63" i="27"/>
  <c r="O63" i="27"/>
  <c r="AF63" i="27"/>
  <c r="N63" i="27"/>
  <c r="AE63" i="27"/>
  <c r="M63" i="27"/>
  <c r="AD63" i="27"/>
  <c r="Q63" i="27"/>
  <c r="AH63" i="27"/>
  <c r="P63" i="27"/>
  <c r="R63" i="27" s="1"/>
  <c r="AG63" i="27"/>
  <c r="AI63" i="27" s="1"/>
  <c r="D63" i="27"/>
  <c r="G63" i="27"/>
  <c r="F63" i="27"/>
  <c r="E63" i="27"/>
  <c r="I63" i="27"/>
  <c r="H63" i="27"/>
  <c r="J63" i="27" s="1"/>
  <c r="Q62" i="27"/>
  <c r="AH62" i="27"/>
  <c r="P62" i="27"/>
  <c r="R62" i="27" s="1"/>
  <c r="AG62" i="27"/>
  <c r="AI62" i="27" s="1"/>
  <c r="AF62" i="27"/>
  <c r="AE62" i="27"/>
  <c r="AD62" i="27"/>
  <c r="AC62" i="27"/>
  <c r="I62" i="27"/>
  <c r="H62" i="27"/>
  <c r="O62" i="27"/>
  <c r="N62" i="27"/>
  <c r="M62" i="27"/>
  <c r="L62" i="27"/>
  <c r="G62" i="27"/>
  <c r="F62" i="27"/>
  <c r="E62" i="27"/>
  <c r="D62" i="27"/>
  <c r="Q61" i="27"/>
  <c r="AH61" i="27"/>
  <c r="P61" i="27"/>
  <c r="R61" i="27" s="1"/>
  <c r="AG61" i="27"/>
  <c r="AI61" i="27" s="1"/>
  <c r="AF61" i="27"/>
  <c r="AE61" i="27"/>
  <c r="AD61" i="27"/>
  <c r="AC61" i="27"/>
  <c r="I61" i="27"/>
  <c r="H61" i="27"/>
  <c r="O61" i="27"/>
  <c r="N61" i="27"/>
  <c r="M61" i="27"/>
  <c r="L61" i="27"/>
  <c r="G61" i="27"/>
  <c r="F61" i="27"/>
  <c r="E61" i="27"/>
  <c r="D61" i="27"/>
  <c r="Q60" i="27"/>
  <c r="AH60" i="27"/>
  <c r="P60" i="27"/>
  <c r="R60" i="27" s="1"/>
  <c r="AG60" i="27"/>
  <c r="AI60" i="27" s="1"/>
  <c r="AF60" i="27"/>
  <c r="AE60" i="27"/>
  <c r="AD60" i="27"/>
  <c r="AC60" i="27"/>
  <c r="I60" i="27"/>
  <c r="H60" i="27"/>
  <c r="J60" i="27" s="1"/>
  <c r="O60" i="27"/>
  <c r="N60" i="27"/>
  <c r="M60" i="27"/>
  <c r="L60" i="27"/>
  <c r="G60" i="27"/>
  <c r="F60" i="27"/>
  <c r="E60" i="27"/>
  <c r="D60" i="27"/>
  <c r="AC59" i="27"/>
  <c r="L59" i="27"/>
  <c r="O59" i="27"/>
  <c r="AF59" i="27"/>
  <c r="N59" i="27"/>
  <c r="AE59" i="27"/>
  <c r="M59" i="27"/>
  <c r="AD59" i="27"/>
  <c r="Q59" i="27"/>
  <c r="AH59" i="27"/>
  <c r="P59" i="27"/>
  <c r="R59" i="27" s="1"/>
  <c r="AG59" i="27"/>
  <c r="AI59" i="27" s="1"/>
  <c r="D59" i="27"/>
  <c r="G59" i="27"/>
  <c r="F59" i="27"/>
  <c r="E59" i="27"/>
  <c r="I59" i="27"/>
  <c r="T59" i="27" s="1"/>
  <c r="H59" i="27"/>
  <c r="Q58" i="27"/>
  <c r="AH58" i="27"/>
  <c r="P58" i="27"/>
  <c r="AG58" i="27"/>
  <c r="AI58" i="27" s="1"/>
  <c r="AF58" i="27"/>
  <c r="AE58" i="27"/>
  <c r="AD58" i="27"/>
  <c r="AC58" i="27"/>
  <c r="I58" i="27"/>
  <c r="H58" i="27"/>
  <c r="J58" i="27" s="1"/>
  <c r="O58" i="27"/>
  <c r="N58" i="27"/>
  <c r="M58" i="27"/>
  <c r="L58" i="27"/>
  <c r="G58" i="27"/>
  <c r="F58" i="27"/>
  <c r="E58" i="27"/>
  <c r="D58" i="27"/>
  <c r="Q57" i="27"/>
  <c r="AH57" i="27"/>
  <c r="P57" i="27"/>
  <c r="AG57" i="27"/>
  <c r="AI57" i="27" s="1"/>
  <c r="AF57" i="27"/>
  <c r="AE57" i="27"/>
  <c r="AD57" i="27"/>
  <c r="AC57" i="27"/>
  <c r="I57" i="27"/>
  <c r="H57" i="27"/>
  <c r="J57" i="27" s="1"/>
  <c r="O57" i="27"/>
  <c r="N57" i="27"/>
  <c r="M57" i="27"/>
  <c r="L57" i="27"/>
  <c r="G57" i="27"/>
  <c r="F57" i="27"/>
  <c r="E57" i="27"/>
  <c r="D57" i="27"/>
  <c r="Q56" i="27"/>
  <c r="AH56" i="27"/>
  <c r="P56" i="27"/>
  <c r="R56" i="27" s="1"/>
  <c r="AG56" i="27"/>
  <c r="AI56" i="27" s="1"/>
  <c r="AF56" i="27"/>
  <c r="AE56" i="27"/>
  <c r="AD56" i="27"/>
  <c r="AC56" i="27"/>
  <c r="I56" i="27"/>
  <c r="H56" i="27"/>
  <c r="J56" i="27" s="1"/>
  <c r="O56" i="27"/>
  <c r="N56" i="27"/>
  <c r="M56" i="27"/>
  <c r="L56" i="27"/>
  <c r="G56" i="27"/>
  <c r="F56" i="27"/>
  <c r="E56" i="27"/>
  <c r="D56" i="27"/>
  <c r="AC55" i="27"/>
  <c r="L55" i="27"/>
  <c r="O55" i="27"/>
  <c r="AF55" i="27"/>
  <c r="N55" i="27"/>
  <c r="AE55" i="27"/>
  <c r="M55" i="27"/>
  <c r="AD55" i="27"/>
  <c r="Q55" i="27"/>
  <c r="AH55" i="27"/>
  <c r="P55" i="27"/>
  <c r="AG55" i="27"/>
  <c r="AI55" i="27" s="1"/>
  <c r="D55" i="27"/>
  <c r="G55" i="27"/>
  <c r="F55" i="27"/>
  <c r="E55" i="27"/>
  <c r="I55" i="27"/>
  <c r="T55" i="27" s="1"/>
  <c r="H55" i="27"/>
  <c r="J55" i="27" s="1"/>
  <c r="Q54" i="27"/>
  <c r="AH54" i="27"/>
  <c r="P54" i="27"/>
  <c r="AG54" i="27"/>
  <c r="AI54" i="27" s="1"/>
  <c r="AF54" i="27"/>
  <c r="AE54" i="27"/>
  <c r="AD54" i="27"/>
  <c r="AC54" i="27"/>
  <c r="I54" i="27"/>
  <c r="T54" i="27" s="1"/>
  <c r="H54" i="27"/>
  <c r="J54" i="27" s="1"/>
  <c r="O54" i="27"/>
  <c r="N54" i="27"/>
  <c r="M54" i="27"/>
  <c r="L54" i="27"/>
  <c r="G54" i="27"/>
  <c r="F54" i="27"/>
  <c r="E54" i="27"/>
  <c r="D54" i="27"/>
  <c r="Q53" i="27"/>
  <c r="AH53" i="27"/>
  <c r="P53" i="27"/>
  <c r="R53" i="27" s="1"/>
  <c r="AG53" i="27"/>
  <c r="AI53" i="27" s="1"/>
  <c r="AF53" i="27"/>
  <c r="AE53" i="27"/>
  <c r="AD53" i="27"/>
  <c r="AC53" i="27"/>
  <c r="I53" i="27"/>
  <c r="H53" i="27"/>
  <c r="J53" i="27" s="1"/>
  <c r="O53" i="27"/>
  <c r="N53" i="27"/>
  <c r="M53" i="27"/>
  <c r="L53" i="27"/>
  <c r="G53" i="27"/>
  <c r="F53" i="27"/>
  <c r="E53" i="27"/>
  <c r="D53" i="27"/>
  <c r="Q52" i="27"/>
  <c r="AH52" i="27"/>
  <c r="P52" i="27"/>
  <c r="R52" i="27" s="1"/>
  <c r="AG52" i="27"/>
  <c r="AI52" i="27" s="1"/>
  <c r="AF52" i="27"/>
  <c r="AE52" i="27"/>
  <c r="AD52" i="27"/>
  <c r="AC52" i="27"/>
  <c r="I52" i="27"/>
  <c r="H52" i="27"/>
  <c r="J52" i="27" s="1"/>
  <c r="O52" i="27"/>
  <c r="N52" i="27"/>
  <c r="M52" i="27"/>
  <c r="L52" i="27"/>
  <c r="G52" i="27"/>
  <c r="F52" i="27"/>
  <c r="E52" i="27"/>
  <c r="D52" i="27"/>
  <c r="AC51" i="27"/>
  <c r="L51" i="27"/>
  <c r="O51" i="27"/>
  <c r="AF51" i="27"/>
  <c r="N51" i="27"/>
  <c r="AE51" i="27"/>
  <c r="M51" i="27"/>
  <c r="AD51" i="27"/>
  <c r="Q51" i="27"/>
  <c r="AH51" i="27"/>
  <c r="P51" i="27"/>
  <c r="R51" i="27" s="1"/>
  <c r="AG51" i="27"/>
  <c r="AI51" i="27" s="1"/>
  <c r="D51" i="27"/>
  <c r="G51" i="27"/>
  <c r="F51" i="27"/>
  <c r="E51" i="27"/>
  <c r="I51" i="27"/>
  <c r="T51" i="27" s="1"/>
  <c r="H51" i="27"/>
  <c r="J51" i="27" s="1"/>
  <c r="Q50" i="27"/>
  <c r="AH50" i="27"/>
  <c r="P50" i="27"/>
  <c r="AG50" i="27"/>
  <c r="AI50" i="27" s="1"/>
  <c r="AF50" i="27"/>
  <c r="AE50" i="27"/>
  <c r="AD50" i="27"/>
  <c r="AC50" i="27"/>
  <c r="I50" i="27"/>
  <c r="H50" i="27"/>
  <c r="J50" i="27" s="1"/>
  <c r="O50" i="27"/>
  <c r="N50" i="27"/>
  <c r="M50" i="27"/>
  <c r="L50" i="27"/>
  <c r="G50" i="27"/>
  <c r="F50" i="27"/>
  <c r="E50" i="27"/>
  <c r="D50" i="27"/>
  <c r="Q49" i="27"/>
  <c r="AH49" i="27"/>
  <c r="P49" i="27"/>
  <c r="R49" i="27" s="1"/>
  <c r="AG49" i="27"/>
  <c r="AI49" i="27" s="1"/>
  <c r="AF49" i="27"/>
  <c r="AE49" i="27"/>
  <c r="AD49" i="27"/>
  <c r="AC49" i="27"/>
  <c r="I49" i="27"/>
  <c r="H49" i="27"/>
  <c r="J49" i="27" s="1"/>
  <c r="O49" i="27"/>
  <c r="N49" i="27"/>
  <c r="M49" i="27"/>
  <c r="L49" i="27"/>
  <c r="G49" i="27"/>
  <c r="F49" i="27"/>
  <c r="E49" i="27"/>
  <c r="D49" i="27"/>
  <c r="Q48" i="27"/>
  <c r="AH48" i="27"/>
  <c r="P48" i="27"/>
  <c r="R48" i="27" s="1"/>
  <c r="AG48" i="27"/>
  <c r="AI48" i="27" s="1"/>
  <c r="AG47" i="27"/>
  <c r="AI47" i="27" s="1"/>
  <c r="AF48" i="27"/>
  <c r="AE48" i="27"/>
  <c r="AD48" i="27"/>
  <c r="AC48" i="27"/>
  <c r="I48" i="27"/>
  <c r="H48" i="27"/>
  <c r="J48" i="27" s="1"/>
  <c r="O48" i="27"/>
  <c r="N48" i="27"/>
  <c r="M48" i="27"/>
  <c r="L48" i="27"/>
  <c r="G48" i="27"/>
  <c r="F48" i="27"/>
  <c r="E48" i="27"/>
  <c r="D48" i="27"/>
  <c r="AC47" i="27"/>
  <c r="L47" i="27"/>
  <c r="O47" i="27"/>
  <c r="AF47" i="27"/>
  <c r="N47" i="27"/>
  <c r="AE47" i="27"/>
  <c r="M47" i="27"/>
  <c r="AD47" i="27"/>
  <c r="Q47" i="27"/>
  <c r="T47" i="27" s="1"/>
  <c r="AH47" i="27"/>
  <c r="P47" i="27"/>
  <c r="R47" i="27" s="1"/>
  <c r="D47" i="27"/>
  <c r="G47" i="27"/>
  <c r="F47" i="27"/>
  <c r="E47" i="27"/>
  <c r="I47" i="27"/>
  <c r="H47" i="27"/>
  <c r="Q46" i="27"/>
  <c r="AH46" i="27"/>
  <c r="P46" i="27"/>
  <c r="AG46" i="27"/>
  <c r="AI46" i="27" s="1"/>
  <c r="AF46" i="27"/>
  <c r="AE46" i="27"/>
  <c r="AD46" i="27"/>
  <c r="AC46" i="27"/>
  <c r="I46" i="27"/>
  <c r="H46" i="27"/>
  <c r="J46" i="27" s="1"/>
  <c r="O46" i="27"/>
  <c r="N46" i="27"/>
  <c r="M46" i="27"/>
  <c r="L46" i="27"/>
  <c r="G46" i="27"/>
  <c r="F46" i="27"/>
  <c r="E46" i="27"/>
  <c r="D46" i="27"/>
  <c r="Q45" i="27"/>
  <c r="AH45" i="27"/>
  <c r="P45" i="27"/>
  <c r="R45" i="27" s="1"/>
  <c r="AG45" i="27"/>
  <c r="AI45" i="27" s="1"/>
  <c r="AF45" i="27"/>
  <c r="AE45" i="27"/>
  <c r="AD45" i="27"/>
  <c r="AC45" i="27"/>
  <c r="I45" i="27"/>
  <c r="T45" i="27" s="1"/>
  <c r="H45" i="27"/>
  <c r="O45" i="27"/>
  <c r="N45" i="27"/>
  <c r="M45" i="27"/>
  <c r="L45" i="27"/>
  <c r="G45" i="27"/>
  <c r="F45" i="27"/>
  <c r="E45" i="27"/>
  <c r="D45" i="27"/>
  <c r="Q44" i="27"/>
  <c r="AH44" i="27"/>
  <c r="P44" i="27"/>
  <c r="R44" i="27" s="1"/>
  <c r="AG44" i="27"/>
  <c r="AI44" i="27" s="1"/>
  <c r="AF44" i="27"/>
  <c r="AE44" i="27"/>
  <c r="AD44" i="27"/>
  <c r="AC44" i="27"/>
  <c r="I44" i="27"/>
  <c r="H44" i="27"/>
  <c r="J44" i="27" s="1"/>
  <c r="O44" i="27"/>
  <c r="N44" i="27"/>
  <c r="M44" i="27"/>
  <c r="L44" i="27"/>
  <c r="G44" i="27"/>
  <c r="F44" i="27"/>
  <c r="E44" i="27"/>
  <c r="D44" i="27"/>
  <c r="AC43" i="27"/>
  <c r="L43" i="27"/>
  <c r="O43" i="27"/>
  <c r="AF43" i="27"/>
  <c r="N43" i="27"/>
  <c r="AE43" i="27"/>
  <c r="M43" i="27"/>
  <c r="AD43" i="27"/>
  <c r="Q43" i="27"/>
  <c r="AH43" i="27"/>
  <c r="P43" i="27"/>
  <c r="R43" i="27" s="1"/>
  <c r="AG43" i="27"/>
  <c r="AI43" i="27" s="1"/>
  <c r="D43" i="27"/>
  <c r="G43" i="27"/>
  <c r="F43" i="27"/>
  <c r="E43" i="27"/>
  <c r="I43" i="27"/>
  <c r="H43" i="27"/>
  <c r="J43" i="27" s="1"/>
  <c r="Q42" i="27"/>
  <c r="AH42" i="27"/>
  <c r="P42" i="27"/>
  <c r="R42" i="27" s="1"/>
  <c r="AG42" i="27"/>
  <c r="AI42" i="27" s="1"/>
  <c r="AF42" i="27"/>
  <c r="AE42" i="27"/>
  <c r="AD42" i="27"/>
  <c r="AC42" i="27"/>
  <c r="I42" i="27"/>
  <c r="T42" i="27" s="1"/>
  <c r="H42" i="27"/>
  <c r="J42" i="27" s="1"/>
  <c r="O42" i="27"/>
  <c r="N42" i="27"/>
  <c r="M42" i="27"/>
  <c r="L42" i="27"/>
  <c r="G42" i="27"/>
  <c r="F42" i="27"/>
  <c r="E42" i="27"/>
  <c r="D42" i="27"/>
  <c r="Q41" i="27"/>
  <c r="AH41" i="27"/>
  <c r="P41" i="27"/>
  <c r="AG41" i="27"/>
  <c r="AI41" i="27" s="1"/>
  <c r="AF41" i="27"/>
  <c r="AE41" i="27"/>
  <c r="AD41" i="27"/>
  <c r="AC41" i="27"/>
  <c r="I41" i="27"/>
  <c r="T41" i="27" s="1"/>
  <c r="H41" i="27"/>
  <c r="J41" i="27" s="1"/>
  <c r="O41" i="27"/>
  <c r="N41" i="27"/>
  <c r="M41" i="27"/>
  <c r="L41" i="27"/>
  <c r="G41" i="27"/>
  <c r="F41" i="27"/>
  <c r="E41" i="27"/>
  <c r="D41" i="27"/>
  <c r="Q40" i="27"/>
  <c r="AH40" i="27"/>
  <c r="P40" i="27"/>
  <c r="R40" i="27" s="1"/>
  <c r="AG40" i="27"/>
  <c r="AI40" i="27" s="1"/>
  <c r="AF40" i="27"/>
  <c r="AE40" i="27"/>
  <c r="AD40" i="27"/>
  <c r="AC40" i="27"/>
  <c r="I40" i="27"/>
  <c r="H40" i="27"/>
  <c r="J40" i="27" s="1"/>
  <c r="O40" i="27"/>
  <c r="N40" i="27"/>
  <c r="M40" i="27"/>
  <c r="L40" i="27"/>
  <c r="G40" i="27"/>
  <c r="F40" i="27"/>
  <c r="E40" i="27"/>
  <c r="D40" i="27"/>
  <c r="AC39" i="27"/>
  <c r="L39" i="27"/>
  <c r="O39" i="27"/>
  <c r="AF39" i="27"/>
  <c r="N39" i="27"/>
  <c r="AE39" i="27"/>
  <c r="M39" i="27"/>
  <c r="AD39" i="27"/>
  <c r="Q39" i="27"/>
  <c r="AH39" i="27"/>
  <c r="P39" i="27"/>
  <c r="R39" i="27" s="1"/>
  <c r="AG39" i="27"/>
  <c r="AI39" i="27" s="1"/>
  <c r="D39" i="27"/>
  <c r="G39" i="27"/>
  <c r="F39" i="27"/>
  <c r="E39" i="27"/>
  <c r="I39" i="27"/>
  <c r="T39" i="27" s="1"/>
  <c r="H39" i="27"/>
  <c r="J39" i="27" s="1"/>
  <c r="Q38" i="27"/>
  <c r="AH38" i="27"/>
  <c r="P38" i="27"/>
  <c r="R38" i="27" s="1"/>
  <c r="AG38" i="27"/>
  <c r="AI38" i="27" s="1"/>
  <c r="AF38" i="27"/>
  <c r="AE38" i="27"/>
  <c r="AD38" i="27"/>
  <c r="AC38" i="27"/>
  <c r="I38" i="27"/>
  <c r="H38" i="27"/>
  <c r="J38" i="27" s="1"/>
  <c r="O38" i="27"/>
  <c r="N38" i="27"/>
  <c r="M38" i="27"/>
  <c r="L38" i="27"/>
  <c r="G38" i="27"/>
  <c r="F38" i="27"/>
  <c r="E38" i="27"/>
  <c r="D38" i="27"/>
  <c r="Q37" i="27"/>
  <c r="AH37" i="27"/>
  <c r="P37" i="27"/>
  <c r="R37" i="27" s="1"/>
  <c r="AG37" i="27"/>
  <c r="AI37" i="27" s="1"/>
  <c r="AF37" i="27"/>
  <c r="AE37" i="27"/>
  <c r="AD37" i="27"/>
  <c r="AC37" i="27"/>
  <c r="I37" i="27"/>
  <c r="H37" i="27"/>
  <c r="J37" i="27" s="1"/>
  <c r="O37" i="27"/>
  <c r="N37" i="27"/>
  <c r="M37" i="27"/>
  <c r="L37" i="27"/>
  <c r="G37" i="27"/>
  <c r="F37" i="27"/>
  <c r="E37" i="27"/>
  <c r="D37" i="27"/>
  <c r="Q36" i="27"/>
  <c r="AH36" i="27"/>
  <c r="P36" i="27"/>
  <c r="R36" i="27" s="1"/>
  <c r="AG36" i="27"/>
  <c r="AI36" i="27" s="1"/>
  <c r="AF36" i="27"/>
  <c r="AE36" i="27"/>
  <c r="AD36" i="27"/>
  <c r="AC36" i="27"/>
  <c r="I36" i="27"/>
  <c r="H36" i="27"/>
  <c r="J36" i="27" s="1"/>
  <c r="O36" i="27"/>
  <c r="N36" i="27"/>
  <c r="M36" i="27"/>
  <c r="L36" i="27"/>
  <c r="G36" i="27"/>
  <c r="F36" i="27"/>
  <c r="E36" i="27"/>
  <c r="D36" i="27"/>
  <c r="AC35" i="27"/>
  <c r="L35" i="27"/>
  <c r="O35" i="27"/>
  <c r="AF35" i="27"/>
  <c r="N35" i="27"/>
  <c r="AE35" i="27"/>
  <c r="M35" i="27"/>
  <c r="AD35" i="27"/>
  <c r="Q35" i="27"/>
  <c r="AH35" i="27"/>
  <c r="P35" i="27"/>
  <c r="R35" i="27" s="1"/>
  <c r="AG35" i="27"/>
  <c r="AI35" i="27" s="1"/>
  <c r="D35" i="27"/>
  <c r="G35" i="27"/>
  <c r="F35" i="27"/>
  <c r="E35" i="27"/>
  <c r="I35" i="27"/>
  <c r="T35" i="27" s="1"/>
  <c r="H35" i="27"/>
  <c r="J35" i="27" s="1"/>
  <c r="Q34" i="27"/>
  <c r="AH34" i="27"/>
  <c r="P34" i="27"/>
  <c r="R34" i="27" s="1"/>
  <c r="AG34" i="27"/>
  <c r="AI34" i="27" s="1"/>
  <c r="AF34" i="27"/>
  <c r="AE34" i="27"/>
  <c r="AD34" i="27"/>
  <c r="AC34" i="27"/>
  <c r="I34" i="27"/>
  <c r="H34" i="27"/>
  <c r="J34" i="27" s="1"/>
  <c r="O34" i="27"/>
  <c r="N34" i="27"/>
  <c r="M34" i="27"/>
  <c r="L34" i="27"/>
  <c r="G34" i="27"/>
  <c r="F34" i="27"/>
  <c r="E34" i="27"/>
  <c r="D34" i="27"/>
  <c r="Q33" i="27"/>
  <c r="AH33" i="27"/>
  <c r="P33" i="27"/>
  <c r="R33" i="27" s="1"/>
  <c r="AG33" i="27"/>
  <c r="AI33" i="27" s="1"/>
  <c r="AF33" i="27"/>
  <c r="AE33" i="27"/>
  <c r="AD33" i="27"/>
  <c r="AC33" i="27"/>
  <c r="I33" i="27"/>
  <c r="T33" i="27" s="1"/>
  <c r="H33" i="27"/>
  <c r="J33" i="27" s="1"/>
  <c r="O33" i="27"/>
  <c r="N33" i="27"/>
  <c r="M33" i="27"/>
  <c r="L33" i="27"/>
  <c r="G33" i="27"/>
  <c r="F33" i="27"/>
  <c r="E33" i="27"/>
  <c r="D33" i="27"/>
  <c r="Q32" i="27"/>
  <c r="AH32" i="27"/>
  <c r="P32" i="27"/>
  <c r="R32" i="27" s="1"/>
  <c r="AG32" i="27"/>
  <c r="AI32" i="27" s="1"/>
  <c r="AF32" i="27"/>
  <c r="AE32" i="27"/>
  <c r="AD32" i="27"/>
  <c r="AC32" i="27"/>
  <c r="I32" i="27"/>
  <c r="H32" i="27"/>
  <c r="J32" i="27" s="1"/>
  <c r="O32" i="27"/>
  <c r="N32" i="27"/>
  <c r="M32" i="27"/>
  <c r="L32" i="27"/>
  <c r="G32" i="27"/>
  <c r="F32" i="27"/>
  <c r="E32" i="27"/>
  <c r="D32" i="27"/>
  <c r="AC31" i="27"/>
  <c r="L31" i="27"/>
  <c r="O31" i="27"/>
  <c r="AF31" i="27"/>
  <c r="N31" i="27"/>
  <c r="AE31" i="27"/>
  <c r="M31" i="27"/>
  <c r="AD31" i="27"/>
  <c r="Q31" i="27"/>
  <c r="AH31" i="27"/>
  <c r="P31" i="27"/>
  <c r="R31" i="27" s="1"/>
  <c r="AG31" i="27"/>
  <c r="AI31" i="27" s="1"/>
  <c r="D31" i="27"/>
  <c r="G31" i="27"/>
  <c r="F31" i="27"/>
  <c r="E31" i="27"/>
  <c r="I31" i="27"/>
  <c r="H31" i="27"/>
  <c r="J31" i="27" s="1"/>
  <c r="Q30" i="27"/>
  <c r="AH30" i="27"/>
  <c r="P30" i="27"/>
  <c r="R30" i="27" s="1"/>
  <c r="AG30" i="27"/>
  <c r="AI30" i="27" s="1"/>
  <c r="AF30" i="27"/>
  <c r="AE30" i="27"/>
  <c r="AD30" i="27"/>
  <c r="AC30" i="27"/>
  <c r="I30" i="27"/>
  <c r="H30" i="27"/>
  <c r="J30" i="27" s="1"/>
  <c r="O30" i="27"/>
  <c r="N30" i="27"/>
  <c r="M30" i="27"/>
  <c r="L30" i="27"/>
  <c r="G30" i="27"/>
  <c r="F30" i="27"/>
  <c r="E30" i="27"/>
  <c r="D30" i="27"/>
  <c r="Q29" i="27"/>
  <c r="AH29" i="27"/>
  <c r="P29" i="27"/>
  <c r="AG29" i="27"/>
  <c r="AI29" i="27" s="1"/>
  <c r="AF29" i="27"/>
  <c r="AE29" i="27"/>
  <c r="AD29" i="27"/>
  <c r="AC29" i="27"/>
  <c r="I29" i="27"/>
  <c r="T29" i="27" s="1"/>
  <c r="H29" i="27"/>
  <c r="J29" i="27" s="1"/>
  <c r="O29" i="27"/>
  <c r="N29" i="27"/>
  <c r="M29" i="27"/>
  <c r="L29" i="27"/>
  <c r="G29" i="27"/>
  <c r="F29" i="27"/>
  <c r="E29" i="27"/>
  <c r="D29" i="27"/>
  <c r="Q28" i="27"/>
  <c r="AH28" i="27"/>
  <c r="P28" i="27"/>
  <c r="AG28" i="27"/>
  <c r="AI28" i="27" s="1"/>
  <c r="AF28" i="27"/>
  <c r="AE28" i="27"/>
  <c r="AD28" i="27"/>
  <c r="AC28" i="27"/>
  <c r="I28" i="27"/>
  <c r="H28" i="27"/>
  <c r="J28" i="27" s="1"/>
  <c r="O28" i="27"/>
  <c r="N28" i="27"/>
  <c r="M28" i="27"/>
  <c r="L28" i="27"/>
  <c r="G28" i="27"/>
  <c r="F28" i="27"/>
  <c r="E28" i="27"/>
  <c r="D28" i="27"/>
  <c r="AC27" i="27"/>
  <c r="L27" i="27"/>
  <c r="O27" i="27"/>
  <c r="AF27" i="27"/>
  <c r="N27" i="27"/>
  <c r="AE27" i="27"/>
  <c r="M27" i="27"/>
  <c r="AD27" i="27"/>
  <c r="Q27" i="27"/>
  <c r="AH27" i="27"/>
  <c r="P27" i="27"/>
  <c r="R27" i="27" s="1"/>
  <c r="AG27" i="27"/>
  <c r="AI27" i="27" s="1"/>
  <c r="D27" i="27"/>
  <c r="G27" i="27"/>
  <c r="F27" i="27"/>
  <c r="E27" i="27"/>
  <c r="I27" i="27"/>
  <c r="H27" i="27"/>
  <c r="J27" i="27" s="1"/>
  <c r="Q26" i="27"/>
  <c r="AH26" i="27"/>
  <c r="P26" i="27"/>
  <c r="AG26" i="27"/>
  <c r="AI26" i="27" s="1"/>
  <c r="AF26" i="27"/>
  <c r="AE26" i="27"/>
  <c r="AD26" i="27"/>
  <c r="AC26" i="27"/>
  <c r="I26" i="27"/>
  <c r="H26" i="27"/>
  <c r="J26" i="27" s="1"/>
  <c r="O26" i="27"/>
  <c r="N26" i="27"/>
  <c r="M26" i="27"/>
  <c r="L26" i="27"/>
  <c r="G26" i="27"/>
  <c r="F26" i="27"/>
  <c r="E26" i="27"/>
  <c r="D26" i="27"/>
  <c r="Q25" i="27"/>
  <c r="AH25" i="27"/>
  <c r="P25" i="27"/>
  <c r="R25" i="27" s="1"/>
  <c r="AG25" i="27"/>
  <c r="AI25" i="27" s="1"/>
  <c r="AF25" i="27"/>
  <c r="AE25" i="27"/>
  <c r="AD25" i="27"/>
  <c r="AC25" i="27"/>
  <c r="I25" i="27"/>
  <c r="T25" i="27" s="1"/>
  <c r="H25" i="27"/>
  <c r="J25" i="27" s="1"/>
  <c r="O25" i="27"/>
  <c r="N25" i="27"/>
  <c r="M25" i="27"/>
  <c r="L25" i="27"/>
  <c r="G25" i="27"/>
  <c r="F25" i="27"/>
  <c r="E25" i="27"/>
  <c r="D25" i="27"/>
  <c r="Q24" i="27"/>
  <c r="AH24" i="27"/>
  <c r="P24" i="27"/>
  <c r="R24" i="27" s="1"/>
  <c r="AG24" i="27"/>
  <c r="AI24" i="27" s="1"/>
  <c r="AF24" i="27"/>
  <c r="AE24" i="27"/>
  <c r="AD24" i="27"/>
  <c r="AC24" i="27"/>
  <c r="I24" i="27"/>
  <c r="H24" i="27"/>
  <c r="J24" i="27" s="1"/>
  <c r="O24" i="27"/>
  <c r="N24" i="27"/>
  <c r="M24" i="27"/>
  <c r="L24" i="27"/>
  <c r="G24" i="27"/>
  <c r="F24" i="27"/>
  <c r="E24" i="27"/>
  <c r="D24" i="27"/>
  <c r="AC23" i="27"/>
  <c r="L23" i="27"/>
  <c r="O23" i="27"/>
  <c r="AF23" i="27"/>
  <c r="N23" i="27"/>
  <c r="AE23" i="27"/>
  <c r="M23" i="27"/>
  <c r="AD23" i="27"/>
  <c r="Q23" i="27"/>
  <c r="AH23" i="27"/>
  <c r="P23" i="27"/>
  <c r="R23" i="27" s="1"/>
  <c r="AG23" i="27"/>
  <c r="AI23" i="27" s="1"/>
  <c r="D23" i="27"/>
  <c r="G23" i="27"/>
  <c r="F23" i="27"/>
  <c r="E23" i="27"/>
  <c r="I23" i="27"/>
  <c r="H23" i="27"/>
  <c r="Q22" i="27"/>
  <c r="AH22" i="27"/>
  <c r="P22" i="27"/>
  <c r="R22" i="27" s="1"/>
  <c r="AG22" i="27"/>
  <c r="AI22" i="27" s="1"/>
  <c r="AF22" i="27"/>
  <c r="AE22" i="27"/>
  <c r="AD22" i="27"/>
  <c r="AC22" i="27"/>
  <c r="I22" i="27"/>
  <c r="T22" i="27" s="1"/>
  <c r="H22" i="27"/>
  <c r="J22" i="27" s="1"/>
  <c r="O22" i="27"/>
  <c r="N22" i="27"/>
  <c r="M22" i="27"/>
  <c r="L22" i="27"/>
  <c r="G22" i="27"/>
  <c r="F22" i="27"/>
  <c r="E22" i="27"/>
  <c r="D22" i="27"/>
  <c r="Q21" i="27"/>
  <c r="AH21" i="27"/>
  <c r="P21" i="27"/>
  <c r="AG21" i="27"/>
  <c r="AI21" i="27" s="1"/>
  <c r="AF21" i="27"/>
  <c r="AE21" i="27"/>
  <c r="AD21" i="27"/>
  <c r="AC21" i="27"/>
  <c r="I21" i="27"/>
  <c r="H21" i="27"/>
  <c r="J21" i="27" s="1"/>
  <c r="O21" i="27"/>
  <c r="N21" i="27"/>
  <c r="M21" i="27"/>
  <c r="L21" i="27"/>
  <c r="G21" i="27"/>
  <c r="F21" i="27"/>
  <c r="E21" i="27"/>
  <c r="D21" i="27"/>
  <c r="Q20" i="27"/>
  <c r="AH20" i="27"/>
  <c r="P20" i="27"/>
  <c r="R20" i="27" s="1"/>
  <c r="AG20" i="27"/>
  <c r="AI20" i="27" s="1"/>
  <c r="AF20" i="27"/>
  <c r="AE20" i="27"/>
  <c r="AD20" i="27"/>
  <c r="AC20" i="27"/>
  <c r="I20" i="27"/>
  <c r="H20" i="27"/>
  <c r="J20" i="27" s="1"/>
  <c r="O20" i="27"/>
  <c r="N20" i="27"/>
  <c r="M20" i="27"/>
  <c r="L20" i="27"/>
  <c r="G20" i="27"/>
  <c r="F20" i="27"/>
  <c r="E20" i="27"/>
  <c r="D20" i="27"/>
  <c r="AC19" i="27"/>
  <c r="L19" i="27"/>
  <c r="O19" i="27"/>
  <c r="AF19" i="27"/>
  <c r="N19" i="27"/>
  <c r="AE19" i="27"/>
  <c r="M19" i="27"/>
  <c r="AD19" i="27"/>
  <c r="Q19" i="27"/>
  <c r="AH19" i="27"/>
  <c r="P19" i="27"/>
  <c r="R19" i="27" s="1"/>
  <c r="AG19" i="27"/>
  <c r="AI19" i="27" s="1"/>
  <c r="D19" i="27"/>
  <c r="G19" i="27"/>
  <c r="F19" i="27"/>
  <c r="E19" i="27"/>
  <c r="I19" i="27"/>
  <c r="T19" i="27" s="1"/>
  <c r="H19" i="27"/>
  <c r="Q18" i="27"/>
  <c r="AH18" i="27"/>
  <c r="P18" i="27"/>
  <c r="R18" i="27" s="1"/>
  <c r="AG18" i="27"/>
  <c r="AI18" i="27" s="1"/>
  <c r="AF18" i="27"/>
  <c r="AE18" i="27"/>
  <c r="AD18" i="27"/>
  <c r="AC18" i="27"/>
  <c r="I18" i="27"/>
  <c r="H18" i="27"/>
  <c r="J18" i="27" s="1"/>
  <c r="O18" i="27"/>
  <c r="N18" i="27"/>
  <c r="M18" i="27"/>
  <c r="L18" i="27"/>
  <c r="G18" i="27"/>
  <c r="F18" i="27"/>
  <c r="E18" i="27"/>
  <c r="D18" i="27"/>
  <c r="Q17" i="27"/>
  <c r="AH17" i="27"/>
  <c r="P17" i="27"/>
  <c r="R17" i="27" s="1"/>
  <c r="AG17" i="27"/>
  <c r="AI17" i="27" s="1"/>
  <c r="AF17" i="27"/>
  <c r="AE17" i="27"/>
  <c r="AD17" i="27"/>
  <c r="AC17" i="27"/>
  <c r="I17" i="27"/>
  <c r="H17" i="27"/>
  <c r="J17" i="27" s="1"/>
  <c r="O17" i="27"/>
  <c r="N17" i="27"/>
  <c r="M17" i="27"/>
  <c r="L17" i="27"/>
  <c r="G17" i="27"/>
  <c r="F17" i="27"/>
  <c r="E17" i="27"/>
  <c r="D17" i="27"/>
  <c r="Q16" i="27"/>
  <c r="AH16" i="27"/>
  <c r="P16" i="27"/>
  <c r="R16" i="27" s="1"/>
  <c r="AG16" i="27"/>
  <c r="AI16" i="27" s="1"/>
  <c r="AG15" i="27"/>
  <c r="AI15" i="27" s="1"/>
  <c r="AF16" i="27"/>
  <c r="AE16" i="27"/>
  <c r="AD16" i="27"/>
  <c r="AC16" i="27"/>
  <c r="I16" i="27"/>
  <c r="H16" i="27"/>
  <c r="J16" i="27" s="1"/>
  <c r="O16" i="27"/>
  <c r="N16" i="27"/>
  <c r="M16" i="27"/>
  <c r="L16" i="27"/>
  <c r="G16" i="27"/>
  <c r="F16" i="27"/>
  <c r="E16" i="27"/>
  <c r="D16" i="27"/>
  <c r="AC15" i="27"/>
  <c r="L15" i="27"/>
  <c r="O15" i="27"/>
  <c r="AF15" i="27"/>
  <c r="N15" i="27"/>
  <c r="AE15" i="27"/>
  <c r="M15" i="27"/>
  <c r="AD15" i="27"/>
  <c r="Q15" i="27"/>
  <c r="AH15" i="27"/>
  <c r="P15" i="27"/>
  <c r="D15" i="27"/>
  <c r="G15" i="27"/>
  <c r="F15" i="27"/>
  <c r="E15" i="27"/>
  <c r="I15" i="27"/>
  <c r="H15" i="27"/>
  <c r="J15" i="27" s="1"/>
  <c r="D3" i="27"/>
  <c r="E3" i="27"/>
  <c r="F3" i="27"/>
  <c r="G3" i="27"/>
  <c r="H3" i="27"/>
  <c r="J3" i="27" s="1"/>
  <c r="I3" i="27"/>
  <c r="Q3" i="27"/>
  <c r="L3" i="27"/>
  <c r="M3" i="27"/>
  <c r="N3" i="27"/>
  <c r="O3" i="27"/>
  <c r="P3" i="27"/>
  <c r="R3" i="27" s="1"/>
  <c r="AH3" i="27"/>
  <c r="L6" i="27"/>
  <c r="L5" i="27"/>
  <c r="L4" i="27"/>
  <c r="O4" i="27"/>
  <c r="O5" i="27"/>
  <c r="O6" i="27"/>
  <c r="AC6" i="27"/>
  <c r="AC5" i="27"/>
  <c r="AC4" i="27"/>
  <c r="AC3" i="27"/>
  <c r="AF3" i="27"/>
  <c r="AF4" i="27"/>
  <c r="AF5" i="27"/>
  <c r="AF6" i="27"/>
  <c r="L10" i="27"/>
  <c r="L9" i="27"/>
  <c r="L8" i="27"/>
  <c r="L7" i="27"/>
  <c r="O7" i="27"/>
  <c r="O8" i="27"/>
  <c r="O9" i="27"/>
  <c r="O10" i="27"/>
  <c r="AC10" i="27"/>
  <c r="AC9" i="27"/>
  <c r="AC8" i="27"/>
  <c r="AC7" i="27"/>
  <c r="AF7" i="27"/>
  <c r="AF8" i="27"/>
  <c r="AF9" i="27"/>
  <c r="AF10" i="27"/>
  <c r="L14" i="27"/>
  <c r="L13" i="27"/>
  <c r="L12" i="27"/>
  <c r="L11" i="27"/>
  <c r="O11" i="27"/>
  <c r="O12" i="27"/>
  <c r="O13" i="27"/>
  <c r="O14" i="27"/>
  <c r="AC14" i="27"/>
  <c r="AC13" i="27"/>
  <c r="AC12" i="27"/>
  <c r="AC11" i="27"/>
  <c r="AF11" i="27"/>
  <c r="AF12" i="27"/>
  <c r="AF13" i="27"/>
  <c r="AF14" i="27"/>
  <c r="N4" i="27"/>
  <c r="N5" i="27"/>
  <c r="N6" i="27"/>
  <c r="AE3" i="27"/>
  <c r="AE4" i="27"/>
  <c r="AE5" i="27"/>
  <c r="AE6" i="27"/>
  <c r="N7" i="27"/>
  <c r="N8" i="27"/>
  <c r="N9" i="27"/>
  <c r="N10" i="27"/>
  <c r="AE7" i="27"/>
  <c r="AE8" i="27"/>
  <c r="AE9" i="27"/>
  <c r="AE10" i="27"/>
  <c r="N11" i="27"/>
  <c r="N12" i="27"/>
  <c r="N13" i="27"/>
  <c r="N14" i="27"/>
  <c r="AE11" i="27"/>
  <c r="AE12" i="27"/>
  <c r="AE13" i="27"/>
  <c r="AE14" i="27"/>
  <c r="M4" i="27"/>
  <c r="M5" i="27"/>
  <c r="M6" i="27"/>
  <c r="AD3" i="27"/>
  <c r="AD4" i="27"/>
  <c r="AD5" i="27"/>
  <c r="AD6" i="27"/>
  <c r="M7" i="27"/>
  <c r="M8" i="27"/>
  <c r="M9" i="27"/>
  <c r="M10" i="27"/>
  <c r="AD7" i="27"/>
  <c r="AD8" i="27"/>
  <c r="AD9" i="27"/>
  <c r="AD10" i="27"/>
  <c r="M11" i="27"/>
  <c r="M12" i="27"/>
  <c r="M13" i="27"/>
  <c r="M14" i="27"/>
  <c r="AD11" i="27"/>
  <c r="AD12" i="27"/>
  <c r="AD13" i="27"/>
  <c r="AD14" i="27"/>
  <c r="AG3" i="27"/>
  <c r="AI3" i="27" s="1"/>
  <c r="AG4" i="27"/>
  <c r="AI4" i="27" s="1"/>
  <c r="AG5" i="27"/>
  <c r="AI5" i="27" s="1"/>
  <c r="AG6" i="27"/>
  <c r="AI6" i="27" s="1"/>
  <c r="AG7" i="27"/>
  <c r="AI7" i="27" s="1"/>
  <c r="AG8" i="27"/>
  <c r="AI8" i="27" s="1"/>
  <c r="AG9" i="27"/>
  <c r="AI9" i="27" s="1"/>
  <c r="AG10" i="27"/>
  <c r="AI10" i="27" s="1"/>
  <c r="AG11" i="27"/>
  <c r="AI11" i="27" s="1"/>
  <c r="AG12" i="27"/>
  <c r="AI12" i="27" s="1"/>
  <c r="AG13" i="27"/>
  <c r="AI13" i="27" s="1"/>
  <c r="AG14" i="27"/>
  <c r="AI14" i="27" s="1"/>
  <c r="AH4" i="27"/>
  <c r="AH5" i="27"/>
  <c r="AH6" i="27"/>
  <c r="AH7" i="27"/>
  <c r="AH8" i="27"/>
  <c r="AH9" i="27"/>
  <c r="AH10" i="27"/>
  <c r="AH11" i="27"/>
  <c r="AH12" i="27"/>
  <c r="AH13" i="27"/>
  <c r="AH14" i="27"/>
  <c r="Q4" i="27"/>
  <c r="Q5" i="27"/>
  <c r="Q6" i="27"/>
  <c r="Q7" i="27"/>
  <c r="Q8" i="27"/>
  <c r="Q9" i="27"/>
  <c r="Q10" i="27"/>
  <c r="Q11" i="27"/>
  <c r="Q12" i="27"/>
  <c r="Q13" i="27"/>
  <c r="Q14" i="27"/>
  <c r="P4" i="27"/>
  <c r="R4" i="27" s="1"/>
  <c r="P5" i="27"/>
  <c r="P6" i="27"/>
  <c r="P7" i="27"/>
  <c r="P8" i="27"/>
  <c r="R8" i="27" s="1"/>
  <c r="P9" i="27"/>
  <c r="R9" i="27" s="1"/>
  <c r="P10" i="27"/>
  <c r="R10" i="27" s="1"/>
  <c r="P11" i="27"/>
  <c r="P12" i="27"/>
  <c r="R12" i="27" s="1"/>
  <c r="P13" i="27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4" i="27"/>
  <c r="J4" i="27" s="1"/>
  <c r="H5" i="27"/>
  <c r="J5" i="27" s="1"/>
  <c r="H6" i="27"/>
  <c r="J6" i="27" s="1"/>
  <c r="H7" i="27"/>
  <c r="J7" i="27" s="1"/>
  <c r="H8" i="27"/>
  <c r="J8" i="27" s="1"/>
  <c r="H9" i="27"/>
  <c r="H10" i="27"/>
  <c r="H11" i="27"/>
  <c r="J11" i="27" s="1"/>
  <c r="H12" i="27"/>
  <c r="H13" i="27"/>
  <c r="J13" i="27" s="1"/>
  <c r="H14" i="27"/>
  <c r="J14" i="27" s="1"/>
  <c r="I4" i="27"/>
  <c r="I5" i="27"/>
  <c r="I6" i="27"/>
  <c r="I7" i="27"/>
  <c r="I8" i="27"/>
  <c r="I9" i="27"/>
  <c r="I10" i="27"/>
  <c r="I11" i="27"/>
  <c r="I12" i="27"/>
  <c r="I13" i="27"/>
  <c r="I14" i="27"/>
  <c r="C15" i="9"/>
  <c r="H15" i="9"/>
  <c r="H39" i="9"/>
  <c r="C39" i="9"/>
  <c r="H27" i="9"/>
  <c r="C27" i="9"/>
  <c r="H3" i="9"/>
  <c r="C3" i="9"/>
  <c r="C66" i="29"/>
  <c r="C65" i="29"/>
  <c r="C64" i="29"/>
  <c r="C63" i="29"/>
  <c r="B48" i="9"/>
  <c r="B43" i="9"/>
  <c r="B44" i="9"/>
  <c r="B45" i="9"/>
  <c r="B41" i="9"/>
  <c r="B17" i="9"/>
  <c r="B19" i="9"/>
  <c r="B20" i="9"/>
  <c r="B21" i="9"/>
  <c r="B24" i="9"/>
  <c r="B31" i="9"/>
  <c r="B32" i="9"/>
  <c r="B33" i="9"/>
  <c r="B36" i="9"/>
  <c r="B29" i="9"/>
  <c r="AC3" i="10"/>
  <c r="AC4" i="10" s="1"/>
  <c r="C66" i="25"/>
  <c r="C65" i="25"/>
  <c r="C64" i="25"/>
  <c r="C63" i="25"/>
  <c r="C66" i="20"/>
  <c r="C65" i="20"/>
  <c r="C64" i="20"/>
  <c r="C63" i="20"/>
  <c r="C66" i="27"/>
  <c r="C65" i="27"/>
  <c r="C64" i="27"/>
  <c r="C63" i="27"/>
  <c r="AD8" i="10"/>
  <c r="AK41" i="29"/>
  <c r="S57" i="20"/>
  <c r="R26" i="27"/>
  <c r="S73" i="29"/>
  <c r="J24" i="20"/>
  <c r="AJ57" i="29"/>
  <c r="AJ65" i="29"/>
  <c r="J12" i="27"/>
  <c r="J41" i="20"/>
  <c r="S105" i="29"/>
  <c r="S77" i="29"/>
  <c r="J53" i="25"/>
  <c r="S105" i="25"/>
  <c r="J49" i="29"/>
  <c r="S49" i="29"/>
  <c r="J31" i="20"/>
  <c r="S81" i="29"/>
  <c r="R92" i="20"/>
  <c r="R32" i="25"/>
  <c r="R66" i="27"/>
  <c r="R72" i="25"/>
  <c r="R30" i="25"/>
  <c r="S96" i="20"/>
  <c r="AQ75" i="27"/>
  <c r="AQ63" i="27"/>
  <c r="V95" i="29"/>
  <c r="X39" i="27"/>
  <c r="AN59" i="29"/>
  <c r="AM79" i="29"/>
  <c r="AP63" i="29"/>
  <c r="AN3" i="27"/>
  <c r="AP35" i="25"/>
  <c r="AN31" i="25"/>
  <c r="AP43" i="25"/>
  <c r="AM27" i="20"/>
  <c r="AR31" i="25"/>
  <c r="AQ35" i="27"/>
  <c r="AA35" i="27"/>
  <c r="AR103" i="27"/>
  <c r="AP103" i="25"/>
  <c r="Y35" i="20"/>
  <c r="W75" i="20"/>
  <c r="AP103" i="29"/>
  <c r="AN31" i="29"/>
  <c r="AO27" i="29"/>
  <c r="X95" i="29"/>
  <c r="X71" i="27"/>
  <c r="AO79" i="29"/>
  <c r="AQ43" i="25"/>
  <c r="X47" i="25"/>
  <c r="AO19" i="27"/>
  <c r="AA95" i="29"/>
  <c r="AR63" i="29"/>
  <c r="V103" i="29"/>
  <c r="AQ71" i="29"/>
  <c r="AN51" i="29"/>
  <c r="X27" i="29"/>
  <c r="X35" i="29"/>
  <c r="AO39" i="25"/>
  <c r="AA99" i="29"/>
  <c r="V99" i="27"/>
  <c r="AR99" i="29"/>
  <c r="V79" i="25"/>
  <c r="Z87" i="29"/>
  <c r="X31" i="20"/>
  <c r="W35" i="25"/>
  <c r="AN55" i="27"/>
  <c r="Z103" i="27"/>
  <c r="X59" i="29"/>
  <c r="W95" i="27"/>
  <c r="AQ3" i="27"/>
  <c r="AR31" i="20"/>
  <c r="V59" i="27"/>
  <c r="W51" i="25"/>
  <c r="AN51" i="27"/>
  <c r="W47" i="29"/>
  <c r="AM95" i="29"/>
  <c r="Y59" i="29"/>
  <c r="X51" i="20"/>
  <c r="AO67" i="29"/>
  <c r="X79" i="27"/>
  <c r="Z19" i="27"/>
  <c r="AA67" i="20"/>
  <c r="Y27" i="20"/>
  <c r="Y63" i="25"/>
  <c r="AN67" i="27"/>
  <c r="W103" i="27"/>
  <c r="X43" i="25"/>
  <c r="AP23" i="27"/>
  <c r="AQ7" i="20"/>
  <c r="Y51" i="27"/>
  <c r="Z31" i="29"/>
  <c r="AM59" i="29"/>
  <c r="AQ43" i="27"/>
  <c r="AO75" i="29"/>
  <c r="W87" i="25"/>
  <c r="AQ31" i="20"/>
  <c r="AM63" i="20"/>
  <c r="AQ99" i="29"/>
  <c r="W59" i="27"/>
  <c r="AP63" i="25"/>
  <c r="AA51" i="25"/>
  <c r="AM7" i="27"/>
  <c r="AO75" i="20"/>
  <c r="AR27" i="20"/>
  <c r="AP71" i="29"/>
  <c r="AO67" i="20"/>
  <c r="Z87" i="25"/>
  <c r="AO67" i="25"/>
  <c r="AA55" i="25"/>
  <c r="AN75" i="27"/>
  <c r="AQ39" i="25"/>
  <c r="V31" i="25"/>
  <c r="AN27" i="25"/>
  <c r="V55" i="29"/>
  <c r="AM27" i="29"/>
  <c r="Z75" i="25"/>
  <c r="W83" i="25"/>
  <c r="AA3" i="20"/>
  <c r="AM99" i="29"/>
  <c r="AM31" i="29"/>
  <c r="AO103" i="29"/>
  <c r="AO43" i="29"/>
  <c r="AR55" i="29"/>
  <c r="AP79" i="29"/>
  <c r="AN95" i="29"/>
  <c r="V35" i="29"/>
  <c r="AA59" i="25"/>
  <c r="W55" i="25"/>
  <c r="V87" i="25"/>
  <c r="AR103" i="29"/>
  <c r="AM23" i="27"/>
  <c r="AA43" i="27"/>
  <c r="X43" i="27"/>
  <c r="AP35" i="20"/>
  <c r="Y91" i="25"/>
  <c r="AQ91" i="25"/>
  <c r="V103" i="25"/>
  <c r="Z7" i="20"/>
  <c r="Y103" i="25"/>
  <c r="AA71" i="25"/>
  <c r="W75" i="25"/>
  <c r="AQ71" i="27"/>
  <c r="AA87" i="25"/>
  <c r="AR3" i="20"/>
  <c r="AA31" i="25"/>
  <c r="AP51" i="27"/>
  <c r="AQ91" i="20"/>
  <c r="X95" i="20"/>
  <c r="W91" i="29"/>
  <c r="W27" i="20"/>
  <c r="AA95" i="20"/>
  <c r="W35" i="27"/>
  <c r="AQ83" i="27"/>
  <c r="Z91" i="27"/>
  <c r="AM27" i="25"/>
  <c r="AR55" i="27"/>
  <c r="AN63" i="20"/>
  <c r="AP39" i="27"/>
  <c r="V47" i="25"/>
  <c r="AR43" i="29"/>
  <c r="AQ95" i="27"/>
  <c r="AQ63" i="25"/>
  <c r="AN75" i="20"/>
  <c r="V75" i="20"/>
  <c r="AN47" i="20"/>
  <c r="AP23" i="20"/>
  <c r="AA87" i="29"/>
  <c r="AQ7" i="27"/>
  <c r="AN31" i="20"/>
  <c r="AM103" i="20"/>
  <c r="V71" i="20"/>
  <c r="AP103" i="20"/>
  <c r="AA91" i="20"/>
  <c r="AR75" i="25"/>
  <c r="X55" i="27"/>
  <c r="AN91" i="25"/>
  <c r="Y75" i="20"/>
  <c r="V95" i="27"/>
  <c r="AP71" i="27"/>
  <c r="AA83" i="25"/>
  <c r="Y79" i="29"/>
  <c r="AA27" i="29"/>
  <c r="AO35" i="20"/>
  <c r="Z11" i="27"/>
  <c r="W95" i="20"/>
  <c r="AN71" i="20"/>
  <c r="Y63" i="20"/>
  <c r="AP51" i="29"/>
  <c r="AQ67" i="29"/>
  <c r="AA63" i="25"/>
  <c r="AN71" i="27"/>
  <c r="AA43" i="29"/>
  <c r="AO55" i="29"/>
  <c r="AO63" i="29"/>
  <c r="AN87" i="27"/>
  <c r="V71" i="29"/>
  <c r="AN43" i="29"/>
  <c r="AO59" i="29"/>
  <c r="W75" i="27"/>
  <c r="AR91" i="27"/>
  <c r="V39" i="27"/>
  <c r="AP63" i="27"/>
  <c r="AQ71" i="20"/>
  <c r="X95" i="25"/>
  <c r="AO63" i="25"/>
  <c r="Y39" i="25"/>
  <c r="W63" i="27"/>
  <c r="X55" i="25"/>
  <c r="AP67" i="25"/>
  <c r="Z35" i="25"/>
  <c r="AQ47" i="29"/>
  <c r="W35" i="29"/>
  <c r="W79" i="29"/>
  <c r="AP83" i="29"/>
  <c r="V67" i="27"/>
  <c r="AR31" i="29"/>
  <c r="AN19" i="27"/>
  <c r="AA79" i="27"/>
  <c r="Z27" i="25"/>
  <c r="AN35" i="29"/>
  <c r="AN47" i="29"/>
  <c r="AQ39" i="29"/>
  <c r="AQ23" i="27"/>
  <c r="X99" i="29"/>
  <c r="Y67" i="29"/>
  <c r="X91" i="29"/>
  <c r="AM103" i="25"/>
  <c r="AO59" i="27"/>
  <c r="X27" i="25"/>
  <c r="Y55" i="25"/>
  <c r="W87" i="29"/>
  <c r="Z95" i="27"/>
  <c r="W55" i="20"/>
  <c r="AQ103" i="27"/>
  <c r="AQ91" i="27"/>
  <c r="Z55" i="29"/>
  <c r="Z71" i="29"/>
  <c r="AR87" i="27"/>
  <c r="AO23" i="27"/>
  <c r="AO27" i="27"/>
  <c r="Y31" i="27"/>
  <c r="AR15" i="20"/>
  <c r="AA15" i="27"/>
  <c r="Z79" i="25"/>
  <c r="AN91" i="29"/>
  <c r="AM31" i="27"/>
  <c r="AN27" i="29"/>
  <c r="V19" i="27"/>
  <c r="Z83" i="29"/>
  <c r="W103" i="25"/>
  <c r="AO47" i="25"/>
  <c r="AN103" i="20"/>
  <c r="AR35" i="27"/>
  <c r="AN51" i="20"/>
  <c r="Z3" i="20"/>
  <c r="Z51" i="20"/>
  <c r="AR47" i="25"/>
  <c r="X39" i="25"/>
  <c r="AO91" i="29"/>
  <c r="AM103" i="27"/>
  <c r="Y19" i="27"/>
  <c r="W11" i="20"/>
  <c r="AR35" i="29"/>
  <c r="AP71" i="20"/>
  <c r="V27" i="27"/>
  <c r="AM43" i="27"/>
  <c r="W11" i="27"/>
  <c r="AO31" i="20"/>
  <c r="V3" i="20"/>
  <c r="AQ35" i="25"/>
  <c r="W87" i="27"/>
  <c r="AR79" i="29"/>
  <c r="AO51" i="29"/>
  <c r="W91" i="20"/>
  <c r="AA63" i="29"/>
  <c r="V75" i="25"/>
  <c r="AO75" i="27"/>
  <c r="W59" i="25"/>
  <c r="X59" i="25"/>
  <c r="Z79" i="29"/>
  <c r="X55" i="29"/>
  <c r="AP15" i="27"/>
  <c r="AO43" i="25"/>
  <c r="V67" i="25"/>
  <c r="Y63" i="27"/>
  <c r="AM91" i="29"/>
  <c r="AA91" i="25"/>
  <c r="V3" i="27"/>
  <c r="AN67" i="25"/>
  <c r="AP43" i="27"/>
  <c r="AA47" i="20"/>
  <c r="AN59" i="27"/>
  <c r="AN71" i="29"/>
  <c r="W47" i="27"/>
  <c r="X87" i="27"/>
  <c r="AR63" i="25"/>
  <c r="AR99" i="25"/>
  <c r="AR43" i="27"/>
  <c r="Y103" i="29"/>
  <c r="AP83" i="27"/>
  <c r="Y67" i="20"/>
  <c r="Y23" i="27"/>
  <c r="Y39" i="27"/>
  <c r="V51" i="25"/>
  <c r="AM7" i="20"/>
  <c r="X47" i="20"/>
  <c r="V23" i="27"/>
  <c r="W43" i="29"/>
  <c r="AN95" i="27"/>
  <c r="Z95" i="20"/>
  <c r="X71" i="25"/>
  <c r="Y95" i="27"/>
  <c r="V31" i="29"/>
  <c r="AN35" i="27"/>
  <c r="AA51" i="20"/>
  <c r="Y83" i="29"/>
  <c r="AN55" i="25"/>
  <c r="Z39" i="29"/>
  <c r="AP59" i="25"/>
  <c r="V75" i="27"/>
  <c r="AO31" i="25"/>
  <c r="AQ91" i="29"/>
  <c r="AA79" i="29"/>
  <c r="Z27" i="27"/>
  <c r="AM55" i="20"/>
  <c r="AA91" i="27"/>
  <c r="AP67" i="29"/>
  <c r="AM71" i="27"/>
  <c r="AR79" i="25"/>
  <c r="AM19" i="20"/>
  <c r="AQ75" i="25"/>
  <c r="W27" i="29"/>
  <c r="X59" i="20"/>
  <c r="AP59" i="27"/>
  <c r="AA59" i="20"/>
  <c r="V31" i="20"/>
  <c r="AM15" i="20"/>
  <c r="AN83" i="25"/>
  <c r="AR51" i="20"/>
  <c r="AM15" i="27"/>
  <c r="V91" i="27"/>
  <c r="Y27" i="29"/>
  <c r="X51" i="27"/>
  <c r="AR103" i="20"/>
  <c r="AO15" i="20"/>
  <c r="AO103" i="20"/>
  <c r="W83" i="29"/>
  <c r="X75" i="20"/>
  <c r="Z63" i="25"/>
  <c r="AN79" i="29"/>
  <c r="AQ67" i="20"/>
  <c r="AN7" i="20"/>
  <c r="AN99" i="20"/>
  <c r="Y11" i="20"/>
  <c r="AA63" i="27"/>
  <c r="AR43" i="25"/>
  <c r="AM35" i="20"/>
  <c r="AM51" i="29"/>
  <c r="AA51" i="29"/>
  <c r="AR95" i="20"/>
  <c r="X91" i="20"/>
  <c r="AO87" i="27"/>
  <c r="AO31" i="29"/>
  <c r="AQ83" i="29"/>
  <c r="W83" i="27"/>
  <c r="AR31" i="27"/>
  <c r="AN27" i="20"/>
  <c r="V19" i="20"/>
  <c r="V59" i="25"/>
  <c r="X43" i="29"/>
  <c r="AO51" i="25"/>
  <c r="AA67" i="29"/>
  <c r="W31" i="25"/>
  <c r="AP67" i="20"/>
  <c r="AN79" i="27"/>
  <c r="AP99" i="20"/>
  <c r="AF4" i="10"/>
  <c r="AP3" i="10"/>
  <c r="AQ4" i="10"/>
  <c r="AN67" i="29"/>
  <c r="AR59" i="27"/>
  <c r="Y71" i="27"/>
  <c r="AO47" i="29"/>
  <c r="V63" i="27"/>
  <c r="AA11" i="20"/>
  <c r="AM71" i="20"/>
  <c r="X91" i="25"/>
  <c r="V11" i="27"/>
  <c r="AO23" i="20"/>
  <c r="W31" i="20"/>
  <c r="AN91" i="27"/>
  <c r="W103" i="20"/>
  <c r="Y51" i="29"/>
  <c r="V7" i="20"/>
  <c r="W59" i="20"/>
  <c r="AN7" i="27"/>
  <c r="AN95" i="25"/>
  <c r="Y47" i="27"/>
  <c r="AR7" i="20"/>
  <c r="V75" i="29"/>
  <c r="AP27" i="20"/>
  <c r="AR23" i="20"/>
  <c r="AO59" i="20"/>
  <c r="AP31" i="27"/>
  <c r="AN3" i="10"/>
  <c r="AF3" i="10"/>
  <c r="AN47" i="27"/>
  <c r="AO83" i="25"/>
  <c r="Y67" i="27"/>
  <c r="V99" i="25"/>
  <c r="AM51" i="27"/>
  <c r="X83" i="25"/>
  <c r="X99" i="20"/>
  <c r="X11" i="20"/>
  <c r="AA19" i="27"/>
  <c r="AN103" i="25"/>
  <c r="W7" i="27"/>
  <c r="X11" i="27"/>
  <c r="AQ11" i="20"/>
  <c r="AP47" i="27"/>
  <c r="AQ103" i="20"/>
  <c r="AN43" i="20"/>
  <c r="AO63" i="20"/>
  <c r="X7" i="20"/>
  <c r="AM83" i="27"/>
  <c r="AR59" i="25"/>
  <c r="Y35" i="27"/>
  <c r="W67" i="27"/>
  <c r="AJ3" i="10"/>
  <c r="V63" i="25"/>
  <c r="AM31" i="25"/>
  <c r="Z71" i="25"/>
  <c r="W71" i="29"/>
  <c r="W99" i="25"/>
  <c r="AM75" i="27"/>
  <c r="AM91" i="27"/>
  <c r="AA39" i="27"/>
  <c r="AN83" i="29"/>
  <c r="Z55" i="25"/>
  <c r="AA55" i="29"/>
  <c r="AN99" i="27"/>
  <c r="Y91" i="29"/>
  <c r="V47" i="29"/>
  <c r="Z91" i="29"/>
  <c r="AO99" i="29"/>
  <c r="AQ95" i="29"/>
  <c r="AR47" i="29"/>
  <c r="Z35" i="29"/>
  <c r="AQ43" i="29"/>
  <c r="W63" i="29"/>
  <c r="AO91" i="27"/>
  <c r="AO27" i="25"/>
  <c r="V55" i="25"/>
  <c r="AA35" i="29"/>
  <c r="AQ35" i="29"/>
  <c r="V91" i="29"/>
  <c r="AR95" i="27"/>
  <c r="Z39" i="25"/>
  <c r="V95" i="25"/>
  <c r="AA67" i="25"/>
  <c r="Y27" i="27"/>
  <c r="AR83" i="29"/>
  <c r="Z63" i="29"/>
  <c r="AR71" i="25"/>
  <c r="AA47" i="25"/>
  <c r="X95" i="27"/>
  <c r="AR23" i="27"/>
  <c r="AP31" i="25"/>
  <c r="Y35" i="29"/>
  <c r="AQ47" i="20"/>
  <c r="AR59" i="20"/>
  <c r="AO35" i="25"/>
  <c r="AA95" i="25"/>
  <c r="AM31" i="20"/>
  <c r="V99" i="29"/>
  <c r="AQ99" i="25"/>
  <c r="AM51" i="20"/>
  <c r="AR63" i="27"/>
  <c r="AR19" i="27"/>
  <c r="AQ87" i="29"/>
  <c r="AA11" i="27"/>
  <c r="AR39" i="25"/>
  <c r="Y71" i="20"/>
  <c r="W67" i="20"/>
  <c r="Y7" i="20"/>
  <c r="V87" i="29"/>
  <c r="W55" i="29"/>
  <c r="AA47" i="29"/>
  <c r="AQ75" i="20"/>
  <c r="AM55" i="29"/>
  <c r="V95" i="20"/>
  <c r="AP75" i="27"/>
  <c r="Z71" i="20"/>
  <c r="AP3" i="27"/>
  <c r="Y15" i="27"/>
  <c r="AO39" i="29"/>
  <c r="W79" i="25"/>
  <c r="Z67" i="29"/>
  <c r="Y31" i="29"/>
  <c r="Z31" i="20"/>
  <c r="AO95" i="20"/>
  <c r="AM67" i="29"/>
  <c r="Z103" i="25"/>
  <c r="AP11" i="20"/>
  <c r="Y99" i="27"/>
  <c r="Y35" i="25"/>
  <c r="AR75" i="20"/>
  <c r="Z35" i="20"/>
  <c r="AQ95" i="20"/>
  <c r="Z59" i="20"/>
  <c r="Z39" i="20"/>
  <c r="Y3" i="20"/>
  <c r="V43" i="29"/>
  <c r="W59" i="29"/>
  <c r="AA83" i="27"/>
  <c r="AP99" i="27"/>
  <c r="AO55" i="25"/>
  <c r="AN39" i="25"/>
  <c r="AO27" i="20"/>
  <c r="W55" i="27"/>
  <c r="AM63" i="27"/>
  <c r="Z27" i="20"/>
  <c r="AO95" i="25"/>
  <c r="AN63" i="25"/>
  <c r="AP67" i="27"/>
  <c r="X63" i="27"/>
  <c r="Y23" i="20"/>
  <c r="AM95" i="27"/>
  <c r="AO51" i="27"/>
  <c r="X19" i="20"/>
  <c r="AO4" i="10"/>
  <c r="X39" i="29"/>
  <c r="Y27" i="25"/>
  <c r="V67" i="20"/>
  <c r="X19" i="27"/>
  <c r="AM43" i="20"/>
  <c r="AR55" i="25"/>
  <c r="AP39" i="25"/>
  <c r="AP27" i="27"/>
  <c r="AP15" i="20"/>
  <c r="X63" i="20"/>
  <c r="AA35" i="25"/>
  <c r="V51" i="20"/>
  <c r="AM39" i="20"/>
  <c r="AQ103" i="29"/>
  <c r="V67" i="29"/>
  <c r="AA99" i="20"/>
  <c r="AP55" i="29"/>
  <c r="AP47" i="20"/>
  <c r="Z99" i="29"/>
  <c r="Z15" i="20"/>
  <c r="Y71" i="25"/>
  <c r="AR71" i="27"/>
  <c r="AL3" i="10"/>
  <c r="X83" i="29"/>
  <c r="AM39" i="27"/>
  <c r="Y31" i="25"/>
  <c r="AA75" i="29"/>
  <c r="AO79" i="25"/>
  <c r="W91" i="25"/>
  <c r="X75" i="25"/>
  <c r="AM83" i="25"/>
  <c r="AQ79" i="25"/>
  <c r="AM87" i="25"/>
  <c r="Z59" i="27"/>
  <c r="Z99" i="20"/>
  <c r="AM19" i="27"/>
  <c r="AP19" i="20"/>
  <c r="AN75" i="29"/>
  <c r="AA71" i="29"/>
  <c r="X3" i="20"/>
  <c r="V39" i="20"/>
  <c r="Y31" i="20"/>
  <c r="Y99" i="20"/>
  <c r="Z31" i="27"/>
  <c r="AQ63" i="29"/>
  <c r="AO83" i="29"/>
  <c r="V51" i="27"/>
  <c r="AN11" i="20"/>
  <c r="AP59" i="29"/>
  <c r="AQ15" i="27"/>
  <c r="Y87" i="29"/>
  <c r="AM75" i="29"/>
  <c r="AN51" i="25"/>
  <c r="V91" i="25"/>
  <c r="AQ51" i="25"/>
  <c r="AR63" i="20"/>
  <c r="AQ59" i="29"/>
  <c r="AR51" i="27"/>
  <c r="X75" i="29"/>
  <c r="AQ11" i="27"/>
  <c r="W99" i="27"/>
  <c r="AO91" i="20"/>
  <c r="AP11" i="27"/>
  <c r="V43" i="27"/>
  <c r="AM39" i="29"/>
  <c r="Y99" i="29"/>
  <c r="W51" i="27"/>
  <c r="AR99" i="20"/>
  <c r="AQ83" i="25"/>
  <c r="AP63" i="20"/>
  <c r="AN99" i="29"/>
  <c r="Y67" i="25"/>
  <c r="AP47" i="29"/>
  <c r="AP39" i="29"/>
  <c r="V31" i="27"/>
  <c r="V83" i="29"/>
  <c r="AO55" i="20"/>
  <c r="AR51" i="25"/>
  <c r="AO35" i="29"/>
  <c r="AN71" i="25"/>
  <c r="AQ103" i="25"/>
  <c r="V83" i="27"/>
  <c r="AP27" i="29"/>
  <c r="AA83" i="29"/>
  <c r="AN55" i="29"/>
  <c r="AO19" i="20"/>
  <c r="AM47" i="27"/>
  <c r="AP87" i="29"/>
  <c r="V103" i="27"/>
  <c r="AO31" i="27"/>
  <c r="AA59" i="29"/>
  <c r="AQ51" i="27"/>
  <c r="V35" i="27"/>
  <c r="AM75" i="20"/>
  <c r="AP95" i="20"/>
  <c r="AM79" i="25"/>
  <c r="W39" i="20"/>
  <c r="AR87" i="25"/>
  <c r="AQ95" i="25"/>
  <c r="AN55" i="20"/>
  <c r="AP3" i="20"/>
  <c r="AA23" i="27"/>
  <c r="Y83" i="27"/>
  <c r="AG3" i="10"/>
  <c r="AM23" i="20"/>
  <c r="X31" i="29"/>
  <c r="AP91" i="25"/>
  <c r="AA27" i="25"/>
  <c r="AO3" i="27"/>
  <c r="V87" i="27"/>
  <c r="AO59" i="25"/>
  <c r="Z51" i="29"/>
  <c r="W3" i="27"/>
  <c r="X23" i="27"/>
  <c r="AP91" i="27"/>
  <c r="AM59" i="25"/>
  <c r="Z99" i="27"/>
  <c r="AR95" i="25"/>
  <c r="AO87" i="29"/>
  <c r="AR87" i="29"/>
  <c r="W71" i="27"/>
  <c r="AQ19" i="27"/>
  <c r="AA15" i="20"/>
  <c r="AO71" i="29"/>
  <c r="Y55" i="20"/>
  <c r="V15" i="20"/>
  <c r="Z47" i="29"/>
  <c r="Z83" i="27"/>
  <c r="Z59" i="25"/>
  <c r="AP91" i="29"/>
  <c r="AN59" i="25"/>
  <c r="AM27" i="27"/>
  <c r="AN103" i="29"/>
  <c r="V27" i="29"/>
  <c r="AP87" i="25"/>
  <c r="AP27" i="25"/>
  <c r="AA99" i="25"/>
  <c r="V63" i="29"/>
  <c r="Y75" i="29"/>
  <c r="AP35" i="29"/>
  <c r="AM99" i="27"/>
  <c r="AO95" i="27"/>
  <c r="W3" i="20"/>
  <c r="AR11" i="20"/>
  <c r="AQ87" i="25"/>
  <c r="AM35" i="29"/>
  <c r="X15" i="20"/>
  <c r="Y7" i="27"/>
  <c r="AN87" i="25"/>
  <c r="AQ79" i="29"/>
  <c r="AA51" i="27"/>
  <c r="W103" i="29"/>
  <c r="Z91" i="25"/>
  <c r="AN39" i="27"/>
  <c r="AN63" i="27"/>
  <c r="AM87" i="27"/>
  <c r="X67" i="25"/>
  <c r="W31" i="29"/>
  <c r="Z103" i="29"/>
  <c r="AO15" i="27"/>
  <c r="Y39" i="29"/>
  <c r="W47" i="20"/>
  <c r="V59" i="20"/>
  <c r="Z71" i="27"/>
  <c r="AO7" i="27"/>
  <c r="X7" i="27"/>
  <c r="AM11" i="27"/>
  <c r="Y55" i="27"/>
  <c r="AM67" i="20"/>
  <c r="V51" i="29"/>
  <c r="X79" i="29"/>
  <c r="AM11" i="20"/>
  <c r="AQ55" i="20"/>
  <c r="AQ55" i="27"/>
  <c r="Y59" i="25"/>
  <c r="AQ79" i="27"/>
  <c r="X27" i="27"/>
  <c r="Y87" i="25"/>
  <c r="AO43" i="27"/>
  <c r="X103" i="29"/>
  <c r="Y87" i="27"/>
  <c r="AR67" i="25"/>
  <c r="W15" i="27"/>
  <c r="W43" i="27"/>
  <c r="AQ67" i="25"/>
  <c r="AR27" i="25"/>
  <c r="V63" i="20"/>
  <c r="AA71" i="20"/>
  <c r="AR71" i="20"/>
  <c r="Z63" i="20"/>
  <c r="AO103" i="25"/>
  <c r="V79" i="29"/>
  <c r="AP103" i="27"/>
  <c r="AA3" i="27"/>
  <c r="W51" i="29"/>
  <c r="AO35" i="27"/>
  <c r="Z35" i="27"/>
  <c r="AA23" i="20"/>
  <c r="AQ47" i="27"/>
  <c r="W31" i="27"/>
  <c r="W39" i="27"/>
  <c r="Z55" i="20"/>
  <c r="X23" i="20"/>
  <c r="AR79" i="27"/>
  <c r="AR19" i="20"/>
  <c r="AN67" i="20"/>
  <c r="Z47" i="25"/>
  <c r="AO55" i="27"/>
  <c r="Y91" i="27"/>
  <c r="X99" i="27"/>
  <c r="AQ87" i="27"/>
  <c r="Y91" i="20"/>
  <c r="AP7" i="27"/>
  <c r="Z43" i="20"/>
  <c r="Z75" i="27"/>
  <c r="AO3" i="20"/>
  <c r="W23" i="27"/>
  <c r="W63" i="20"/>
  <c r="Z15" i="27"/>
  <c r="W19" i="27"/>
  <c r="AA55" i="20"/>
  <c r="W43" i="20"/>
  <c r="AO71" i="25"/>
  <c r="X3" i="27"/>
  <c r="W39" i="25"/>
  <c r="AQ67" i="27"/>
  <c r="W23" i="20"/>
  <c r="AN59" i="20"/>
  <c r="AA31" i="27"/>
  <c r="AK3" i="10"/>
  <c r="AQ3" i="10"/>
  <c r="AI3" i="10"/>
  <c r="AP99" i="25"/>
  <c r="X71" i="29"/>
  <c r="V47" i="27"/>
  <c r="Z95" i="25"/>
  <c r="X51" i="29"/>
  <c r="X67" i="27"/>
  <c r="AP55" i="20"/>
  <c r="AM67" i="27"/>
  <c r="X63" i="29"/>
  <c r="AN23" i="27"/>
  <c r="AP55" i="27"/>
  <c r="AM47" i="29"/>
  <c r="AM55" i="27"/>
  <c r="AR3" i="27"/>
  <c r="AQ31" i="29"/>
  <c r="AQ27" i="27"/>
  <c r="AR83" i="27"/>
  <c r="AM87" i="29"/>
  <c r="AO95" i="29"/>
  <c r="AA71" i="27"/>
  <c r="AP71" i="25"/>
  <c r="AQ63" i="20"/>
  <c r="X27" i="20"/>
  <c r="AM3" i="20"/>
  <c r="V59" i="29"/>
  <c r="AM71" i="29"/>
  <c r="AP35" i="27"/>
  <c r="AQ99" i="20"/>
  <c r="AQ35" i="20"/>
  <c r="W35" i="20"/>
  <c r="W99" i="20"/>
  <c r="AA103" i="20"/>
  <c r="AA7" i="20"/>
  <c r="Y43" i="20"/>
  <c r="V23" i="20"/>
  <c r="X59" i="27"/>
  <c r="AM55" i="25"/>
  <c r="AN95" i="20"/>
  <c r="Y47" i="25"/>
  <c r="AP75" i="25"/>
  <c r="AP87" i="27"/>
  <c r="AO7" i="20"/>
  <c r="AP4" i="10"/>
  <c r="AO3" i="10"/>
  <c r="X63" i="25"/>
  <c r="Z47" i="27"/>
  <c r="AA59" i="27"/>
  <c r="AQ27" i="20"/>
  <c r="AP39" i="20"/>
  <c r="Y95" i="25"/>
  <c r="X43" i="20"/>
  <c r="Y75" i="27"/>
  <c r="Z43" i="27"/>
  <c r="Z39" i="27"/>
  <c r="AO75" i="25"/>
  <c r="AN79" i="25"/>
  <c r="Z19" i="20"/>
  <c r="AA19" i="20"/>
  <c r="V99" i="20"/>
  <c r="X103" i="27"/>
  <c r="AP51" i="20"/>
  <c r="Z43" i="25"/>
  <c r="Y63" i="29"/>
  <c r="X79" i="25"/>
  <c r="AQ27" i="29"/>
  <c r="AR47" i="20"/>
  <c r="AM47" i="25"/>
  <c r="AA75" i="20"/>
  <c r="AK4" i="10"/>
  <c r="Z59" i="29"/>
  <c r="Z83" i="25"/>
  <c r="AR103" i="25"/>
  <c r="Z23" i="20"/>
  <c r="AN87" i="29"/>
  <c r="AN15" i="20"/>
  <c r="AO63" i="27"/>
  <c r="Z87" i="27"/>
  <c r="AP95" i="27"/>
  <c r="AR43" i="20"/>
  <c r="AP31" i="20"/>
  <c r="V55" i="27"/>
  <c r="AP91" i="20"/>
  <c r="AO67" i="27"/>
  <c r="AP47" i="25"/>
  <c r="AP83" i="25"/>
  <c r="AN47" i="25"/>
  <c r="Y47" i="20"/>
  <c r="AP99" i="29"/>
  <c r="AO87" i="25"/>
  <c r="Y39" i="20"/>
  <c r="W99" i="29"/>
  <c r="AR11" i="27"/>
  <c r="W43" i="25"/>
  <c r="W71" i="25"/>
  <c r="Y47" i="29"/>
  <c r="AA47" i="27"/>
  <c r="W67" i="25"/>
  <c r="AA55" i="27"/>
  <c r="W91" i="27"/>
  <c r="AO91" i="25"/>
  <c r="Z27" i="29"/>
  <c r="AQ51" i="20"/>
  <c r="W7" i="20"/>
  <c r="AP43" i="29"/>
  <c r="AR39" i="29"/>
  <c r="AR95" i="29"/>
  <c r="W75" i="29"/>
  <c r="AA103" i="29"/>
  <c r="Y11" i="27"/>
  <c r="AM63" i="25"/>
  <c r="AM79" i="27"/>
  <c r="AP75" i="20"/>
  <c r="AR51" i="29"/>
  <c r="AO39" i="20"/>
  <c r="AA39" i="20"/>
  <c r="W19" i="20"/>
  <c r="AA31" i="20"/>
  <c r="V71" i="25"/>
  <c r="W95" i="25"/>
  <c r="Z67" i="27"/>
  <c r="AQ59" i="20"/>
  <c r="X35" i="27"/>
  <c r="AA75" i="27"/>
  <c r="X83" i="27"/>
  <c r="AA67" i="27"/>
  <c r="AN27" i="27"/>
  <c r="Y79" i="27"/>
  <c r="W51" i="20"/>
  <c r="AI4" i="10"/>
  <c r="AP95" i="29"/>
  <c r="V15" i="27"/>
  <c r="AA91" i="29"/>
  <c r="AN35" i="25"/>
  <c r="AR91" i="29"/>
  <c r="V43" i="25"/>
  <c r="AR75" i="27"/>
  <c r="Y75" i="25"/>
  <c r="AP79" i="25"/>
  <c r="AA99" i="27"/>
  <c r="AO47" i="27"/>
  <c r="AQ59" i="25"/>
  <c r="AN39" i="20"/>
  <c r="AQ15" i="20"/>
  <c r="Y51" i="20"/>
  <c r="Z51" i="25"/>
  <c r="V103" i="20"/>
  <c r="V83" i="25"/>
  <c r="AJ4" i="10"/>
  <c r="Z23" i="27"/>
  <c r="AM99" i="25"/>
  <c r="Y59" i="27"/>
  <c r="AO71" i="27"/>
  <c r="AQ31" i="25"/>
  <c r="AN35" i="20"/>
  <c r="X31" i="25"/>
  <c r="AR47" i="27"/>
  <c r="AO71" i="20"/>
  <c r="Z75" i="20"/>
  <c r="X55" i="20"/>
  <c r="AA79" i="25"/>
  <c r="AM83" i="29"/>
  <c r="W47" i="25"/>
  <c r="AQ31" i="27"/>
  <c r="AR15" i="27"/>
  <c r="AQ43" i="20"/>
  <c r="AA39" i="25"/>
  <c r="W27" i="27"/>
  <c r="Z91" i="20"/>
  <c r="AR7" i="27"/>
  <c r="AM75" i="25"/>
  <c r="AA27" i="20"/>
  <c r="Z75" i="29"/>
  <c r="X91" i="27"/>
  <c r="AQ23" i="20"/>
  <c r="AP7" i="20"/>
  <c r="AR71" i="29"/>
  <c r="AR75" i="29"/>
  <c r="AQ75" i="29"/>
  <c r="W15" i="20"/>
  <c r="AQ99" i="27"/>
  <c r="AP55" i="25"/>
  <c r="Z51" i="27"/>
  <c r="X35" i="20"/>
  <c r="AQ39" i="27"/>
  <c r="AM43" i="29"/>
  <c r="AR91" i="20"/>
  <c r="Y71" i="29"/>
  <c r="AQ3" i="20"/>
  <c r="V7" i="27"/>
  <c r="Z103" i="20"/>
  <c r="AR59" i="29"/>
  <c r="AN31" i="27"/>
  <c r="AR39" i="20"/>
  <c r="Z7" i="27"/>
  <c r="AD3" i="10"/>
  <c r="W95" i="29"/>
  <c r="AQ59" i="27"/>
  <c r="AM95" i="20"/>
  <c r="Z67" i="25"/>
  <c r="AO79" i="27"/>
  <c r="AN99" i="25"/>
  <c r="Y15" i="20"/>
  <c r="Z43" i="29"/>
  <c r="AN39" i="29"/>
  <c r="X47" i="29"/>
  <c r="AM103" i="29"/>
  <c r="Z3" i="27"/>
  <c r="AN43" i="27"/>
  <c r="AA7" i="27"/>
  <c r="AO99" i="20"/>
  <c r="AM91" i="20"/>
  <c r="X87" i="25"/>
  <c r="AN43" i="25"/>
  <c r="V55" i="20"/>
  <c r="AD4" i="10"/>
  <c r="Z31" i="25"/>
  <c r="AM51" i="25"/>
  <c r="AQ51" i="29"/>
  <c r="X47" i="27"/>
  <c r="Y55" i="29"/>
  <c r="AR99" i="27"/>
  <c r="AN103" i="27"/>
  <c r="Z63" i="27"/>
  <c r="AO99" i="27"/>
  <c r="AM39" i="25"/>
  <c r="AE4" i="10"/>
  <c r="AA31" i="29"/>
  <c r="AA103" i="27"/>
  <c r="AQ55" i="29"/>
  <c r="Z55" i="27"/>
  <c r="AQ19" i="20"/>
  <c r="Y3" i="27"/>
  <c r="AO11" i="27"/>
  <c r="AN11" i="27"/>
  <c r="AO51" i="20"/>
  <c r="AO103" i="27"/>
  <c r="X67" i="20"/>
  <c r="AP95" i="25"/>
  <c r="AR67" i="27"/>
  <c r="V27" i="25"/>
  <c r="AM35" i="25"/>
  <c r="W67" i="29"/>
  <c r="AN91" i="20"/>
  <c r="AO39" i="27"/>
  <c r="AO83" i="27"/>
  <c r="X71" i="20"/>
  <c r="AA95" i="27"/>
  <c r="AO99" i="25"/>
  <c r="AM35" i="27"/>
  <c r="AM95" i="25"/>
  <c r="AM63" i="29"/>
  <c r="AA87" i="27"/>
  <c r="Y19" i="20"/>
  <c r="AA63" i="20"/>
  <c r="Z95" i="29"/>
  <c r="V91" i="20"/>
  <c r="Y43" i="27"/>
  <c r="AN75" i="25"/>
  <c r="V35" i="25"/>
  <c r="AP59" i="20"/>
  <c r="AQ39" i="20"/>
  <c r="Y43" i="25"/>
  <c r="AA103" i="25"/>
  <c r="AQ71" i="25"/>
  <c r="Y83" i="25"/>
  <c r="AM43" i="25"/>
  <c r="AP51" i="25"/>
  <c r="AM59" i="20"/>
  <c r="AR55" i="20"/>
  <c r="Y79" i="25"/>
  <c r="AM67" i="25"/>
  <c r="AP19" i="27"/>
  <c r="X103" i="25"/>
  <c r="Z79" i="27"/>
  <c r="AR35" i="25"/>
  <c r="AR67" i="29"/>
  <c r="Y103" i="20"/>
  <c r="AR35" i="20"/>
  <c r="Z99" i="25"/>
  <c r="AM3" i="27"/>
  <c r="AO47" i="20"/>
  <c r="X87" i="29"/>
  <c r="AM47" i="20"/>
  <c r="AA39" i="29"/>
  <c r="AR39" i="27"/>
  <c r="V71" i="27"/>
  <c r="X39" i="20"/>
  <c r="X67" i="29"/>
  <c r="AM59" i="27"/>
  <c r="AP75" i="29"/>
  <c r="Y95" i="20"/>
  <c r="W63" i="25"/>
  <c r="AM91" i="25"/>
  <c r="Y103" i="27"/>
  <c r="AM99" i="20"/>
  <c r="AQ55" i="25"/>
  <c r="X15" i="27"/>
  <c r="Z67" i="20"/>
  <c r="AN15" i="27"/>
  <c r="AQ27" i="25"/>
  <c r="AN19" i="20"/>
  <c r="W79" i="27"/>
  <c r="AG4" i="10"/>
  <c r="W39" i="29"/>
  <c r="W27" i="25"/>
  <c r="AR91" i="25"/>
  <c r="AA35" i="20"/>
  <c r="AN83" i="27"/>
  <c r="X31" i="27"/>
  <c r="V27" i="20"/>
  <c r="AM71" i="25"/>
  <c r="V11" i="20"/>
  <c r="V43" i="20"/>
  <c r="Y51" i="25"/>
  <c r="AQ47" i="25"/>
  <c r="X99" i="25"/>
  <c r="AO43" i="20"/>
  <c r="AR67" i="20"/>
  <c r="AA43" i="25"/>
  <c r="X35" i="25"/>
  <c r="AN23" i="20"/>
  <c r="Y95" i="29"/>
  <c r="Y59" i="20"/>
  <c r="AA27" i="27"/>
  <c r="V39" i="29"/>
  <c r="AE3" i="10"/>
  <c r="AN63" i="29"/>
  <c r="AP31" i="29"/>
  <c r="AA43" i="20"/>
  <c r="V79" i="27"/>
  <c r="V39" i="25"/>
  <c r="Z47" i="20"/>
  <c r="Y99" i="25"/>
  <c r="V35" i="20"/>
  <c r="AR27" i="27"/>
  <c r="AP43" i="20"/>
  <c r="AR27" i="29"/>
  <c r="X51" i="25"/>
  <c r="AA75" i="25"/>
  <c r="AR83" i="25"/>
  <c r="AP79" i="27"/>
  <c r="AN3" i="20"/>
  <c r="Y43" i="29"/>
  <c r="X103" i="20"/>
  <c r="AO11" i="20"/>
  <c r="Z11" i="20"/>
  <c r="X75" i="27"/>
  <c r="V47" i="20"/>
  <c r="W71" i="20"/>
  <c r="T60" i="27" l="1"/>
  <c r="T17" i="27"/>
  <c r="T21" i="27"/>
  <c r="T35" i="29"/>
  <c r="S78" i="27"/>
  <c r="T103" i="25"/>
  <c r="T95" i="25"/>
  <c r="T99" i="20"/>
  <c r="AK99" i="20"/>
  <c r="T71" i="25"/>
  <c r="T63" i="25"/>
  <c r="T55" i="25"/>
  <c r="T47" i="25"/>
  <c r="AJ69" i="25"/>
  <c r="T13" i="27"/>
  <c r="T5" i="27"/>
  <c r="AK87" i="29"/>
  <c r="AK79" i="29"/>
  <c r="AK71" i="29"/>
  <c r="AK63" i="29"/>
  <c r="AK39" i="29"/>
  <c r="AK31" i="29"/>
  <c r="T71" i="20"/>
  <c r="T63" i="20"/>
  <c r="T39" i="20"/>
  <c r="T31" i="20"/>
  <c r="AK91" i="29"/>
  <c r="AK22" i="20"/>
  <c r="AJ102" i="20"/>
  <c r="AJ30" i="25"/>
  <c r="AJ72" i="25"/>
  <c r="AK82" i="27"/>
  <c r="T84" i="29"/>
  <c r="S74" i="27"/>
  <c r="S42" i="20"/>
  <c r="S66" i="27"/>
  <c r="S65" i="29"/>
  <c r="R27" i="20"/>
  <c r="AJ27" i="20" s="1"/>
  <c r="S27" i="20"/>
  <c r="R87" i="29"/>
  <c r="AJ87" i="29" s="1"/>
  <c r="S87" i="29"/>
  <c r="R39" i="29"/>
  <c r="S39" i="29"/>
  <c r="S35" i="29"/>
  <c r="R35" i="29"/>
  <c r="R8" i="20"/>
  <c r="AJ8" i="20" s="1"/>
  <c r="S8" i="20"/>
  <c r="S103" i="29"/>
  <c r="S91" i="25"/>
  <c r="AJ62" i="20"/>
  <c r="T87" i="27"/>
  <c r="R6" i="27"/>
  <c r="AJ6" i="27" s="1"/>
  <c r="S6" i="27"/>
  <c r="S51" i="20"/>
  <c r="T103" i="20"/>
  <c r="T95" i="20"/>
  <c r="AK103" i="20"/>
  <c r="AK95" i="20"/>
  <c r="AK14" i="20"/>
  <c r="S75" i="25"/>
  <c r="T39" i="29"/>
  <c r="T31" i="29"/>
  <c r="T88" i="29"/>
  <c r="T72" i="29"/>
  <c r="AJ91" i="25"/>
  <c r="T99" i="25"/>
  <c r="AJ91" i="29"/>
  <c r="S99" i="29"/>
  <c r="AJ29" i="29"/>
  <c r="AJ32" i="25"/>
  <c r="AJ47" i="27"/>
  <c r="T75" i="20"/>
  <c r="T67" i="20"/>
  <c r="T59" i="20"/>
  <c r="T51" i="20"/>
  <c r="T27" i="20"/>
  <c r="S31" i="20"/>
  <c r="T67" i="25"/>
  <c r="T59" i="25"/>
  <c r="T51" i="25"/>
  <c r="AK95" i="29"/>
  <c r="AJ103" i="29"/>
  <c r="AK83" i="29"/>
  <c r="AK75" i="29"/>
  <c r="AK67" i="29"/>
  <c r="AK43" i="29"/>
  <c r="AK35" i="29"/>
  <c r="AJ67" i="29"/>
  <c r="AK20" i="20"/>
  <c r="AK16" i="20"/>
  <c r="AK12" i="20"/>
  <c r="AK4" i="20"/>
  <c r="AJ71" i="25"/>
  <c r="AJ63" i="25"/>
  <c r="S30" i="29"/>
  <c r="S66" i="20"/>
  <c r="S12" i="20"/>
  <c r="AJ82" i="25"/>
  <c r="AJ71" i="29"/>
  <c r="AJ79" i="27"/>
  <c r="AK102" i="20"/>
  <c r="AK98" i="20"/>
  <c r="AK94" i="20"/>
  <c r="AK74" i="20"/>
  <c r="AK70" i="20"/>
  <c r="AK66" i="20"/>
  <c r="AK62" i="20"/>
  <c r="AK42" i="20"/>
  <c r="AK34" i="20"/>
  <c r="AK90" i="25"/>
  <c r="AK88" i="25"/>
  <c r="AK50" i="25"/>
  <c r="AK46" i="25"/>
  <c r="AK42" i="25"/>
  <c r="AK40" i="25"/>
  <c r="AK38" i="25"/>
  <c r="AK34" i="25"/>
  <c r="AK28" i="25"/>
  <c r="AK102" i="29"/>
  <c r="AK46" i="29"/>
  <c r="AJ101" i="29"/>
  <c r="T76" i="20"/>
  <c r="S76" i="27"/>
  <c r="S33" i="29"/>
  <c r="T56" i="27"/>
  <c r="T62" i="27"/>
  <c r="S78" i="25"/>
  <c r="S46" i="25"/>
  <c r="S100" i="29"/>
  <c r="S84" i="29"/>
  <c r="S70" i="29"/>
  <c r="S66" i="29"/>
  <c r="S54" i="29"/>
  <c r="I114" i="27"/>
  <c r="I114" i="25"/>
  <c r="I114" i="29"/>
  <c r="T57" i="20"/>
  <c r="I114" i="20"/>
  <c r="T44" i="20"/>
  <c r="S52" i="27"/>
  <c r="AH114" i="25"/>
  <c r="AI114" i="25"/>
  <c r="AH114" i="20"/>
  <c r="AI114" i="20"/>
  <c r="AH114" i="29"/>
  <c r="AJ79" i="29"/>
  <c r="AI114" i="27"/>
  <c r="AI114" i="29"/>
  <c r="AJ55" i="29"/>
  <c r="AH114" i="27"/>
  <c r="Q114" i="27"/>
  <c r="Q114" i="20"/>
  <c r="S79" i="27"/>
  <c r="Q114" i="25"/>
  <c r="Q114" i="29"/>
  <c r="AO114" i="20"/>
  <c r="J22" i="9" s="1"/>
  <c r="AR114" i="27"/>
  <c r="AM114" i="20"/>
  <c r="AP114" i="27"/>
  <c r="W114" i="29"/>
  <c r="D46" i="9" s="1"/>
  <c r="AQ114" i="20"/>
  <c r="AM114" i="27"/>
  <c r="H10" i="9" s="1"/>
  <c r="AP114" i="20"/>
  <c r="V114" i="20"/>
  <c r="C22" i="9" s="1"/>
  <c r="X114" i="20"/>
  <c r="E22" i="9" s="1"/>
  <c r="AA114" i="20"/>
  <c r="AN114" i="20"/>
  <c r="I22" i="9" s="1"/>
  <c r="Z114" i="20"/>
  <c r="W114" i="20"/>
  <c r="D22" i="9" s="1"/>
  <c r="Y114" i="20"/>
  <c r="Y114" i="27"/>
  <c r="X114" i="27"/>
  <c r="E10" i="9" s="1"/>
  <c r="W114" i="27"/>
  <c r="D10" i="9" s="1"/>
  <c r="AQ114" i="25"/>
  <c r="AQ114" i="27"/>
  <c r="AA114" i="27"/>
  <c r="AN114" i="27"/>
  <c r="I10" i="9" s="1"/>
  <c r="Z114" i="27"/>
  <c r="Y114" i="25"/>
  <c r="AN114" i="29"/>
  <c r="I46" i="9" s="1"/>
  <c r="AR114" i="20"/>
  <c r="AO114" i="27"/>
  <c r="J10" i="9" s="1"/>
  <c r="V114" i="27"/>
  <c r="C10" i="9" s="1"/>
  <c r="AM114" i="29"/>
  <c r="H46" i="9" s="1"/>
  <c r="V114" i="25"/>
  <c r="C34" i="9" s="1"/>
  <c r="AA114" i="25"/>
  <c r="W114" i="25"/>
  <c r="D34" i="9" s="1"/>
  <c r="Z114" i="25"/>
  <c r="AN114" i="25"/>
  <c r="I34" i="9" s="1"/>
  <c r="AP114" i="25"/>
  <c r="AP114" i="29"/>
  <c r="AA114" i="29"/>
  <c r="V114" i="29"/>
  <c r="C46" i="9" s="1"/>
  <c r="AO114" i="29"/>
  <c r="J46" i="9" s="1"/>
  <c r="X114" i="25"/>
  <c r="E34" i="9" s="1"/>
  <c r="AO114" i="25"/>
  <c r="J34" i="9" s="1"/>
  <c r="AM114" i="25"/>
  <c r="H34" i="9" s="1"/>
  <c r="AR114" i="25"/>
  <c r="Z114" i="29"/>
  <c r="AR114" i="29"/>
  <c r="X114" i="29"/>
  <c r="E46" i="9" s="1"/>
  <c r="AQ114" i="29"/>
  <c r="Y114" i="29"/>
  <c r="T90" i="25"/>
  <c r="T44" i="25"/>
  <c r="T40" i="25"/>
  <c r="T36" i="25"/>
  <c r="T32" i="25"/>
  <c r="T28" i="25"/>
  <c r="AK104" i="29"/>
  <c r="AK100" i="29"/>
  <c r="T98" i="29"/>
  <c r="T94" i="29"/>
  <c r="AJ83" i="29"/>
  <c r="T76" i="29"/>
  <c r="T68" i="29"/>
  <c r="T64" i="29"/>
  <c r="T60" i="29"/>
  <c r="T56" i="29"/>
  <c r="T52" i="29"/>
  <c r="T44" i="29"/>
  <c r="AJ65" i="25"/>
  <c r="AK51" i="27"/>
  <c r="AK65" i="27"/>
  <c r="T100" i="27"/>
  <c r="AK100" i="27"/>
  <c r="AK10" i="27"/>
  <c r="AJ56" i="27"/>
  <c r="AK68" i="20"/>
  <c r="AK56" i="20"/>
  <c r="AK52" i="20"/>
  <c r="AK60" i="27"/>
  <c r="AK64" i="27"/>
  <c r="AJ91" i="27"/>
  <c r="AJ106" i="27"/>
  <c r="AK79" i="27"/>
  <c r="AJ82" i="27"/>
  <c r="AK85" i="27"/>
  <c r="AJ88" i="27"/>
  <c r="AK5" i="20"/>
  <c r="AJ33" i="29"/>
  <c r="AK72" i="20"/>
  <c r="AK60" i="20"/>
  <c r="AK48" i="20"/>
  <c r="AK25" i="27"/>
  <c r="AK35" i="27"/>
  <c r="AK45" i="27"/>
  <c r="AJ48" i="27"/>
  <c r="T85" i="27"/>
  <c r="T83" i="27"/>
  <c r="T18" i="27"/>
  <c r="T28" i="27"/>
  <c r="T58" i="27"/>
  <c r="Q113" i="29"/>
  <c r="Q111" i="29"/>
  <c r="T70" i="27"/>
  <c r="Q109" i="20"/>
  <c r="Q112" i="29"/>
  <c r="S12" i="27"/>
  <c r="T36" i="27"/>
  <c r="Q109" i="25"/>
  <c r="T52" i="20"/>
  <c r="S69" i="27"/>
  <c r="AJ68" i="20"/>
  <c r="AJ36" i="20"/>
  <c r="S38" i="29"/>
  <c r="S36" i="29"/>
  <c r="T52" i="27"/>
  <c r="T94" i="27"/>
  <c r="T46" i="25"/>
  <c r="S73" i="27"/>
  <c r="AK87" i="27"/>
  <c r="T14" i="27"/>
  <c r="S45" i="27"/>
  <c r="AJ60" i="27"/>
  <c r="S67" i="27"/>
  <c r="T106" i="20"/>
  <c r="T102" i="20"/>
  <c r="T98" i="20"/>
  <c r="T94" i="20"/>
  <c r="AK58" i="20"/>
  <c r="AK54" i="20"/>
  <c r="AK46" i="20"/>
  <c r="AK38" i="20"/>
  <c r="AK30" i="20"/>
  <c r="T74" i="20"/>
  <c r="T70" i="20"/>
  <c r="T66" i="20"/>
  <c r="T62" i="20"/>
  <c r="T58" i="20"/>
  <c r="T54" i="20"/>
  <c r="T50" i="20"/>
  <c r="T46" i="20"/>
  <c r="T42" i="20"/>
  <c r="T38" i="20"/>
  <c r="T34" i="20"/>
  <c r="T30" i="20"/>
  <c r="AK106" i="25"/>
  <c r="AK102" i="25"/>
  <c r="AK98" i="25"/>
  <c r="AK94" i="25"/>
  <c r="T104" i="25"/>
  <c r="T100" i="25"/>
  <c r="T96" i="25"/>
  <c r="T92" i="25"/>
  <c r="AK54" i="25"/>
  <c r="T54" i="25"/>
  <c r="T50" i="25"/>
  <c r="AK98" i="29"/>
  <c r="AK94" i="29"/>
  <c r="T104" i="29"/>
  <c r="T100" i="29"/>
  <c r="AK90" i="29"/>
  <c r="AK86" i="29"/>
  <c r="AK82" i="29"/>
  <c r="AK78" i="29"/>
  <c r="AK74" i="29"/>
  <c r="AK70" i="29"/>
  <c r="AK66" i="29"/>
  <c r="AK62" i="29"/>
  <c r="AK58" i="29"/>
  <c r="AK54" i="29"/>
  <c r="AK50" i="29"/>
  <c r="AJ49" i="20"/>
  <c r="AK44" i="25"/>
  <c r="AK36" i="25"/>
  <c r="AK32" i="25"/>
  <c r="T88" i="25"/>
  <c r="T42" i="25"/>
  <c r="T34" i="25"/>
  <c r="AK106" i="29"/>
  <c r="T96" i="29"/>
  <c r="T92" i="29"/>
  <c r="T90" i="29"/>
  <c r="T86" i="29"/>
  <c r="T82" i="29"/>
  <c r="T78" i="29"/>
  <c r="T74" i="29"/>
  <c r="T66" i="29"/>
  <c r="T62" i="29"/>
  <c r="T58" i="29"/>
  <c r="T54" i="29"/>
  <c r="T50" i="29"/>
  <c r="T46" i="29"/>
  <c r="T38" i="27"/>
  <c r="T98" i="27"/>
  <c r="AK30" i="25"/>
  <c r="T12" i="27"/>
  <c r="T8" i="27"/>
  <c r="T4" i="27"/>
  <c r="AK76" i="20"/>
  <c r="AK64" i="20"/>
  <c r="AK44" i="20"/>
  <c r="AK40" i="20"/>
  <c r="AK36" i="20"/>
  <c r="AK32" i="20"/>
  <c r="AK28" i="20"/>
  <c r="T72" i="20"/>
  <c r="T68" i="20"/>
  <c r="T64" i="20"/>
  <c r="T60" i="20"/>
  <c r="T56" i="20"/>
  <c r="T48" i="20"/>
  <c r="T40" i="20"/>
  <c r="T36" i="20"/>
  <c r="T32" i="20"/>
  <c r="T28" i="20"/>
  <c r="AK104" i="25"/>
  <c r="AK100" i="25"/>
  <c r="AK96" i="25"/>
  <c r="AK92" i="25"/>
  <c r="T106" i="25"/>
  <c r="T102" i="25"/>
  <c r="T98" i="25"/>
  <c r="T94" i="25"/>
  <c r="AK56" i="25"/>
  <c r="AK52" i="25"/>
  <c r="AK48" i="25"/>
  <c r="T56" i="25"/>
  <c r="T48" i="25"/>
  <c r="AK96" i="29"/>
  <c r="AK92" i="29"/>
  <c r="T106" i="29"/>
  <c r="T102" i="29"/>
  <c r="AK88" i="29"/>
  <c r="AK84" i="29"/>
  <c r="AK80" i="29"/>
  <c r="AK76" i="29"/>
  <c r="AK72" i="29"/>
  <c r="AK68" i="29"/>
  <c r="AK64" i="29"/>
  <c r="AK60" i="29"/>
  <c r="AK56" i="29"/>
  <c r="AK52" i="29"/>
  <c r="AK48" i="29"/>
  <c r="AK44" i="29"/>
  <c r="AK90" i="27"/>
  <c r="AK29" i="27"/>
  <c r="AJ105" i="25"/>
  <c r="T13" i="20"/>
  <c r="T9" i="20"/>
  <c r="T3" i="20"/>
  <c r="AJ28" i="29"/>
  <c r="AK59" i="27"/>
  <c r="AJ35" i="20"/>
  <c r="AJ86" i="25"/>
  <c r="AJ68" i="25"/>
  <c r="AJ66" i="25"/>
  <c r="AJ54" i="25"/>
  <c r="AJ106" i="29"/>
  <c r="AJ102" i="29"/>
  <c r="AJ78" i="29"/>
  <c r="AJ40" i="29"/>
  <c r="AJ36" i="29"/>
  <c r="AJ32" i="29"/>
  <c r="AJ66" i="27"/>
  <c r="AJ53" i="27"/>
  <c r="AK30" i="27"/>
  <c r="AI112" i="29"/>
  <c r="AJ51" i="29"/>
  <c r="AJ33" i="20"/>
  <c r="AK71" i="20"/>
  <c r="AK67" i="20"/>
  <c r="AK59" i="20"/>
  <c r="AK51" i="20"/>
  <c r="AK83" i="25"/>
  <c r="AK59" i="25"/>
  <c r="AK53" i="25"/>
  <c r="AK57" i="29"/>
  <c r="AK49" i="29"/>
  <c r="AJ92" i="20"/>
  <c r="AJ79" i="25"/>
  <c r="AJ41" i="29"/>
  <c r="AJ51" i="20"/>
  <c r="AJ103" i="20"/>
  <c r="AJ95" i="20"/>
  <c r="AK58" i="27"/>
  <c r="T67" i="27"/>
  <c r="AK94" i="27"/>
  <c r="AK98" i="27"/>
  <c r="AJ99" i="27"/>
  <c r="T103" i="27"/>
  <c r="AK103" i="27"/>
  <c r="AK89" i="27"/>
  <c r="Q113" i="20"/>
  <c r="Q111" i="20"/>
  <c r="Q113" i="25"/>
  <c r="Q110" i="29"/>
  <c r="AK14" i="27"/>
  <c r="AK6" i="27"/>
  <c r="Q108" i="27"/>
  <c r="T26" i="27"/>
  <c r="T53" i="27"/>
  <c r="AK57" i="27"/>
  <c r="S59" i="27"/>
  <c r="AK61" i="27"/>
  <c r="AJ105" i="27"/>
  <c r="AK106" i="27"/>
  <c r="AK26" i="20"/>
  <c r="AK18" i="20"/>
  <c r="AK10" i="20"/>
  <c r="AK6" i="20"/>
  <c r="S9" i="27"/>
  <c r="AK13" i="27"/>
  <c r="AK17" i="27"/>
  <c r="AK19" i="27"/>
  <c r="AJ33" i="27"/>
  <c r="AK34" i="27"/>
  <c r="AK36" i="27"/>
  <c r="AK38" i="27"/>
  <c r="AJ43" i="27"/>
  <c r="T48" i="27"/>
  <c r="AK48" i="27"/>
  <c r="AK50" i="27"/>
  <c r="AK52" i="27"/>
  <c r="AJ14" i="20"/>
  <c r="S40" i="27"/>
  <c r="S44" i="27"/>
  <c r="S23" i="27"/>
  <c r="T57" i="27"/>
  <c r="R46" i="25"/>
  <c r="R66" i="29"/>
  <c r="AJ66" i="29" s="1"/>
  <c r="AK93" i="20"/>
  <c r="AK77" i="20"/>
  <c r="AK73" i="20"/>
  <c r="AK69" i="20"/>
  <c r="AK65" i="20"/>
  <c r="AK61" i="20"/>
  <c r="AK37" i="20"/>
  <c r="AK33" i="20"/>
  <c r="AK29" i="20"/>
  <c r="AK13" i="20"/>
  <c r="AK9" i="20"/>
  <c r="AJ91" i="20"/>
  <c r="S36" i="27"/>
  <c r="S34" i="27"/>
  <c r="AK71" i="27"/>
  <c r="AK45" i="25"/>
  <c r="AK41" i="25"/>
  <c r="AK37" i="25"/>
  <c r="AK33" i="25"/>
  <c r="AK29" i="25"/>
  <c r="AJ89" i="25"/>
  <c r="AJ80" i="25"/>
  <c r="AJ34" i="25"/>
  <c r="T87" i="25"/>
  <c r="T83" i="25"/>
  <c r="T75" i="25"/>
  <c r="T45" i="25"/>
  <c r="T41" i="25"/>
  <c r="T37" i="25"/>
  <c r="T33" i="25"/>
  <c r="AK105" i="29"/>
  <c r="AK101" i="29"/>
  <c r="AJ97" i="29"/>
  <c r="T95" i="29"/>
  <c r="AJ30" i="27"/>
  <c r="AJ59" i="27"/>
  <c r="AJ71" i="27"/>
  <c r="AJ73" i="27"/>
  <c r="S75" i="27"/>
  <c r="AK75" i="27"/>
  <c r="AK77" i="27"/>
  <c r="AJ101" i="27"/>
  <c r="AJ104" i="27"/>
  <c r="T104" i="20"/>
  <c r="T100" i="20"/>
  <c r="T96" i="20"/>
  <c r="AK104" i="20"/>
  <c r="AK100" i="20"/>
  <c r="AK96" i="20"/>
  <c r="AJ93" i="20"/>
  <c r="AJ29" i="20"/>
  <c r="AJ21" i="20"/>
  <c r="T77" i="20"/>
  <c r="T73" i="20"/>
  <c r="T69" i="20"/>
  <c r="T65" i="20"/>
  <c r="T61" i="20"/>
  <c r="T22" i="20"/>
  <c r="T20" i="20"/>
  <c r="T18" i="20"/>
  <c r="T16" i="20"/>
  <c r="T10" i="20"/>
  <c r="S18" i="20"/>
  <c r="S14" i="20"/>
  <c r="AK103" i="25"/>
  <c r="AK99" i="25"/>
  <c r="AK95" i="25"/>
  <c r="AK91" i="25"/>
  <c r="AK87" i="25"/>
  <c r="AK71" i="25"/>
  <c r="AK67" i="25"/>
  <c r="AK63" i="25"/>
  <c r="AK43" i="25"/>
  <c r="AK39" i="25"/>
  <c r="AK35" i="25"/>
  <c r="AK31" i="25"/>
  <c r="AK27" i="25"/>
  <c r="AJ67" i="25"/>
  <c r="AJ48" i="25"/>
  <c r="AJ36" i="25"/>
  <c r="T89" i="25"/>
  <c r="T85" i="25"/>
  <c r="AK47" i="25"/>
  <c r="T43" i="25"/>
  <c r="T39" i="25"/>
  <c r="T35" i="25"/>
  <c r="T31" i="25"/>
  <c r="AK103" i="29"/>
  <c r="AK3" i="27"/>
  <c r="AK18" i="27"/>
  <c r="AK22" i="27"/>
  <c r="AJ23" i="27"/>
  <c r="Q109" i="27"/>
  <c r="AK33" i="27"/>
  <c r="AJ38" i="27"/>
  <c r="AK39" i="27"/>
  <c r="AK41" i="27"/>
  <c r="Q110" i="27"/>
  <c r="AK49" i="27"/>
  <c r="T64" i="27"/>
  <c r="AK66" i="27"/>
  <c r="T91" i="27"/>
  <c r="AK91" i="27"/>
  <c r="AK95" i="27"/>
  <c r="AK99" i="27"/>
  <c r="AJ100" i="27"/>
  <c r="AK102" i="27"/>
  <c r="S91" i="20"/>
  <c r="AK75" i="20"/>
  <c r="AK31" i="20"/>
  <c r="AK27" i="20"/>
  <c r="AK23" i="20"/>
  <c r="AK11" i="20"/>
  <c r="AK7" i="20"/>
  <c r="AK3" i="20"/>
  <c r="AJ55" i="20"/>
  <c r="AJ47" i="20"/>
  <c r="AJ39" i="20"/>
  <c r="T41" i="20"/>
  <c r="T33" i="20"/>
  <c r="T29" i="20"/>
  <c r="S53" i="20"/>
  <c r="S41" i="20"/>
  <c r="S37" i="20"/>
  <c r="T105" i="25"/>
  <c r="T101" i="25"/>
  <c r="T97" i="25"/>
  <c r="T93" i="25"/>
  <c r="S99" i="25"/>
  <c r="AK55" i="25"/>
  <c r="AK51" i="25"/>
  <c r="AJ77" i="25"/>
  <c r="T73" i="25"/>
  <c r="T65" i="25"/>
  <c r="T61" i="25"/>
  <c r="T57" i="25"/>
  <c r="T53" i="25"/>
  <c r="T49" i="25"/>
  <c r="AK93" i="29"/>
  <c r="T103" i="29"/>
  <c r="AK89" i="29"/>
  <c r="AK85" i="29"/>
  <c r="AK81" i="29"/>
  <c r="AK77" i="29"/>
  <c r="AK73" i="29"/>
  <c r="AK69" i="29"/>
  <c r="AK65" i="29"/>
  <c r="AK45" i="29"/>
  <c r="AJ31" i="29"/>
  <c r="T87" i="29"/>
  <c r="T83" i="29"/>
  <c r="T79" i="29"/>
  <c r="T75" i="29"/>
  <c r="T71" i="29"/>
  <c r="T67" i="29"/>
  <c r="T59" i="29"/>
  <c r="T51" i="29"/>
  <c r="T47" i="29"/>
  <c r="S32" i="29"/>
  <c r="AJ58" i="25"/>
  <c r="AK8" i="27"/>
  <c r="AJ23" i="20"/>
  <c r="AK4" i="27"/>
  <c r="AJ15" i="20"/>
  <c r="AJ90" i="27"/>
  <c r="AJ85" i="29"/>
  <c r="AJ100" i="20"/>
  <c r="AJ24" i="27"/>
  <c r="AJ50" i="25"/>
  <c r="AH108" i="20"/>
  <c r="S72" i="25"/>
  <c r="S3" i="27"/>
  <c r="J51" i="20"/>
  <c r="S26" i="27"/>
  <c r="S44" i="29"/>
  <c r="J89" i="29"/>
  <c r="S22" i="27"/>
  <c r="S59" i="25"/>
  <c r="S27" i="27"/>
  <c r="S47" i="29"/>
  <c r="J91" i="25"/>
  <c r="S56" i="25"/>
  <c r="J89" i="25"/>
  <c r="S73" i="25"/>
  <c r="S86" i="25"/>
  <c r="S36" i="20"/>
  <c r="S31" i="27"/>
  <c r="S82" i="25"/>
  <c r="S24" i="27"/>
  <c r="S20" i="27"/>
  <c r="S59" i="29"/>
  <c r="S7" i="20"/>
  <c r="S51" i="27"/>
  <c r="S91" i="27"/>
  <c r="S76" i="25"/>
  <c r="T38" i="29"/>
  <c r="S64" i="27"/>
  <c r="J75" i="27"/>
  <c r="S11" i="20"/>
  <c r="S102" i="29"/>
  <c r="S56" i="27"/>
  <c r="S83" i="27"/>
  <c r="S89" i="27"/>
  <c r="S84" i="25"/>
  <c r="S98" i="27"/>
  <c r="S93" i="27"/>
  <c r="S97" i="25"/>
  <c r="J9" i="27"/>
  <c r="S35" i="20"/>
  <c r="S53" i="27"/>
  <c r="S63" i="29"/>
  <c r="J91" i="20"/>
  <c r="S59" i="20"/>
  <c r="S58" i="25"/>
  <c r="S96" i="27"/>
  <c r="S40" i="25"/>
  <c r="S36" i="25"/>
  <c r="J75" i="25"/>
  <c r="S5" i="20"/>
  <c r="S95" i="25"/>
  <c r="S95" i="29"/>
  <c r="S60" i="27"/>
  <c r="S50" i="25"/>
  <c r="S94" i="27"/>
  <c r="S37" i="27"/>
  <c r="J37" i="20"/>
  <c r="S43" i="27"/>
  <c r="T73" i="27"/>
  <c r="S39" i="27"/>
  <c r="S101" i="27"/>
  <c r="S94" i="20"/>
  <c r="S102" i="20"/>
  <c r="S60" i="25"/>
  <c r="S100" i="27"/>
  <c r="S88" i="27"/>
  <c r="S67" i="29"/>
  <c r="S71" i="29"/>
  <c r="J67" i="27"/>
  <c r="S93" i="25"/>
  <c r="S16" i="27"/>
  <c r="S54" i="25"/>
  <c r="S52" i="20"/>
  <c r="S30" i="27"/>
  <c r="J23" i="27"/>
  <c r="S87" i="25"/>
  <c r="J103" i="29"/>
  <c r="I107" i="27"/>
  <c r="AJ56" i="25"/>
  <c r="AJ64" i="25"/>
  <c r="AJ74" i="25"/>
  <c r="AJ44" i="20"/>
  <c r="AJ65" i="27"/>
  <c r="AJ4" i="27"/>
  <c r="AK7" i="27"/>
  <c r="AJ49" i="27"/>
  <c r="AJ18" i="27"/>
  <c r="AJ35" i="27"/>
  <c r="AJ39" i="27"/>
  <c r="AH110" i="27"/>
  <c r="AK56" i="27"/>
  <c r="AK67" i="27"/>
  <c r="AK70" i="27"/>
  <c r="AJ85" i="27"/>
  <c r="AK86" i="27"/>
  <c r="AJ87" i="27"/>
  <c r="AJ53" i="29"/>
  <c r="AJ10" i="27"/>
  <c r="AJ19" i="27"/>
  <c r="AK8" i="20"/>
  <c r="AJ105" i="20"/>
  <c r="AJ78" i="25"/>
  <c r="AJ34" i="29"/>
  <c r="AJ96" i="27"/>
  <c r="AJ52" i="27"/>
  <c r="AH113" i="27"/>
  <c r="AJ98" i="27"/>
  <c r="AK5" i="27"/>
  <c r="AJ20" i="27"/>
  <c r="AK21" i="27"/>
  <c r="AK28" i="27"/>
  <c r="AJ80" i="27"/>
  <c r="AK83" i="27"/>
  <c r="AJ99" i="25"/>
  <c r="AJ73" i="25"/>
  <c r="AJ49" i="25"/>
  <c r="AJ41" i="25"/>
  <c r="AJ4" i="20"/>
  <c r="AJ44" i="25"/>
  <c r="AJ60" i="25"/>
  <c r="AK37" i="27"/>
  <c r="AK96" i="27"/>
  <c r="AJ10" i="20"/>
  <c r="AJ78" i="20"/>
  <c r="AJ74" i="20"/>
  <c r="AJ72" i="20"/>
  <c r="AJ58" i="20"/>
  <c r="AJ52" i="20"/>
  <c r="AJ46" i="20"/>
  <c r="AJ96" i="25"/>
  <c r="AJ94" i="25"/>
  <c r="T40" i="29"/>
  <c r="S38" i="27"/>
  <c r="S34" i="25"/>
  <c r="S58" i="20"/>
  <c r="S30" i="25"/>
  <c r="S49" i="27"/>
  <c r="S45" i="20"/>
  <c r="J99" i="25"/>
  <c r="T3" i="27"/>
  <c r="S17" i="27"/>
  <c r="S48" i="27"/>
  <c r="T7" i="20"/>
  <c r="T5" i="20"/>
  <c r="S14" i="27"/>
  <c r="S19" i="20"/>
  <c r="S90" i="27"/>
  <c r="S13" i="20"/>
  <c r="S63" i="27"/>
  <c r="J45" i="27"/>
  <c r="J109" i="27" s="1"/>
  <c r="J59" i="27"/>
  <c r="S49" i="20"/>
  <c r="S71" i="25"/>
  <c r="S61" i="20"/>
  <c r="T79" i="27"/>
  <c r="S47" i="25"/>
  <c r="S45" i="25"/>
  <c r="S35" i="25"/>
  <c r="S44" i="25"/>
  <c r="S62" i="25"/>
  <c r="S64" i="25"/>
  <c r="S15" i="20"/>
  <c r="S23" i="20"/>
  <c r="S105" i="27"/>
  <c r="S93" i="20"/>
  <c r="S97" i="20"/>
  <c r="S25" i="27"/>
  <c r="S97" i="27"/>
  <c r="S20" i="20"/>
  <c r="J101" i="29"/>
  <c r="S76" i="20"/>
  <c r="S64" i="20"/>
  <c r="S54" i="20"/>
  <c r="S48" i="20"/>
  <c r="S44" i="20"/>
  <c r="S40" i="20"/>
  <c r="S30" i="20"/>
  <c r="T84" i="25"/>
  <c r="T76" i="25"/>
  <c r="T66" i="25"/>
  <c r="S34" i="29"/>
  <c r="AJ38" i="29"/>
  <c r="S98" i="29"/>
  <c r="S31" i="29"/>
  <c r="AK38" i="29"/>
  <c r="AJ30" i="29"/>
  <c r="T101" i="29"/>
  <c r="T99" i="29"/>
  <c r="AJ45" i="29"/>
  <c r="AJ88" i="29"/>
  <c r="S82" i="29"/>
  <c r="AJ56" i="29"/>
  <c r="AK36" i="29"/>
  <c r="AJ42" i="29"/>
  <c r="R100" i="29"/>
  <c r="AJ100" i="29" s="1"/>
  <c r="S97" i="29"/>
  <c r="S41" i="29"/>
  <c r="AJ99" i="29"/>
  <c r="AJ47" i="29"/>
  <c r="AJ105" i="29"/>
  <c r="AJ80" i="29"/>
  <c r="S56" i="29"/>
  <c r="R70" i="29"/>
  <c r="AJ70" i="29" s="1"/>
  <c r="AI113" i="29"/>
  <c r="S91" i="29"/>
  <c r="AJ49" i="29"/>
  <c r="AJ35" i="29"/>
  <c r="AJ27" i="29"/>
  <c r="AI109" i="29"/>
  <c r="J79" i="29"/>
  <c r="S79" i="29"/>
  <c r="R96" i="29"/>
  <c r="AJ96" i="29" s="1"/>
  <c r="S96" i="29"/>
  <c r="S94" i="29"/>
  <c r="R94" i="29"/>
  <c r="AJ94" i="29" s="1"/>
  <c r="S90" i="29"/>
  <c r="R90" i="29"/>
  <c r="AJ90" i="29" s="1"/>
  <c r="S76" i="29"/>
  <c r="R76" i="29"/>
  <c r="AJ76" i="29" s="1"/>
  <c r="R72" i="29"/>
  <c r="AJ72" i="29" s="1"/>
  <c r="S72" i="29"/>
  <c r="R64" i="29"/>
  <c r="AJ64" i="29" s="1"/>
  <c r="S64" i="29"/>
  <c r="S58" i="29"/>
  <c r="R50" i="29"/>
  <c r="AJ50" i="29" s="1"/>
  <c r="S50" i="29"/>
  <c r="R48" i="29"/>
  <c r="S48" i="29"/>
  <c r="R46" i="29"/>
  <c r="AJ46" i="29" s="1"/>
  <c r="S46" i="29"/>
  <c r="AK42" i="29"/>
  <c r="T42" i="29"/>
  <c r="T32" i="29"/>
  <c r="AK32" i="29"/>
  <c r="AK30" i="29"/>
  <c r="T30" i="29"/>
  <c r="AK28" i="29"/>
  <c r="Q115" i="29"/>
  <c r="Q109" i="29"/>
  <c r="J106" i="29"/>
  <c r="S106" i="29"/>
  <c r="AK47" i="29"/>
  <c r="AH110" i="29"/>
  <c r="T27" i="29"/>
  <c r="I115" i="29"/>
  <c r="J28" i="29"/>
  <c r="S28" i="29"/>
  <c r="R54" i="29"/>
  <c r="AJ54" i="29" s="1"/>
  <c r="S78" i="29"/>
  <c r="R84" i="29"/>
  <c r="AJ84" i="29" s="1"/>
  <c r="T36" i="29"/>
  <c r="I109" i="29"/>
  <c r="T97" i="29"/>
  <c r="T80" i="29"/>
  <c r="I112" i="29"/>
  <c r="J69" i="29"/>
  <c r="J111" i="29" s="1"/>
  <c r="S69" i="29"/>
  <c r="S92" i="29"/>
  <c r="R92" i="29"/>
  <c r="AJ92" i="29" s="1"/>
  <c r="R86" i="29"/>
  <c r="AJ86" i="29" s="1"/>
  <c r="S86" i="29"/>
  <c r="S74" i="29"/>
  <c r="R74" i="29"/>
  <c r="AJ74" i="29" s="1"/>
  <c r="S68" i="29"/>
  <c r="R68" i="29"/>
  <c r="AJ68" i="29" s="1"/>
  <c r="R62" i="29"/>
  <c r="AJ62" i="29" s="1"/>
  <c r="S62" i="29"/>
  <c r="R60" i="29"/>
  <c r="AJ60" i="29" s="1"/>
  <c r="S60" i="29"/>
  <c r="S52" i="29"/>
  <c r="R52" i="29"/>
  <c r="AJ52" i="29" s="1"/>
  <c r="AK34" i="29"/>
  <c r="T34" i="29"/>
  <c r="S88" i="29"/>
  <c r="S80" i="29"/>
  <c r="AK27" i="29"/>
  <c r="AH117" i="29"/>
  <c r="J61" i="29"/>
  <c r="S61" i="29"/>
  <c r="T28" i="29"/>
  <c r="R82" i="29"/>
  <c r="R58" i="29"/>
  <c r="AJ58" i="29" s="1"/>
  <c r="S57" i="29"/>
  <c r="J99" i="29"/>
  <c r="S55" i="29"/>
  <c r="T63" i="29"/>
  <c r="I111" i="29"/>
  <c r="I110" i="29"/>
  <c r="T48" i="29"/>
  <c r="J104" i="29"/>
  <c r="S104" i="29"/>
  <c r="J83" i="29"/>
  <c r="S83" i="29"/>
  <c r="S43" i="29"/>
  <c r="J43" i="29"/>
  <c r="J40" i="29"/>
  <c r="S40" i="29"/>
  <c r="J37" i="29"/>
  <c r="S37" i="29"/>
  <c r="J27" i="29"/>
  <c r="S27" i="29"/>
  <c r="T91" i="29"/>
  <c r="I113" i="29"/>
  <c r="AI110" i="29"/>
  <c r="AJ43" i="29"/>
  <c r="AJ39" i="29"/>
  <c r="S53" i="29"/>
  <c r="J53" i="29"/>
  <c r="J51" i="29"/>
  <c r="S51" i="29"/>
  <c r="J42" i="29"/>
  <c r="S42" i="29"/>
  <c r="AJ37" i="29"/>
  <c r="S29" i="29"/>
  <c r="J29" i="29"/>
  <c r="AJ104" i="29"/>
  <c r="T57" i="29"/>
  <c r="T49" i="29"/>
  <c r="AK97" i="29"/>
  <c r="AJ98" i="29"/>
  <c r="AK99" i="29"/>
  <c r="AH112" i="29"/>
  <c r="AH111" i="29"/>
  <c r="AI111" i="29"/>
  <c r="AJ44" i="29"/>
  <c r="S85" i="29"/>
  <c r="AJ93" i="25"/>
  <c r="AJ88" i="25"/>
  <c r="T86" i="25"/>
  <c r="S57" i="25"/>
  <c r="S55" i="25"/>
  <c r="AJ51" i="25"/>
  <c r="AJ43" i="25"/>
  <c r="AJ33" i="25"/>
  <c r="S32" i="25"/>
  <c r="AJ40" i="25"/>
  <c r="S79" i="25"/>
  <c r="T27" i="25"/>
  <c r="AJ101" i="25"/>
  <c r="AJ97" i="25"/>
  <c r="AJ46" i="25"/>
  <c r="I111" i="25"/>
  <c r="I115" i="25"/>
  <c r="AJ61" i="25"/>
  <c r="AJ59" i="25"/>
  <c r="R57" i="25"/>
  <c r="AJ57" i="25" s="1"/>
  <c r="R55" i="25"/>
  <c r="AJ55" i="25" s="1"/>
  <c r="AJ62" i="25"/>
  <c r="S65" i="25"/>
  <c r="S48" i="25"/>
  <c r="S69" i="25"/>
  <c r="S63" i="25"/>
  <c r="AJ103" i="25"/>
  <c r="T82" i="25"/>
  <c r="T62" i="25"/>
  <c r="S42" i="25"/>
  <c r="S77" i="25"/>
  <c r="S61" i="25"/>
  <c r="S67" i="25"/>
  <c r="J103" i="25"/>
  <c r="S103" i="25"/>
  <c r="T81" i="25"/>
  <c r="I112" i="25"/>
  <c r="J74" i="25"/>
  <c r="S74" i="25"/>
  <c r="R106" i="25"/>
  <c r="AJ106" i="25" s="1"/>
  <c r="S106" i="25"/>
  <c r="R104" i="25"/>
  <c r="AJ104" i="25" s="1"/>
  <c r="S104" i="25"/>
  <c r="S92" i="25"/>
  <c r="R92" i="25"/>
  <c r="S90" i="25"/>
  <c r="AK80" i="25"/>
  <c r="T80" i="25"/>
  <c r="Q112" i="25"/>
  <c r="AK74" i="25"/>
  <c r="T74" i="25"/>
  <c r="T70" i="25"/>
  <c r="AK70" i="25"/>
  <c r="T68" i="25"/>
  <c r="AK64" i="25"/>
  <c r="T64" i="25"/>
  <c r="Q111" i="25"/>
  <c r="AK58" i="25"/>
  <c r="Q115" i="25"/>
  <c r="Q110" i="25"/>
  <c r="R53" i="25"/>
  <c r="AJ53" i="25" s="1"/>
  <c r="S53" i="25"/>
  <c r="R27" i="25"/>
  <c r="S27" i="25"/>
  <c r="AJ28" i="25"/>
  <c r="AK68" i="25"/>
  <c r="R111" i="25"/>
  <c r="T58" i="25"/>
  <c r="R90" i="25"/>
  <c r="AJ90" i="25" s="1"/>
  <c r="S51" i="25"/>
  <c r="S41" i="25"/>
  <c r="R35" i="25"/>
  <c r="AJ35" i="25" s="1"/>
  <c r="AK93" i="25"/>
  <c r="AH113" i="25"/>
  <c r="I109" i="25"/>
  <c r="T29" i="25"/>
  <c r="J68" i="25"/>
  <c r="S68" i="25"/>
  <c r="J66" i="25"/>
  <c r="S66" i="25"/>
  <c r="R47" i="25"/>
  <c r="AJ47" i="25" s="1"/>
  <c r="J38" i="25"/>
  <c r="S38" i="25"/>
  <c r="J28" i="25"/>
  <c r="S28" i="25"/>
  <c r="T52" i="25"/>
  <c r="I110" i="25"/>
  <c r="R102" i="25"/>
  <c r="AJ102" i="25" s="1"/>
  <c r="S102" i="25"/>
  <c r="S100" i="25"/>
  <c r="S98" i="25"/>
  <c r="AK78" i="25"/>
  <c r="T78" i="25"/>
  <c r="AK72" i="25"/>
  <c r="T72" i="25"/>
  <c r="T60" i="25"/>
  <c r="AK60" i="25"/>
  <c r="R39" i="25"/>
  <c r="AJ39" i="25" s="1"/>
  <c r="S39" i="25"/>
  <c r="R37" i="25"/>
  <c r="AJ37" i="25" s="1"/>
  <c r="S37" i="25"/>
  <c r="S31" i="25"/>
  <c r="R31" i="25"/>
  <c r="AJ31" i="25" s="1"/>
  <c r="S29" i="25"/>
  <c r="R29" i="25"/>
  <c r="AJ29" i="25" s="1"/>
  <c r="S94" i="25"/>
  <c r="AK76" i="25"/>
  <c r="S96" i="25"/>
  <c r="AK82" i="25"/>
  <c r="AJ42" i="25"/>
  <c r="S33" i="25"/>
  <c r="I113" i="25"/>
  <c r="T91" i="25"/>
  <c r="J80" i="25"/>
  <c r="S80" i="25"/>
  <c r="J70" i="25"/>
  <c r="S70" i="25"/>
  <c r="R100" i="25"/>
  <c r="AJ100" i="25" s="1"/>
  <c r="AK84" i="25"/>
  <c r="R98" i="25"/>
  <c r="AJ98" i="25" s="1"/>
  <c r="T38" i="25"/>
  <c r="S49" i="25"/>
  <c r="AH110" i="25"/>
  <c r="AH115" i="25"/>
  <c r="J88" i="25"/>
  <c r="S88" i="25"/>
  <c r="J85" i="25"/>
  <c r="S85" i="25"/>
  <c r="J52" i="25"/>
  <c r="J110" i="25" s="1"/>
  <c r="S52" i="25"/>
  <c r="AJ95" i="25"/>
  <c r="AH112" i="25"/>
  <c r="AH111" i="25"/>
  <c r="AK62" i="25"/>
  <c r="AJ76" i="25"/>
  <c r="AJ45" i="25"/>
  <c r="AJ70" i="25"/>
  <c r="AJ83" i="25"/>
  <c r="T77" i="25"/>
  <c r="S83" i="25"/>
  <c r="Q107" i="27"/>
  <c r="S18" i="27"/>
  <c r="Q112" i="27"/>
  <c r="AJ8" i="27"/>
  <c r="S80" i="27"/>
  <c r="S106" i="27"/>
  <c r="AJ34" i="27"/>
  <c r="T7" i="27"/>
  <c r="T10" i="27"/>
  <c r="AJ16" i="27"/>
  <c r="I110" i="27"/>
  <c r="R57" i="27"/>
  <c r="AJ57" i="27" s="1"/>
  <c r="S57" i="27"/>
  <c r="AK62" i="27"/>
  <c r="I113" i="27"/>
  <c r="T104" i="27"/>
  <c r="J82" i="27"/>
  <c r="S82" i="27"/>
  <c r="R7" i="27"/>
  <c r="AJ7" i="27" s="1"/>
  <c r="S7" i="27"/>
  <c r="T68" i="27"/>
  <c r="AK68" i="27"/>
  <c r="S32" i="27"/>
  <c r="AJ97" i="27"/>
  <c r="T23" i="27"/>
  <c r="AJ36" i="27"/>
  <c r="AJ51" i="27"/>
  <c r="T66" i="27"/>
  <c r="AJ67" i="27"/>
  <c r="J72" i="27"/>
  <c r="S72" i="27"/>
  <c r="Q113" i="27"/>
  <c r="R81" i="27"/>
  <c r="AJ81" i="27" s="1"/>
  <c r="S81" i="27"/>
  <c r="I112" i="27"/>
  <c r="AK11" i="27"/>
  <c r="T11" i="27"/>
  <c r="S35" i="27"/>
  <c r="J62" i="27"/>
  <c r="S62" i="27"/>
  <c r="S4" i="27"/>
  <c r="AJ17" i="27"/>
  <c r="S92" i="27"/>
  <c r="S87" i="27"/>
  <c r="R29" i="27"/>
  <c r="AJ29" i="27" s="1"/>
  <c r="S29" i="27"/>
  <c r="T30" i="27"/>
  <c r="AJ31" i="27"/>
  <c r="T34" i="27"/>
  <c r="S41" i="27"/>
  <c r="T49" i="27"/>
  <c r="R58" i="27"/>
  <c r="AJ58" i="27" s="1"/>
  <c r="S58" i="27"/>
  <c r="S65" i="27"/>
  <c r="J65" i="27"/>
  <c r="AK72" i="27"/>
  <c r="AJ76" i="27"/>
  <c r="AJ94" i="27"/>
  <c r="AJ89" i="27"/>
  <c r="AJ42" i="27"/>
  <c r="AK32" i="27"/>
  <c r="AJ40" i="27"/>
  <c r="S42" i="27"/>
  <c r="T44" i="27"/>
  <c r="AK44" i="27"/>
  <c r="AK46" i="27"/>
  <c r="AK55" i="27"/>
  <c r="AK69" i="27"/>
  <c r="AJ75" i="27"/>
  <c r="AK76" i="27"/>
  <c r="AJ92" i="27"/>
  <c r="T92" i="27"/>
  <c r="AK97" i="27"/>
  <c r="T81" i="27"/>
  <c r="AJ83" i="27"/>
  <c r="AK12" i="27"/>
  <c r="AJ12" i="27"/>
  <c r="AJ9" i="27"/>
  <c r="AK16" i="27"/>
  <c r="AJ22" i="27"/>
  <c r="AK40" i="27"/>
  <c r="AK42" i="27"/>
  <c r="AJ74" i="27"/>
  <c r="AJ77" i="27"/>
  <c r="R111" i="27"/>
  <c r="I109" i="27"/>
  <c r="T27" i="27"/>
  <c r="J70" i="27"/>
  <c r="S70" i="27"/>
  <c r="J85" i="27"/>
  <c r="S85" i="27"/>
  <c r="S77" i="27"/>
  <c r="I108" i="27"/>
  <c r="R46" i="27"/>
  <c r="AJ46" i="27" s="1"/>
  <c r="S46" i="27"/>
  <c r="AK53" i="27"/>
  <c r="J61" i="27"/>
  <c r="S61" i="27"/>
  <c r="AK63" i="27"/>
  <c r="T63" i="27"/>
  <c r="I111" i="27"/>
  <c r="J68" i="27"/>
  <c r="S68" i="27"/>
  <c r="T93" i="27"/>
  <c r="AK93" i="27"/>
  <c r="T95" i="27"/>
  <c r="AK104" i="27"/>
  <c r="R84" i="27"/>
  <c r="S84" i="27"/>
  <c r="AK88" i="27"/>
  <c r="T31" i="27"/>
  <c r="AK31" i="27"/>
  <c r="T105" i="27"/>
  <c r="AK105" i="27"/>
  <c r="AK47" i="27"/>
  <c r="T37" i="27"/>
  <c r="Q115" i="27"/>
  <c r="Q111" i="27"/>
  <c r="S33" i="27"/>
  <c r="S8" i="27"/>
  <c r="AJ69" i="27"/>
  <c r="R41" i="27"/>
  <c r="AJ41" i="27" s="1"/>
  <c r="S86" i="27"/>
  <c r="AK73" i="27"/>
  <c r="AJ3" i="27"/>
  <c r="AH108" i="27"/>
  <c r="R28" i="27"/>
  <c r="AJ28" i="27" s="1"/>
  <c r="S28" i="27"/>
  <c r="S54" i="27"/>
  <c r="R54" i="27"/>
  <c r="AJ54" i="27" s="1"/>
  <c r="T71" i="27"/>
  <c r="J104" i="27"/>
  <c r="S104" i="27"/>
  <c r="T80" i="27"/>
  <c r="AK80" i="27"/>
  <c r="S47" i="27"/>
  <c r="J47" i="27"/>
  <c r="AJ32" i="27"/>
  <c r="I115" i="27"/>
  <c r="R5" i="27"/>
  <c r="AJ5" i="27" s="1"/>
  <c r="S5" i="27"/>
  <c r="AH107" i="27"/>
  <c r="J19" i="27"/>
  <c r="S19" i="27"/>
  <c r="R50" i="27"/>
  <c r="AJ50" i="27" s="1"/>
  <c r="S50" i="27"/>
  <c r="T74" i="27"/>
  <c r="AK74" i="27"/>
  <c r="AI113" i="27"/>
  <c r="R95" i="27"/>
  <c r="AJ95" i="27" s="1"/>
  <c r="S95" i="27"/>
  <c r="R103" i="27"/>
  <c r="AJ103" i="27" s="1"/>
  <c r="S103" i="27"/>
  <c r="AH112" i="27"/>
  <c r="AJ25" i="27"/>
  <c r="AJ26" i="27"/>
  <c r="AK26" i="27"/>
  <c r="AJ27" i="27"/>
  <c r="AH117" i="27"/>
  <c r="AJ37" i="27"/>
  <c r="AK43" i="27"/>
  <c r="AJ44" i="27"/>
  <c r="AJ62" i="27"/>
  <c r="AI111" i="27"/>
  <c r="AJ78" i="27"/>
  <c r="AK78" i="27"/>
  <c r="T99" i="27"/>
  <c r="AI112" i="27"/>
  <c r="T89" i="27"/>
  <c r="AJ14" i="27"/>
  <c r="T40" i="27"/>
  <c r="T46" i="27"/>
  <c r="T50" i="27"/>
  <c r="AK54" i="27"/>
  <c r="T76" i="27"/>
  <c r="T96" i="27"/>
  <c r="T97" i="27"/>
  <c r="AJ86" i="27"/>
  <c r="T86" i="27"/>
  <c r="AK9" i="27"/>
  <c r="T32" i="27"/>
  <c r="T69" i="27"/>
  <c r="S71" i="27"/>
  <c r="AK92" i="27"/>
  <c r="AJ38" i="20"/>
  <c r="AJ54" i="20"/>
  <c r="AJ22" i="20"/>
  <c r="AJ32" i="20"/>
  <c r="R48" i="20"/>
  <c r="AJ48" i="20" s="1"/>
  <c r="S60" i="20"/>
  <c r="S70" i="20"/>
  <c r="S4" i="20"/>
  <c r="R20" i="20"/>
  <c r="AJ20" i="20" s="1"/>
  <c r="J14" i="20"/>
  <c r="S10" i="20"/>
  <c r="S39" i="20"/>
  <c r="S43" i="20"/>
  <c r="T91" i="20"/>
  <c r="AJ60" i="20"/>
  <c r="AJ42" i="20"/>
  <c r="I111" i="20"/>
  <c r="T23" i="20"/>
  <c r="T19" i="20"/>
  <c r="T17" i="20"/>
  <c r="AK15" i="20"/>
  <c r="AJ18" i="20"/>
  <c r="AJ16" i="20"/>
  <c r="AJ12" i="20"/>
  <c r="AK57" i="20"/>
  <c r="T53" i="20"/>
  <c r="AK43" i="20"/>
  <c r="AK41" i="20"/>
  <c r="AK39" i="20"/>
  <c r="S72" i="20"/>
  <c r="S32" i="20"/>
  <c r="S50" i="20"/>
  <c r="S56" i="20"/>
  <c r="S74" i="20"/>
  <c r="J18" i="20"/>
  <c r="S105" i="20"/>
  <c r="S55" i="20"/>
  <c r="AK91" i="20"/>
  <c r="AJ99" i="20"/>
  <c r="AJ59" i="20"/>
  <c r="AJ43" i="20"/>
  <c r="S100" i="20"/>
  <c r="AJ98" i="20"/>
  <c r="AJ94" i="20"/>
  <c r="AJ71" i="20"/>
  <c r="S67" i="20"/>
  <c r="AJ61" i="20"/>
  <c r="S62" i="20"/>
  <c r="S68" i="20"/>
  <c r="S78" i="20"/>
  <c r="S99" i="20"/>
  <c r="S29" i="20"/>
  <c r="S103" i="20"/>
  <c r="T26" i="20"/>
  <c r="T14" i="20"/>
  <c r="T6" i="20"/>
  <c r="AJ13" i="20"/>
  <c r="AJ28" i="20"/>
  <c r="J92" i="20"/>
  <c r="S92" i="20"/>
  <c r="AK25" i="20"/>
  <c r="T25" i="20"/>
  <c r="AK21" i="20"/>
  <c r="T21" i="20"/>
  <c r="J38" i="20"/>
  <c r="S38" i="20"/>
  <c r="R26" i="20"/>
  <c r="AJ26" i="20" s="1"/>
  <c r="S26" i="20"/>
  <c r="J21" i="20"/>
  <c r="S21" i="20"/>
  <c r="R34" i="20"/>
  <c r="AJ34" i="20" s="1"/>
  <c r="S34" i="20"/>
  <c r="S98" i="20"/>
  <c r="AJ40" i="20"/>
  <c r="S95" i="20"/>
  <c r="J95" i="20"/>
  <c r="AI108" i="20"/>
  <c r="I110" i="20"/>
  <c r="I108" i="20"/>
  <c r="R24" i="20"/>
  <c r="AJ24" i="20" s="1"/>
  <c r="S24" i="20"/>
  <c r="J22" i="20"/>
  <c r="S22" i="20"/>
  <c r="R3" i="20"/>
  <c r="S3" i="20"/>
  <c r="R67" i="20"/>
  <c r="AJ67" i="20" s="1"/>
  <c r="T49" i="20"/>
  <c r="T47" i="20"/>
  <c r="AK47" i="20"/>
  <c r="Q110" i="20"/>
  <c r="T45" i="20"/>
  <c r="T35" i="20"/>
  <c r="AK35" i="20"/>
  <c r="Q115" i="20"/>
  <c r="S28" i="20"/>
  <c r="S16" i="20"/>
  <c r="AK17" i="20"/>
  <c r="AK19" i="20"/>
  <c r="T93" i="20"/>
  <c r="I113" i="20"/>
  <c r="T4" i="20"/>
  <c r="I107" i="20"/>
  <c r="I115" i="20"/>
  <c r="J33" i="20"/>
  <c r="S33" i="20"/>
  <c r="AJ17" i="20"/>
  <c r="AJ11" i="20"/>
  <c r="R6" i="20"/>
  <c r="AJ6" i="20" s="1"/>
  <c r="S6" i="20"/>
  <c r="R106" i="20"/>
  <c r="AJ106" i="20" s="1"/>
  <c r="S106" i="20"/>
  <c r="S104" i="20"/>
  <c r="R104" i="20"/>
  <c r="AJ104" i="20" s="1"/>
  <c r="AJ96" i="20"/>
  <c r="AK92" i="20"/>
  <c r="T92" i="20"/>
  <c r="AK78" i="20"/>
  <c r="T78" i="20"/>
  <c r="R75" i="20"/>
  <c r="AJ75" i="20" s="1"/>
  <c r="S75" i="20"/>
  <c r="R73" i="20"/>
  <c r="AJ73" i="20" s="1"/>
  <c r="S73" i="20"/>
  <c r="AJ69" i="20"/>
  <c r="R63" i="20"/>
  <c r="AJ63" i="20" s="1"/>
  <c r="S63" i="20"/>
  <c r="Q108" i="20"/>
  <c r="AJ19" i="20"/>
  <c r="R30" i="20"/>
  <c r="AJ30" i="20" s="1"/>
  <c r="AH110" i="20"/>
  <c r="AK50" i="20"/>
  <c r="I109" i="20"/>
  <c r="Q107" i="20"/>
  <c r="T8" i="20"/>
  <c r="J46" i="20"/>
  <c r="S46" i="20"/>
  <c r="R25" i="20"/>
  <c r="AJ25" i="20" s="1"/>
  <c r="S25" i="20"/>
  <c r="R9" i="20"/>
  <c r="AJ9" i="20" s="1"/>
  <c r="S9" i="20"/>
  <c r="AJ7" i="20"/>
  <c r="AJ76" i="20"/>
  <c r="AJ66" i="20"/>
  <c r="AK53" i="20"/>
  <c r="AK49" i="20"/>
  <c r="T37" i="20"/>
  <c r="AJ50" i="20"/>
  <c r="AJ101" i="20"/>
  <c r="AJ65" i="20"/>
  <c r="AI115" i="20"/>
  <c r="T43" i="20"/>
  <c r="T12" i="20"/>
  <c r="S17" i="20"/>
  <c r="AJ56" i="20"/>
  <c r="AJ5" i="20"/>
  <c r="AH117" i="20"/>
  <c r="AI113" i="20"/>
  <c r="AK55" i="20"/>
  <c r="AK45" i="20"/>
  <c r="AI111" i="20"/>
  <c r="AJ31" i="20"/>
  <c r="T55" i="20"/>
  <c r="AJ64" i="20"/>
  <c r="AJ70" i="20"/>
  <c r="AJ84" i="25"/>
  <c r="AJ52" i="25"/>
  <c r="AK40" i="29"/>
  <c r="AI109" i="25"/>
  <c r="AH109" i="25"/>
  <c r="AI117" i="29"/>
  <c r="AI115" i="29"/>
  <c r="AH115" i="29"/>
  <c r="AH109" i="27"/>
  <c r="AH107" i="20"/>
  <c r="AJ38" i="25"/>
  <c r="AK27" i="27"/>
  <c r="AJ97" i="20"/>
  <c r="AI117" i="20"/>
  <c r="AH109" i="29"/>
  <c r="AH111" i="27"/>
  <c r="AI115" i="25"/>
  <c r="AI108" i="27"/>
  <c r="AI109" i="20"/>
  <c r="AK106" i="20"/>
  <c r="AK86" i="25"/>
  <c r="AK66" i="25"/>
  <c r="AI111" i="25"/>
  <c r="AH117" i="25"/>
  <c r="AI109" i="27"/>
  <c r="AI110" i="27"/>
  <c r="AI112" i="25"/>
  <c r="AJ95" i="29"/>
  <c r="AJ63" i="27"/>
  <c r="AJ68" i="27"/>
  <c r="AJ72" i="27"/>
  <c r="AH113" i="20"/>
  <c r="AI110" i="20"/>
  <c r="AI110" i="25"/>
  <c r="AK59" i="29"/>
  <c r="AK51" i="29"/>
  <c r="AJ63" i="29"/>
  <c r="AJ61" i="27"/>
  <c r="AK81" i="27"/>
  <c r="AK75" i="25"/>
  <c r="AJ75" i="25"/>
  <c r="AP109" i="27"/>
  <c r="AQ109" i="29"/>
  <c r="AR109" i="29"/>
  <c r="AN113" i="29"/>
  <c r="I48" i="9" s="1"/>
  <c r="AM112" i="29"/>
  <c r="H45" i="9" s="1"/>
  <c r="AO110" i="27"/>
  <c r="J8" i="9" s="1"/>
  <c r="AQ107" i="20"/>
  <c r="AN109" i="29"/>
  <c r="I43" i="9" s="1"/>
  <c r="AO111" i="27"/>
  <c r="J11" i="9" s="1"/>
  <c r="AR110" i="25"/>
  <c r="AQ113" i="27"/>
  <c r="AO109" i="20"/>
  <c r="J19" i="9" s="1"/>
  <c r="AN111" i="20"/>
  <c r="I23" i="9" s="1"/>
  <c r="AN109" i="25"/>
  <c r="I31" i="9" s="1"/>
  <c r="AM113" i="25"/>
  <c r="H36" i="9" s="1"/>
  <c r="AM113" i="27"/>
  <c r="H12" i="9" s="1"/>
  <c r="AM110" i="25"/>
  <c r="H32" i="9" s="1"/>
  <c r="AO108" i="20"/>
  <c r="J18" i="9" s="1"/>
  <c r="AO110" i="29"/>
  <c r="J44" i="9" s="1"/>
  <c r="AM111" i="27"/>
  <c r="H11" i="9" s="1"/>
  <c r="AO110" i="25"/>
  <c r="J32" i="9" s="1"/>
  <c r="AO113" i="20"/>
  <c r="J24" i="9" s="1"/>
  <c r="AN108" i="20"/>
  <c r="I18" i="9" s="1"/>
  <c r="AP113" i="20"/>
  <c r="AQ112" i="25"/>
  <c r="AR113" i="20"/>
  <c r="AN109" i="20"/>
  <c r="I19" i="9" s="1"/>
  <c r="AN112" i="29"/>
  <c r="I45" i="9" s="1"/>
  <c r="AP108" i="27"/>
  <c r="AO110" i="20"/>
  <c r="J20" i="9" s="1"/>
  <c r="AM109" i="27"/>
  <c r="H7" i="9" s="1"/>
  <c r="AR111" i="27"/>
  <c r="AO109" i="25"/>
  <c r="J31" i="9" s="1"/>
  <c r="AR108" i="20"/>
  <c r="AR110" i="29"/>
  <c r="AR111" i="25"/>
  <c r="AO112" i="27"/>
  <c r="J9" i="9" s="1"/>
  <c r="AM108" i="20"/>
  <c r="H18" i="9" s="1"/>
  <c r="AO113" i="27"/>
  <c r="J12" i="9" s="1"/>
  <c r="AP113" i="29"/>
  <c r="AP113" i="27"/>
  <c r="AM107" i="27"/>
  <c r="H5" i="9" s="1"/>
  <c r="AP112" i="25"/>
  <c r="AP111" i="27"/>
  <c r="X110" i="29"/>
  <c r="E44" i="9" s="1"/>
  <c r="Z108" i="27"/>
  <c r="V111" i="27"/>
  <c r="C11" i="9" s="1"/>
  <c r="X112" i="29"/>
  <c r="E45" i="9" s="1"/>
  <c r="Z111" i="27"/>
  <c r="AA113" i="20"/>
  <c r="AA111" i="20"/>
  <c r="AA109" i="29"/>
  <c r="AA109" i="20"/>
  <c r="AA109" i="27"/>
  <c r="W113" i="25"/>
  <c r="D36" i="9" s="1"/>
  <c r="X111" i="29"/>
  <c r="E47" i="9" s="1"/>
  <c r="W112" i="29"/>
  <c r="D45" i="9" s="1"/>
  <c r="V113" i="25"/>
  <c r="C36" i="9" s="1"/>
  <c r="W113" i="20"/>
  <c r="D24" i="9" s="1"/>
  <c r="X113" i="27"/>
  <c r="E12" i="9" s="1"/>
  <c r="AQ108" i="20"/>
  <c r="AQ109" i="20"/>
  <c r="AP111" i="29"/>
  <c r="AO112" i="25"/>
  <c r="J33" i="9" s="1"/>
  <c r="AN110" i="29"/>
  <c r="I44" i="9" s="1"/>
  <c r="AO107" i="27"/>
  <c r="J5" i="9" s="1"/>
  <c r="AQ107" i="27"/>
  <c r="AM108" i="27"/>
  <c r="H6" i="9" s="1"/>
  <c r="AR110" i="27"/>
  <c r="AR112" i="27"/>
  <c r="AQ110" i="20"/>
  <c r="AM111" i="29"/>
  <c r="H47" i="9" s="1"/>
  <c r="AO107" i="20"/>
  <c r="J17" i="9" s="1"/>
  <c r="Z113" i="25"/>
  <c r="Y109" i="29"/>
  <c r="AA110" i="25"/>
  <c r="X109" i="29"/>
  <c r="E43" i="9" s="1"/>
  <c r="W111" i="25"/>
  <c r="D35" i="9" s="1"/>
  <c r="X113" i="29"/>
  <c r="E48" i="9" s="1"/>
  <c r="Y107" i="27"/>
  <c r="W107" i="27"/>
  <c r="D5" i="9" s="1"/>
  <c r="Z110" i="25"/>
  <c r="X110" i="20"/>
  <c r="E20" i="9" s="1"/>
  <c r="Z109" i="29"/>
  <c r="AA113" i="27"/>
  <c r="Y113" i="27"/>
  <c r="AA107" i="20"/>
  <c r="X113" i="25"/>
  <c r="E36" i="9" s="1"/>
  <c r="X110" i="27"/>
  <c r="E8" i="9" s="1"/>
  <c r="AA113" i="25"/>
  <c r="V111" i="29"/>
  <c r="C47" i="9" s="1"/>
  <c r="Z110" i="27"/>
  <c r="X113" i="20"/>
  <c r="E24" i="9" s="1"/>
  <c r="AR107" i="20"/>
  <c r="AQ113" i="29"/>
  <c r="AN113" i="20"/>
  <c r="I24" i="9" s="1"/>
  <c r="AP108" i="20"/>
  <c r="AQ109" i="25"/>
  <c r="AP111" i="20"/>
  <c r="AM109" i="20"/>
  <c r="H19" i="9" s="1"/>
  <c r="AM110" i="27"/>
  <c r="H8" i="9" s="1"/>
  <c r="AO109" i="29"/>
  <c r="J43" i="9" s="1"/>
  <c r="AM111" i="25"/>
  <c r="H35" i="9" s="1"/>
  <c r="AM113" i="20"/>
  <c r="H24" i="9" s="1"/>
  <c r="AM110" i="20"/>
  <c r="H20" i="9" s="1"/>
  <c r="AP109" i="20"/>
  <c r="AQ111" i="25"/>
  <c r="Y109" i="27"/>
  <c r="W110" i="20"/>
  <c r="D20" i="9" s="1"/>
  <c r="Z113" i="27"/>
  <c r="Z109" i="25"/>
  <c r="AA107" i="27"/>
  <c r="Z112" i="25"/>
  <c r="Z112" i="27"/>
  <c r="Y109" i="25"/>
  <c r="V112" i="29"/>
  <c r="C45" i="9" s="1"/>
  <c r="V110" i="20"/>
  <c r="C20" i="9" s="1"/>
  <c r="Y110" i="25"/>
  <c r="Y110" i="29"/>
  <c r="V107" i="20"/>
  <c r="C17" i="9" s="1"/>
  <c r="V109" i="25"/>
  <c r="C31" i="9" s="1"/>
  <c r="W113" i="27"/>
  <c r="D12" i="9" s="1"/>
  <c r="V113" i="29"/>
  <c r="C48" i="9" s="1"/>
  <c r="Y112" i="25"/>
  <c r="Y108" i="20"/>
  <c r="AP107" i="20"/>
  <c r="AP109" i="29"/>
  <c r="AN111" i="27"/>
  <c r="I11" i="9" s="1"/>
  <c r="AR113" i="27"/>
  <c r="AN110" i="25"/>
  <c r="I32" i="9" s="1"/>
  <c r="AO111" i="29"/>
  <c r="J47" i="9" s="1"/>
  <c r="AM112" i="25"/>
  <c r="H33" i="9" s="1"/>
  <c r="AR108" i="27"/>
  <c r="AP107" i="27"/>
  <c r="AR111" i="29"/>
  <c r="AR109" i="20"/>
  <c r="Y111" i="29"/>
  <c r="AA112" i="29"/>
  <c r="V109" i="20"/>
  <c r="C19" i="9" s="1"/>
  <c r="X107" i="20"/>
  <c r="E17" i="9" s="1"/>
  <c r="AA110" i="20"/>
  <c r="W108" i="27"/>
  <c r="D6" i="9" s="1"/>
  <c r="AA110" i="29"/>
  <c r="X112" i="27"/>
  <c r="E9" i="9" s="1"/>
  <c r="Z113" i="29"/>
  <c r="Y112" i="29"/>
  <c r="W108" i="20"/>
  <c r="D18" i="9" s="1"/>
  <c r="Z109" i="20"/>
  <c r="Z110" i="20"/>
  <c r="X109" i="25"/>
  <c r="E31" i="9" s="1"/>
  <c r="V110" i="27"/>
  <c r="C8" i="9" s="1"/>
  <c r="Y107" i="20"/>
  <c r="AA110" i="27"/>
  <c r="V113" i="27"/>
  <c r="C12" i="9" s="1"/>
  <c r="Y108" i="27"/>
  <c r="X111" i="27"/>
  <c r="E11" i="9" s="1"/>
  <c r="AM109" i="29"/>
  <c r="H43" i="9" s="1"/>
  <c r="AM109" i="25"/>
  <c r="H31" i="9" s="1"/>
  <c r="AP110" i="25"/>
  <c r="AP110" i="27"/>
  <c r="AM111" i="20"/>
  <c r="H23" i="9" s="1"/>
  <c r="AQ113" i="25"/>
  <c r="AN107" i="20"/>
  <c r="I17" i="9" s="1"/>
  <c r="AQ113" i="20"/>
  <c r="AQ109" i="27"/>
  <c r="AR109" i="27"/>
  <c r="AO113" i="29"/>
  <c r="J48" i="9" s="1"/>
  <c r="AM110" i="29"/>
  <c r="H44" i="9" s="1"/>
  <c r="AP112" i="27"/>
  <c r="AR112" i="25"/>
  <c r="AN113" i="27"/>
  <c r="I12" i="9" s="1"/>
  <c r="AN111" i="25"/>
  <c r="I35" i="9" s="1"/>
  <c r="AR110" i="20"/>
  <c r="AQ110" i="25"/>
  <c r="AO108" i="27"/>
  <c r="J6" i="9" s="1"/>
  <c r="AN108" i="27"/>
  <c r="I6" i="9" s="1"/>
  <c r="AR107" i="27"/>
  <c r="AP110" i="29"/>
  <c r="AM113" i="29"/>
  <c r="H48" i="9" s="1"/>
  <c r="AP109" i="25"/>
  <c r="AN112" i="27"/>
  <c r="I9" i="9" s="1"/>
  <c r="V108" i="27"/>
  <c r="C6" i="9" s="1"/>
  <c r="X107" i="27"/>
  <c r="E5" i="9" s="1"/>
  <c r="V109" i="29"/>
  <c r="C43" i="9" s="1"/>
  <c r="V112" i="25"/>
  <c r="C33" i="9" s="1"/>
  <c r="AA113" i="29"/>
  <c r="Z107" i="27"/>
  <c r="AA108" i="20"/>
  <c r="X109" i="20"/>
  <c r="E19" i="9" s="1"/>
  <c r="W109" i="29"/>
  <c r="D43" i="9" s="1"/>
  <c r="X108" i="20"/>
  <c r="E18" i="9" s="1"/>
  <c r="W110" i="27"/>
  <c r="D8" i="9" s="1"/>
  <c r="Z110" i="29"/>
  <c r="Y113" i="25"/>
  <c r="V110" i="25"/>
  <c r="C32" i="9" s="1"/>
  <c r="W109" i="25"/>
  <c r="D31" i="9" s="1"/>
  <c r="V111" i="20"/>
  <c r="C23" i="9" s="1"/>
  <c r="W109" i="20"/>
  <c r="D19" i="9" s="1"/>
  <c r="AA111" i="27"/>
  <c r="AA111" i="25"/>
  <c r="Z111" i="20"/>
  <c r="W110" i="25"/>
  <c r="D32" i="9" s="1"/>
  <c r="V112" i="27"/>
  <c r="C9" i="9" s="1"/>
  <c r="W113" i="29"/>
  <c r="D48" i="9" s="1"/>
  <c r="Z108" i="20"/>
  <c r="X111" i="20"/>
  <c r="E23" i="9" s="1"/>
  <c r="V110" i="29"/>
  <c r="C44" i="9" s="1"/>
  <c r="Z111" i="29"/>
  <c r="V113" i="20"/>
  <c r="C24" i="9" s="1"/>
  <c r="Z107" i="20"/>
  <c r="Y111" i="20"/>
  <c r="Z111" i="25"/>
  <c r="W111" i="20"/>
  <c r="D23" i="9" s="1"/>
  <c r="Y110" i="20"/>
  <c r="X108" i="27"/>
  <c r="E6" i="9" s="1"/>
  <c r="Y113" i="29"/>
  <c r="AQ111" i="27"/>
  <c r="AQ111" i="20"/>
  <c r="AQ108" i="27"/>
  <c r="AP110" i="20"/>
  <c r="AQ110" i="29"/>
  <c r="AO111" i="20"/>
  <c r="J23" i="9" s="1"/>
  <c r="AQ111" i="29"/>
  <c r="AP112" i="29"/>
  <c r="AN111" i="29"/>
  <c r="I47" i="9" s="1"/>
  <c r="AO113" i="25"/>
  <c r="J36" i="9" s="1"/>
  <c r="AN110" i="27"/>
  <c r="I8" i="9" s="1"/>
  <c r="AO111" i="25"/>
  <c r="J35" i="9" s="1"/>
  <c r="AR112" i="29"/>
  <c r="AN112" i="25"/>
  <c r="I33" i="9" s="1"/>
  <c r="AQ112" i="27"/>
  <c r="AP111" i="25"/>
  <c r="AP113" i="25"/>
  <c r="AR109" i="25"/>
  <c r="AN109" i="27"/>
  <c r="I7" i="9" s="1"/>
  <c r="AR111" i="20"/>
  <c r="AM112" i="27"/>
  <c r="H9" i="9" s="1"/>
  <c r="AO112" i="29"/>
  <c r="J45" i="9" s="1"/>
  <c r="AQ110" i="27"/>
  <c r="AN113" i="25"/>
  <c r="I36" i="9" s="1"/>
  <c r="AO109" i="27"/>
  <c r="J7" i="9" s="1"/>
  <c r="AR113" i="25"/>
  <c r="AN107" i="27"/>
  <c r="I5" i="9" s="1"/>
  <c r="AN110" i="20"/>
  <c r="I20" i="9" s="1"/>
  <c r="AR113" i="29"/>
  <c r="AM107" i="20"/>
  <c r="H17" i="9" s="1"/>
  <c r="H22" i="9"/>
  <c r="AQ112" i="29"/>
  <c r="V108" i="20"/>
  <c r="C18" i="9" s="1"/>
  <c r="X109" i="27"/>
  <c r="E7" i="9" s="1"/>
  <c r="X110" i="25"/>
  <c r="E32" i="9" s="1"/>
  <c r="Y110" i="27"/>
  <c r="Y111" i="27"/>
  <c r="AA109" i="25"/>
  <c r="W107" i="20"/>
  <c r="D17" i="9" s="1"/>
  <c r="X111" i="25"/>
  <c r="E35" i="9" s="1"/>
  <c r="W110" i="29"/>
  <c r="D44" i="9" s="1"/>
  <c r="W109" i="27"/>
  <c r="D7" i="9" s="1"/>
  <c r="W111" i="29"/>
  <c r="D47" i="9" s="1"/>
  <c r="W112" i="25"/>
  <c r="D33" i="9" s="1"/>
  <c r="V109" i="27"/>
  <c r="C7" i="9" s="1"/>
  <c r="Z113" i="20"/>
  <c r="AA108" i="27"/>
  <c r="W112" i="27"/>
  <c r="D9" i="9" s="1"/>
  <c r="Z109" i="27"/>
  <c r="Y112" i="27"/>
  <c r="Y109" i="20"/>
  <c r="W111" i="27"/>
  <c r="D11" i="9" s="1"/>
  <c r="Z112" i="29"/>
  <c r="V111" i="25"/>
  <c r="C35" i="9" s="1"/>
  <c r="AA112" i="25"/>
  <c r="Y113" i="20"/>
  <c r="Y111" i="25"/>
  <c r="X112" i="25"/>
  <c r="E33" i="9" s="1"/>
  <c r="V107" i="27"/>
  <c r="C5" i="9" s="1"/>
  <c r="AA111" i="29"/>
  <c r="AA112" i="27"/>
  <c r="AH115" i="27"/>
  <c r="AK23" i="27"/>
  <c r="S47" i="20"/>
  <c r="J47" i="20"/>
  <c r="AC5" i="10"/>
  <c r="AI107" i="20"/>
  <c r="J65" i="20"/>
  <c r="J111" i="20" s="1"/>
  <c r="S65" i="20"/>
  <c r="AI117" i="25"/>
  <c r="R11" i="27"/>
  <c r="S11" i="27"/>
  <c r="R15" i="27"/>
  <c r="S15" i="27"/>
  <c r="S99" i="27"/>
  <c r="J99" i="27"/>
  <c r="AH109" i="20"/>
  <c r="AH115" i="20"/>
  <c r="AI113" i="25"/>
  <c r="R13" i="27"/>
  <c r="AJ13" i="27" s="1"/>
  <c r="S13" i="27"/>
  <c r="T6" i="27"/>
  <c r="AI115" i="27"/>
  <c r="AI117" i="27"/>
  <c r="AI107" i="27"/>
  <c r="AK24" i="27"/>
  <c r="T24" i="27"/>
  <c r="AK101" i="27"/>
  <c r="T101" i="27"/>
  <c r="R77" i="20"/>
  <c r="S77" i="20"/>
  <c r="S101" i="25"/>
  <c r="R21" i="27"/>
  <c r="AJ21" i="27" s="1"/>
  <c r="S21" i="27"/>
  <c r="R55" i="27"/>
  <c r="S55" i="27"/>
  <c r="T61" i="27"/>
  <c r="T75" i="27"/>
  <c r="R102" i="27"/>
  <c r="S102" i="27"/>
  <c r="T24" i="20"/>
  <c r="AK24" i="20"/>
  <c r="S71" i="20"/>
  <c r="S69" i="20"/>
  <c r="AK15" i="27"/>
  <c r="T15" i="27"/>
  <c r="T16" i="27"/>
  <c r="AJ45" i="27"/>
  <c r="AJ70" i="27"/>
  <c r="T72" i="27"/>
  <c r="AK84" i="27"/>
  <c r="T84" i="27"/>
  <c r="S43" i="25"/>
  <c r="J43" i="25"/>
  <c r="T9" i="27"/>
  <c r="J10" i="27"/>
  <c r="S10" i="27"/>
  <c r="AK20" i="27"/>
  <c r="T20" i="27"/>
  <c r="T43" i="27"/>
  <c r="AJ64" i="27"/>
  <c r="AJ93" i="27"/>
  <c r="J101" i="20"/>
  <c r="S101" i="20"/>
  <c r="AK63" i="20"/>
  <c r="AH111" i="20"/>
  <c r="T15" i="20"/>
  <c r="T11" i="20"/>
  <c r="AK61" i="29"/>
  <c r="T55" i="29"/>
  <c r="AK55" i="29"/>
  <c r="AK53" i="29"/>
  <c r="T53" i="29"/>
  <c r="AH113" i="29"/>
  <c r="T61" i="29"/>
  <c r="T79" i="25"/>
  <c r="AK79" i="25"/>
  <c r="T69" i="25"/>
  <c r="S93" i="29"/>
  <c r="R93" i="29"/>
  <c r="R75" i="29"/>
  <c r="S75" i="29"/>
  <c r="R81" i="25"/>
  <c r="S81" i="25"/>
  <c r="T70" i="29"/>
  <c r="S45" i="29"/>
  <c r="J45" i="29"/>
  <c r="AN4" i="10"/>
  <c r="AL4" i="10"/>
  <c r="R110" i="20" l="1"/>
  <c r="R109" i="29"/>
  <c r="J110" i="20"/>
  <c r="J114" i="20"/>
  <c r="J114" i="27"/>
  <c r="J114" i="25"/>
  <c r="J108" i="27"/>
  <c r="J112" i="27"/>
  <c r="T114" i="27"/>
  <c r="G10" i="9" s="1"/>
  <c r="S114" i="27"/>
  <c r="F10" i="9" s="1"/>
  <c r="J113" i="27"/>
  <c r="J114" i="29"/>
  <c r="R114" i="20"/>
  <c r="R114" i="25"/>
  <c r="S114" i="29"/>
  <c r="F46" i="9" s="1"/>
  <c r="AK114" i="27"/>
  <c r="L10" i="9" s="1"/>
  <c r="AK114" i="25"/>
  <c r="L34" i="9" s="1"/>
  <c r="AK114" i="29"/>
  <c r="L46" i="9" s="1"/>
  <c r="T114" i="20"/>
  <c r="G22" i="9" s="1"/>
  <c r="S114" i="20"/>
  <c r="S114" i="25"/>
  <c r="F34" i="9" s="1"/>
  <c r="T114" i="25"/>
  <c r="G34" i="9" s="1"/>
  <c r="T114" i="29"/>
  <c r="G46" i="9" s="1"/>
  <c r="AK114" i="20"/>
  <c r="L22" i="9" s="1"/>
  <c r="R114" i="29"/>
  <c r="R114" i="27"/>
  <c r="AK109" i="25"/>
  <c r="L31" i="9" s="1"/>
  <c r="AK107" i="20"/>
  <c r="L17" i="9" s="1"/>
  <c r="AJ109" i="29"/>
  <c r="K43" i="9" s="1"/>
  <c r="AK112" i="29"/>
  <c r="L45" i="9" s="1"/>
  <c r="AK111" i="29"/>
  <c r="L47" i="9" s="1"/>
  <c r="AK107" i="27"/>
  <c r="L5" i="9" s="1"/>
  <c r="AK113" i="27"/>
  <c r="L12" i="9" s="1"/>
  <c r="T113" i="25"/>
  <c r="G36" i="9" s="1"/>
  <c r="AK113" i="25"/>
  <c r="L36" i="9" s="1"/>
  <c r="AK111" i="20"/>
  <c r="L23" i="9" s="1"/>
  <c r="T111" i="20"/>
  <c r="G23" i="9" s="1"/>
  <c r="T112" i="29"/>
  <c r="G45" i="9" s="1"/>
  <c r="AJ113" i="20"/>
  <c r="K24" i="9" s="1"/>
  <c r="AK111" i="27"/>
  <c r="L11" i="9" s="1"/>
  <c r="AJ109" i="20"/>
  <c r="K19" i="9" s="1"/>
  <c r="AJ108" i="20"/>
  <c r="K18" i="9" s="1"/>
  <c r="AJ110" i="20"/>
  <c r="K20" i="9" s="1"/>
  <c r="AJ111" i="25"/>
  <c r="K35" i="9" s="1"/>
  <c r="J113" i="25"/>
  <c r="S113" i="29"/>
  <c r="F48" i="9" s="1"/>
  <c r="S107" i="20"/>
  <c r="F17" i="9" s="1"/>
  <c r="T110" i="27"/>
  <c r="G8" i="9" s="1"/>
  <c r="T111" i="29"/>
  <c r="G47" i="9" s="1"/>
  <c r="J113" i="20"/>
  <c r="J110" i="27"/>
  <c r="S112" i="27"/>
  <c r="F9" i="9" s="1"/>
  <c r="S113" i="20"/>
  <c r="F24" i="9" s="1"/>
  <c r="S110" i="27"/>
  <c r="F8" i="9" s="1"/>
  <c r="S110" i="20"/>
  <c r="F20" i="9" s="1"/>
  <c r="T113" i="20"/>
  <c r="G24" i="9" s="1"/>
  <c r="AK109" i="27"/>
  <c r="L7" i="9" s="1"/>
  <c r="AK112" i="27"/>
  <c r="L9" i="9" s="1"/>
  <c r="AK113" i="20"/>
  <c r="L24" i="9" s="1"/>
  <c r="AK109" i="29"/>
  <c r="L43" i="9" s="1"/>
  <c r="AK109" i="20"/>
  <c r="L19" i="9" s="1"/>
  <c r="S108" i="20"/>
  <c r="F18" i="9" s="1"/>
  <c r="S110" i="25"/>
  <c r="F32" i="9" s="1"/>
  <c r="Q116" i="20"/>
  <c r="J112" i="25"/>
  <c r="J111" i="25"/>
  <c r="Q116" i="25"/>
  <c r="Q116" i="29"/>
  <c r="AK113" i="29"/>
  <c r="L48" i="9" s="1"/>
  <c r="J110" i="29"/>
  <c r="AJ48" i="29"/>
  <c r="AJ110" i="29" s="1"/>
  <c r="K44" i="9" s="1"/>
  <c r="R110" i="29"/>
  <c r="J112" i="29"/>
  <c r="S111" i="29"/>
  <c r="F47" i="9" s="1"/>
  <c r="T113" i="29"/>
  <c r="G48" i="9" s="1"/>
  <c r="J113" i="29"/>
  <c r="S112" i="29"/>
  <c r="F45" i="9" s="1"/>
  <c r="AJ82" i="29"/>
  <c r="AJ112" i="29" s="1"/>
  <c r="K45" i="9" s="1"/>
  <c r="R112" i="29"/>
  <c r="T109" i="29"/>
  <c r="G43" i="9" s="1"/>
  <c r="S110" i="29"/>
  <c r="F44" i="9" s="1"/>
  <c r="S111" i="25"/>
  <c r="F35" i="9" s="1"/>
  <c r="S112" i="25"/>
  <c r="F33" i="9" s="1"/>
  <c r="T112" i="25"/>
  <c r="G33" i="9" s="1"/>
  <c r="T110" i="25"/>
  <c r="G32" i="9" s="1"/>
  <c r="R115" i="25"/>
  <c r="S113" i="25"/>
  <c r="F36" i="9" s="1"/>
  <c r="AK110" i="25"/>
  <c r="L32" i="9" s="1"/>
  <c r="R113" i="25"/>
  <c r="AJ92" i="25"/>
  <c r="AJ113" i="25" s="1"/>
  <c r="K36" i="9" s="1"/>
  <c r="R110" i="25"/>
  <c r="AJ27" i="25"/>
  <c r="R109" i="25"/>
  <c r="AJ110" i="25"/>
  <c r="K32" i="9" s="1"/>
  <c r="T109" i="25"/>
  <c r="G31" i="9" s="1"/>
  <c r="R109" i="27"/>
  <c r="S109" i="27"/>
  <c r="F7" i="9" s="1"/>
  <c r="AK110" i="27"/>
  <c r="L8" i="9" s="1"/>
  <c r="J111" i="27"/>
  <c r="S111" i="27"/>
  <c r="F11" i="9" s="1"/>
  <c r="T109" i="27"/>
  <c r="G7" i="9" s="1"/>
  <c r="T112" i="27"/>
  <c r="G9" i="9" s="1"/>
  <c r="AJ109" i="27"/>
  <c r="K7" i="9" s="1"/>
  <c r="Q116" i="27"/>
  <c r="T113" i="27"/>
  <c r="G12" i="9" s="1"/>
  <c r="AJ84" i="27"/>
  <c r="AJ112" i="27" s="1"/>
  <c r="K9" i="9" s="1"/>
  <c r="R112" i="27"/>
  <c r="T108" i="20"/>
  <c r="G18" i="9" s="1"/>
  <c r="J109" i="20"/>
  <c r="J108" i="20"/>
  <c r="R113" i="20"/>
  <c r="AK110" i="20"/>
  <c r="L20" i="9" s="1"/>
  <c r="S111" i="20"/>
  <c r="F23" i="9" s="1"/>
  <c r="S109" i="20"/>
  <c r="F19" i="9" s="1"/>
  <c r="T109" i="20"/>
  <c r="G19" i="9" s="1"/>
  <c r="T110" i="20"/>
  <c r="G20" i="9" s="1"/>
  <c r="R107" i="20"/>
  <c r="AJ3" i="20"/>
  <c r="R108" i="20"/>
  <c r="R109" i="20"/>
  <c r="AK111" i="25"/>
  <c r="L35" i="9" s="1"/>
  <c r="S109" i="29"/>
  <c r="F43" i="9" s="1"/>
  <c r="T111" i="25"/>
  <c r="G35" i="9" s="1"/>
  <c r="J107" i="27"/>
  <c r="J115" i="27"/>
  <c r="AC6" i="10"/>
  <c r="AJ75" i="29"/>
  <c r="R115" i="29"/>
  <c r="R111" i="29"/>
  <c r="AK112" i="25"/>
  <c r="L33" i="9" s="1"/>
  <c r="S113" i="27"/>
  <c r="F12" i="9" s="1"/>
  <c r="AJ11" i="27"/>
  <c r="R115" i="27"/>
  <c r="R107" i="27"/>
  <c r="S109" i="25"/>
  <c r="F31" i="9" s="1"/>
  <c r="AJ93" i="29"/>
  <c r="AJ113" i="29" s="1"/>
  <c r="K48" i="9" s="1"/>
  <c r="R113" i="29"/>
  <c r="T110" i="29"/>
  <c r="G44" i="9" s="1"/>
  <c r="AJ111" i="27"/>
  <c r="K11" i="9" s="1"/>
  <c r="J115" i="25"/>
  <c r="T111" i="27"/>
  <c r="G11" i="9" s="1"/>
  <c r="T108" i="27"/>
  <c r="G6" i="9" s="1"/>
  <c r="AJ102" i="27"/>
  <c r="AJ113" i="27" s="1"/>
  <c r="K12" i="9" s="1"/>
  <c r="R113" i="27"/>
  <c r="AJ55" i="27"/>
  <c r="AJ110" i="27" s="1"/>
  <c r="K8" i="9" s="1"/>
  <c r="R110" i="27"/>
  <c r="AJ77" i="20"/>
  <c r="AJ111" i="20" s="1"/>
  <c r="K23" i="9" s="1"/>
  <c r="R115" i="20"/>
  <c r="R111" i="20"/>
  <c r="T107" i="27"/>
  <c r="G5" i="9" s="1"/>
  <c r="S108" i="27"/>
  <c r="F6" i="9" s="1"/>
  <c r="J115" i="20"/>
  <c r="J107" i="20"/>
  <c r="J109" i="25"/>
  <c r="F22" i="9"/>
  <c r="J109" i="29"/>
  <c r="J115" i="29"/>
  <c r="AJ81" i="25"/>
  <c r="AJ112" i="25" s="1"/>
  <c r="K33" i="9" s="1"/>
  <c r="R112" i="25"/>
  <c r="AK110" i="29"/>
  <c r="L44" i="9" s="1"/>
  <c r="T107" i="20"/>
  <c r="G17" i="9" s="1"/>
  <c r="S107" i="27"/>
  <c r="F5" i="9" s="1"/>
  <c r="AK108" i="27"/>
  <c r="L6" i="9" s="1"/>
  <c r="AK108" i="20"/>
  <c r="L18" i="9" s="1"/>
  <c r="AJ15" i="27"/>
  <c r="AJ108" i="27" s="1"/>
  <c r="K6" i="9" s="1"/>
  <c r="R108" i="27"/>
  <c r="AN5" i="10"/>
  <c r="AK5" i="10"/>
  <c r="AD5" i="10"/>
  <c r="AF5" i="10"/>
  <c r="AP5" i="10"/>
  <c r="AE5" i="10"/>
  <c r="AG5" i="10"/>
  <c r="AQ5" i="10"/>
  <c r="AJ5" i="10"/>
  <c r="AI5" i="10"/>
  <c r="AL5" i="10"/>
  <c r="AO5" i="10"/>
  <c r="AJ114" i="27" l="1"/>
  <c r="K10" i="9" s="1"/>
  <c r="AJ109" i="25"/>
  <c r="K31" i="9" s="1"/>
  <c r="AJ114" i="25"/>
  <c r="K34" i="9" s="1"/>
  <c r="AJ107" i="20"/>
  <c r="K17" i="9" s="1"/>
  <c r="AJ114" i="20"/>
  <c r="K22" i="9" s="1"/>
  <c r="AJ114" i="29"/>
  <c r="K46" i="9" s="1"/>
  <c r="R116" i="25"/>
  <c r="R116" i="27"/>
  <c r="R116" i="20"/>
  <c r="AJ107" i="27"/>
  <c r="K5" i="9" s="1"/>
  <c r="R116" i="29"/>
  <c r="AJ111" i="29"/>
  <c r="K47" i="9" s="1"/>
  <c r="AG6" i="10"/>
  <c r="AN6" i="10"/>
  <c r="AF6" i="10"/>
  <c r="AQ6" i="10"/>
  <c r="AD6" i="10"/>
  <c r="AO6" i="10"/>
  <c r="AK6" i="10"/>
  <c r="AI6" i="10"/>
  <c r="AE6" i="10"/>
  <c r="AJ6" i="10"/>
  <c r="AL6" i="10"/>
  <c r="AP6" i="10"/>
  <c r="AG12" i="10" l="1"/>
  <c r="AG15" i="10" s="1"/>
  <c r="AG13" i="10"/>
  <c r="AG16" i="10" s="1"/>
  <c r="AD13" i="10"/>
  <c r="AD16" i="10" s="1"/>
  <c r="AD12" i="10"/>
  <c r="AD15" i="10" s="1"/>
  <c r="AE13" i="10"/>
  <c r="AE16" i="10" s="1"/>
  <c r="AE12" i="10"/>
  <c r="AE15" i="10" s="1"/>
  <c r="AF12" i="10"/>
  <c r="AF15" i="10" s="1"/>
  <c r="AF13" i="10"/>
  <c r="AF16" i="10" s="1"/>
</calcChain>
</file>

<file path=xl/sharedStrings.xml><?xml version="1.0" encoding="utf-8"?>
<sst xmlns="http://schemas.openxmlformats.org/spreadsheetml/2006/main" count="1742" uniqueCount="508">
  <si>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</si>
  <si>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</si>
  <si>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</si>
  <si>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</si>
  <si>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</si>
  <si>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</si>
  <si>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</si>
  <si>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</si>
  <si>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</si>
  <si>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</si>
  <si>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</si>
  <si>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</si>
  <si>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</si>
  <si>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</si>
  <si>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</si>
  <si>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</si>
  <si>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</si>
  <si>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</si>
  <si>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</si>
  <si>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</si>
  <si>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</si>
  <si>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</si>
  <si>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</si>
  <si>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</si>
  <si>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</si>
  <si>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</si>
  <si>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</si>
  <si>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</si>
  <si>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</si>
  <si>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</si>
  <si>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</si>
  <si>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</si>
  <si>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</si>
  <si>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</si>
  <si>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</si>
  <si>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</si>
  <si>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2nd-Referece:</t>
  </si>
  <si>
    <t>Reference-2</t>
  </si>
  <si>
    <t>Line 3 - Reference2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</si>
  <si>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</si>
  <si>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</si>
  <si>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</si>
  <si>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</si>
  <si>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</si>
  <si>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</si>
  <si>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</si>
  <si>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</si>
  <si>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Random Access Main 10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</si>
  <si>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</si>
  <si>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</si>
  <si>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</si>
  <si>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</si>
  <si>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</si>
  <si>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</si>
  <si>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</si>
  <si>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</si>
  <si>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</si>
  <si>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</si>
  <si>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</si>
  <si>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</si>
  <si>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</si>
  <si>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</si>
  <si>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</si>
  <si>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</si>
  <si>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</si>
  <si>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</si>
  <si>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</si>
  <si>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</si>
  <si>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>EncR</t>
  </si>
  <si>
    <t>DecR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</si>
  <si>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</si>
  <si>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</si>
  <si>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</si>
  <si>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</si>
  <si>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F (optional)</t>
  </si>
  <si>
    <t>Class A1</t>
  </si>
  <si>
    <t>Class A2</t>
  </si>
  <si>
    <t>AI-10</t>
  </si>
  <si>
    <t>RA-10</t>
  </si>
  <si>
    <t>LDB-10</t>
  </si>
  <si>
    <t>LDP-10</t>
  </si>
  <si>
    <t>Tango2.Q22.jvet10.ai</t>
  </si>
  <si>
    <t>Tango2.Q27.jvet10.ai</t>
  </si>
  <si>
    <t>Tango2.Q32.jvet10.ai</t>
  </si>
  <si>
    <t>Tango2.Q37.jvet10.ai</t>
  </si>
  <si>
    <t>CampfireParty2.Q22.jvet10.ai</t>
  </si>
  <si>
    <t>CampfireParty2.Q27.jvet10.ai</t>
  </si>
  <si>
    <t>CampfireParty2.Q32.jvet10.ai</t>
  </si>
  <si>
    <t>CampfireParty2.Q37.jvet10.ai</t>
  </si>
  <si>
    <t>DaylightRoad2.Q22.jvet10.ai</t>
  </si>
  <si>
    <t>DaylightRoad2.Q27.jvet10.ai</t>
  </si>
  <si>
    <t>DaylightRoad2.Q32.jvet10.ai</t>
  </si>
  <si>
    <t>DaylightRoad2.Q37.jvet10.ai</t>
  </si>
  <si>
    <t>Cactus.Q22.jvet10.ai</t>
  </si>
  <si>
    <t>Cactus.Q27.jvet10.ai</t>
  </si>
  <si>
    <t>Cactus.Q32.jvet10.ai</t>
  </si>
  <si>
    <t>Cactus.Q37.jvet10.ai</t>
  </si>
  <si>
    <t>BasketballDrive.Q22.jvet10.ai</t>
  </si>
  <si>
    <t>BasketballDrive.Q27.jvet10.ai</t>
  </si>
  <si>
    <t>BasketballDrive.Q32.jvet10.ai</t>
  </si>
  <si>
    <t>BasketballDrive.Q37.jvet10.ai</t>
  </si>
  <si>
    <t>BQTerrace.Q22.jvet10.ai</t>
  </si>
  <si>
    <t>BQTerrace.Q27.jvet10.ai</t>
  </si>
  <si>
    <t>BQTerrace.Q32.jvet10.ai</t>
  </si>
  <si>
    <t>BQTerrace.Q37.jvet10.ai</t>
  </si>
  <si>
    <t>BasketballDrill.Q22.jvet10.ai</t>
  </si>
  <si>
    <t>BasketballDrill.Q27.jvet10.ai</t>
  </si>
  <si>
    <t>BasketballDrill.Q32.jvet10.ai</t>
  </si>
  <si>
    <t>BasketballDrill.Q37.jvet10.ai</t>
  </si>
  <si>
    <t>BQMall.Q22.jvet10.ai</t>
  </si>
  <si>
    <t>BQMall.Q27.jvet10.ai</t>
  </si>
  <si>
    <t>BQMall.Q32.jvet10.ai</t>
  </si>
  <si>
    <t>BQMall.Q37.jvet10.ai</t>
  </si>
  <si>
    <t>PartyScene.Q22.jvet10.ai</t>
  </si>
  <si>
    <t>PartyScene.Q27.jvet10.ai</t>
  </si>
  <si>
    <t>PartyScene.Q32.jvet10.ai</t>
  </si>
  <si>
    <t>PartyScene.Q37.jvet10.ai</t>
  </si>
  <si>
    <t>RaceHorsesC.Q22.jvet10.ai</t>
  </si>
  <si>
    <t>RaceHorsesC.Q27.jvet10.ai</t>
  </si>
  <si>
    <t>RaceHorsesC.Q32.jvet10.ai</t>
  </si>
  <si>
    <t>RaceHorsesC.Q37.jvet10.ai</t>
  </si>
  <si>
    <t>BasketballPass.Q22.jvet10.ai</t>
  </si>
  <si>
    <t>BasketballPass.Q27.jvet10.ai</t>
  </si>
  <si>
    <t>BasketballPass.Q32.jvet10.ai</t>
  </si>
  <si>
    <t>BasketballPass.Q37.jvet10.ai</t>
  </si>
  <si>
    <t>BQSquare.Q22.jvet10.ai</t>
  </si>
  <si>
    <t>BQSquare.Q27.jvet10.ai</t>
  </si>
  <si>
    <t>BQSquare.Q32.jvet10.ai</t>
  </si>
  <si>
    <t>BQSquare.Q37.jvet10.ai</t>
  </si>
  <si>
    <t>BlowingBubbles.Q22.jvet10.ai</t>
  </si>
  <si>
    <t>BlowingBubbles.Q27.jvet10.ai</t>
  </si>
  <si>
    <t>BlowingBubbles.Q32.jvet10.ai</t>
  </si>
  <si>
    <t>BlowingBubbles.Q37.jvet10.ai</t>
  </si>
  <si>
    <t>RaceHorses.Q22.jvet10.ai</t>
  </si>
  <si>
    <t>RaceHorses.Q27.jvet10.ai</t>
  </si>
  <si>
    <t>RaceHorses.Q32.jvet10.ai</t>
  </si>
  <si>
    <t>RaceHorses.Q37.jvet10.ai</t>
  </si>
  <si>
    <t>FourPeople.Q22.jvet10.ai</t>
  </si>
  <si>
    <t>FourPeople.Q27.jvet10.ai</t>
  </si>
  <si>
    <t>FourPeople.Q32.jvet10.ai</t>
  </si>
  <si>
    <t>FourPeople.Q37.jvet10.ai</t>
  </si>
  <si>
    <t>Johnny.Q22.jvet10.ai</t>
  </si>
  <si>
    <t>Johnny.Q27.jvet10.ai</t>
  </si>
  <si>
    <t>Johnny.Q32.jvet10.ai</t>
  </si>
  <si>
    <t>Johnny.Q37.jvet10.ai</t>
  </si>
  <si>
    <t>KristenAndSara.Q22.jvet10.ai</t>
  </si>
  <si>
    <t>KristenAndSara.Q27.jvet10.ai</t>
  </si>
  <si>
    <t>KristenAndSara.Q32.jvet10.ai</t>
  </si>
  <si>
    <t>KristenAndSara.Q37.jvet10.ai</t>
  </si>
  <si>
    <t>BasketballDrillText.Q22.jvet10.ai</t>
  </si>
  <si>
    <t>BasketballDrillText.Q27.jvet10.ai</t>
  </si>
  <si>
    <t>BasketballDrillText.Q32.jvet10.ai</t>
  </si>
  <si>
    <t>BasketballDrillText.Q37.jvet10.ai</t>
  </si>
  <si>
    <t>ChinaSpeed.Q22.jvet10.ai</t>
  </si>
  <si>
    <t>ChinaSpeed.Q27.jvet10.ai</t>
  </si>
  <si>
    <t>ChinaSpeed.Q32.jvet10.ai</t>
  </si>
  <si>
    <t>ChinaSpeed.Q37.jvet10.ai</t>
  </si>
  <si>
    <t>SlideEditing.Q22.jvet10.ai</t>
  </si>
  <si>
    <t>SlideEditing.Q27.jvet10.ai</t>
  </si>
  <si>
    <t>SlideEditing.Q32.jvet10.ai</t>
  </si>
  <si>
    <t>SlideEditing.Q37.jvet10.ai</t>
  </si>
  <si>
    <t>SlideShow.Q22.jvet10.ai</t>
  </si>
  <si>
    <t>SlideShow.Q27.jvet10.ai</t>
  </si>
  <si>
    <t>SlideShow.Q32.jvet10.ai</t>
  </si>
  <si>
    <t>SlideShow.Q37.jvet10.ai</t>
  </si>
  <si>
    <t>Tango2.Q22.jvet10.ra</t>
  </si>
  <si>
    <t>Tango2.Q27.jvet10.ra</t>
  </si>
  <si>
    <t>Tango2.Q32.jvet10.ra</t>
  </si>
  <si>
    <t>Tango2.Q37.jvet10.ra</t>
  </si>
  <si>
    <t>CampfireParty2.Q22.jvet10.ra</t>
  </si>
  <si>
    <t>CampfireParty2.Q27.jvet10.ra</t>
  </si>
  <si>
    <t>CampfireParty2.Q32.jvet10.ra</t>
  </si>
  <si>
    <t>CampfireParty2.Q37.jvet10.ra</t>
  </si>
  <si>
    <t>DaylightRoad2.Q22.jvet10.ra</t>
  </si>
  <si>
    <t>DaylightRoad2.Q27.jvet10.ra</t>
  </si>
  <si>
    <t>DaylightRoad2.Q32.jvet10.ra</t>
  </si>
  <si>
    <t>DaylightRoad2.Q37.jvet10.ra</t>
  </si>
  <si>
    <t>Cactus.Q22.jvet10.ra</t>
  </si>
  <si>
    <t>Cactus.Q27.jvet10.ra</t>
  </si>
  <si>
    <t>Cactus.Q32.jvet10.ra</t>
  </si>
  <si>
    <t>Cactus.Q37.jvet10.ra</t>
  </si>
  <si>
    <t>BasketballDrive.Q22.jvet10.ra</t>
  </si>
  <si>
    <t>BasketballDrive.Q27.jvet10.ra</t>
  </si>
  <si>
    <t>BasketballDrive.Q32.jvet10.ra</t>
  </si>
  <si>
    <t>BasketballDrive.Q37.jvet10.ra</t>
  </si>
  <si>
    <t>BQTerrace.Q22.jvet10.ra</t>
  </si>
  <si>
    <t>BQTerrace.Q27.jvet10.ra</t>
  </si>
  <si>
    <t>BQTerrace.Q32.jvet10.ra</t>
  </si>
  <si>
    <t>BQTerrace.Q37.jvet10.ra</t>
  </si>
  <si>
    <t>BasketballDrill.Q22.jvet10.ra</t>
  </si>
  <si>
    <t>BasketballDrill.Q27.jvet10.ra</t>
  </si>
  <si>
    <t>BasketballDrill.Q32.jvet10.ra</t>
  </si>
  <si>
    <t>BasketballDrill.Q37.jvet10.ra</t>
  </si>
  <si>
    <t>BQMall.Q22.jvet10.ra</t>
  </si>
  <si>
    <t>BQMall.Q27.jvet10.ra</t>
  </si>
  <si>
    <t>BQMall.Q32.jvet10.ra</t>
  </si>
  <si>
    <t>BQMall.Q37.jvet10.ra</t>
  </si>
  <si>
    <t>PartyScene.Q22.jvet10.ra</t>
  </si>
  <si>
    <t>PartyScene.Q27.jvet10.ra</t>
  </si>
  <si>
    <t>PartyScene.Q32.jvet10.ra</t>
  </si>
  <si>
    <t>PartyScene.Q37.jvet10.ra</t>
  </si>
  <si>
    <t>RaceHorsesC.Q22.jvet10.ra</t>
  </si>
  <si>
    <t>RaceHorsesC.Q27.jvet10.ra</t>
  </si>
  <si>
    <t>RaceHorsesC.Q32.jvet10.ra</t>
  </si>
  <si>
    <t>RaceHorsesC.Q37.jvet10.ra</t>
  </si>
  <si>
    <t>BasketballPass.Q22.jvet10.ra</t>
  </si>
  <si>
    <t>BasketballPass.Q27.jvet10.ra</t>
  </si>
  <si>
    <t>BasketballPass.Q32.jvet10.ra</t>
  </si>
  <si>
    <t>BasketballPass.Q37.jvet10.ra</t>
  </si>
  <si>
    <t>BQSquare.Q22.jvet10.ra</t>
  </si>
  <si>
    <t>BQSquare.Q27.jvet10.ra</t>
  </si>
  <si>
    <t>BQSquare.Q32.jvet10.ra</t>
  </si>
  <si>
    <t>BQSquare.Q37.jvet10.ra</t>
  </si>
  <si>
    <t>BlowingBubbles.Q22.jvet10.ra</t>
  </si>
  <si>
    <t>BlowingBubbles.Q27.jvet10.ra</t>
  </si>
  <si>
    <t>BlowingBubbles.Q32.jvet10.ra</t>
  </si>
  <si>
    <t>BlowingBubbles.Q37.jvet10.ra</t>
  </si>
  <si>
    <t>RaceHorses.Q22.jvet10.ra</t>
  </si>
  <si>
    <t>RaceHorses.Q27.jvet10.ra</t>
  </si>
  <si>
    <t>RaceHorses.Q32.jvet10.ra</t>
  </si>
  <si>
    <t>RaceHorses.Q37.jvet10.ra</t>
  </si>
  <si>
    <t>FourPeople.Q22.jvet10.ra</t>
  </si>
  <si>
    <t>FourPeople.Q27.jvet10.ra</t>
  </si>
  <si>
    <t>FourPeople.Q32.jvet10.ra</t>
  </si>
  <si>
    <t>FourPeople.Q37.jvet10.ra</t>
  </si>
  <si>
    <t>Johnny.Q22.jvet10.ra</t>
  </si>
  <si>
    <t>Johnny.Q27.jvet10.ra</t>
  </si>
  <si>
    <t>Johnny.Q32.jvet10.ra</t>
  </si>
  <si>
    <t>Johnny.Q37.jvet10.ra</t>
  </si>
  <si>
    <t>KristenAndSara.Q22.jvet10.ra</t>
  </si>
  <si>
    <t>KristenAndSara.Q27.jvet10.ra</t>
  </si>
  <si>
    <t>KristenAndSara.Q32.jvet10.ra</t>
  </si>
  <si>
    <t>KristenAndSara.Q37.jvet10.ra</t>
  </si>
  <si>
    <t>BasketballDrillText.Q22.jvet10.ra</t>
  </si>
  <si>
    <t>BasketballDrillText.Q27.jvet10.ra</t>
  </si>
  <si>
    <t>BasketballDrillText.Q32.jvet10.ra</t>
  </si>
  <si>
    <t>BasketballDrillText.Q37.jvet10.ra</t>
  </si>
  <si>
    <t>ChinaSpeed.Q22.jvet10.ra</t>
  </si>
  <si>
    <t>ChinaSpeed.Q27.jvet10.ra</t>
  </si>
  <si>
    <t>ChinaSpeed.Q32.jvet10.ra</t>
  </si>
  <si>
    <t>ChinaSpeed.Q37.jvet10.ra</t>
  </si>
  <si>
    <t>SlideEditing.Q22.jvet10.ra</t>
  </si>
  <si>
    <t>SlideEditing.Q27.jvet10.ra</t>
  </si>
  <si>
    <t>SlideEditing.Q32.jvet10.ra</t>
  </si>
  <si>
    <t>SlideEditing.Q37.jvet10.ra</t>
  </si>
  <si>
    <t>SlideShow.Q22.jvet10.ra</t>
  </si>
  <si>
    <t>SlideShow.Q27.jvet10.ra</t>
  </si>
  <si>
    <t>SlideShow.Q32.jvet10.ra</t>
  </si>
  <si>
    <t>SlideShow.Q37.jvet10.ra</t>
  </si>
  <si>
    <t>Tango2.Q22.jvet10.lb</t>
  </si>
  <si>
    <t>Tango2.Q27.jvet10.lb</t>
  </si>
  <si>
    <t>Tango2.Q32.jvet10.lb</t>
  </si>
  <si>
    <t>Tango2.Q37.jvet10.lb</t>
  </si>
  <si>
    <t>CampfireParty2.Q22.jvet10.lb</t>
  </si>
  <si>
    <t>CampfireParty2.Q27.jvet10.lb</t>
  </si>
  <si>
    <t>CampfireParty2.Q32.jvet10.lb</t>
  </si>
  <si>
    <t>CampfireParty2.Q37.jvet10.lb</t>
  </si>
  <si>
    <t>DaylightRoad2.Q22.jvet10.lb</t>
  </si>
  <si>
    <t>DaylightRoad2.Q27.jvet10.lb</t>
  </si>
  <si>
    <t>DaylightRoad2.Q32.jvet10.lb</t>
  </si>
  <si>
    <t>DaylightRoad2.Q37.jvet10.lb</t>
  </si>
  <si>
    <t>Cactus.Q22.jvet10.lb</t>
  </si>
  <si>
    <t>Cactus.Q27.jvet10.lb</t>
  </si>
  <si>
    <t>Cactus.Q32.jvet10.lb</t>
  </si>
  <si>
    <t>Cactus.Q37.jvet10.lb</t>
  </si>
  <si>
    <t>BasketballDrive.Q22.jvet10.lb</t>
  </si>
  <si>
    <t>BasketballDrive.Q27.jvet10.lb</t>
  </si>
  <si>
    <t>BasketballDrive.Q32.jvet10.lb</t>
  </si>
  <si>
    <t>BasketballDrive.Q37.jvet10.lb</t>
  </si>
  <si>
    <t>BQTerrace.Q22.jvet10.lb</t>
  </si>
  <si>
    <t>BQTerrace.Q27.jvet10.lb</t>
  </si>
  <si>
    <t>BQTerrace.Q32.jvet10.lb</t>
  </si>
  <si>
    <t>BQTerrace.Q37.jvet10.lb</t>
  </si>
  <si>
    <t>BasketballDrill.Q22.jvet10.lb</t>
  </si>
  <si>
    <t>BasketballDrill.Q27.jvet10.lb</t>
  </si>
  <si>
    <t>BasketballDrill.Q32.jvet10.lb</t>
  </si>
  <si>
    <t>BasketballDrill.Q37.jvet10.lb</t>
  </si>
  <si>
    <t>BQMall.Q22.jvet10.lb</t>
  </si>
  <si>
    <t>BQMall.Q27.jvet10.lb</t>
  </si>
  <si>
    <t>BQMall.Q32.jvet10.lb</t>
  </si>
  <si>
    <t>BQMall.Q37.jvet10.lb</t>
  </si>
  <si>
    <t>PartyScene.Q22.jvet10.lb</t>
  </si>
  <si>
    <t>PartyScene.Q27.jvet10.lb</t>
  </si>
  <si>
    <t>PartyScene.Q32.jvet10.lb</t>
  </si>
  <si>
    <t>PartyScene.Q37.jvet10.lb</t>
  </si>
  <si>
    <t>RaceHorsesC.Q22.jvet10.lb</t>
  </si>
  <si>
    <t>RaceHorsesC.Q27.jvet10.lb</t>
  </si>
  <si>
    <t>RaceHorsesC.Q32.jvet10.lb</t>
  </si>
  <si>
    <t>RaceHorsesC.Q37.jvet10.lb</t>
  </si>
  <si>
    <t>BasketballPass.Q22.jvet10.lb</t>
  </si>
  <si>
    <t>BasketballPass.Q27.jvet10.lb</t>
  </si>
  <si>
    <t>BasketballPass.Q32.jvet10.lb</t>
  </si>
  <si>
    <t>BasketballPass.Q37.jvet10.lb</t>
  </si>
  <si>
    <t>BQSquare.Q22.jvet10.lb</t>
  </si>
  <si>
    <t>BQSquare.Q27.jvet10.lb</t>
  </si>
  <si>
    <t>BQSquare.Q32.jvet10.lb</t>
  </si>
  <si>
    <t>BQSquare.Q37.jvet10.lb</t>
  </si>
  <si>
    <t>BlowingBubbles.Q22.jvet10.lb</t>
  </si>
  <si>
    <t>BlowingBubbles.Q27.jvet10.lb</t>
  </si>
  <si>
    <t>BlowingBubbles.Q32.jvet10.lb</t>
  </si>
  <si>
    <t>BlowingBubbles.Q37.jvet10.lb</t>
  </si>
  <si>
    <t>RaceHorses.Q22.jvet10.lb</t>
  </si>
  <si>
    <t>RaceHorses.Q27.jvet10.lb</t>
  </si>
  <si>
    <t>RaceHorses.Q32.jvet10.lb</t>
  </si>
  <si>
    <t>RaceHorses.Q37.jvet10.lb</t>
  </si>
  <si>
    <t>FourPeople.Q22.jvet10.lb</t>
  </si>
  <si>
    <t>FourPeople.Q27.jvet10.lb</t>
  </si>
  <si>
    <t>FourPeople.Q32.jvet10.lb</t>
  </si>
  <si>
    <t>FourPeople.Q37.jvet10.lb</t>
  </si>
  <si>
    <t>Johnny.Q22.jvet10.lb</t>
  </si>
  <si>
    <t>Johnny.Q27.jvet10.lb</t>
  </si>
  <si>
    <t>Johnny.Q32.jvet10.lb</t>
  </si>
  <si>
    <t>Johnny.Q37.jvet10.lb</t>
  </si>
  <si>
    <t>KristenAndSara.Q22.jvet10.lb</t>
  </si>
  <si>
    <t>KristenAndSara.Q27.jvet10.lb</t>
  </si>
  <si>
    <t>KristenAndSara.Q32.jvet10.lb</t>
  </si>
  <si>
    <t>KristenAndSara.Q37.jvet10.lb</t>
  </si>
  <si>
    <t>BasketballDrillText.Q22.jvet10.lb</t>
  </si>
  <si>
    <t>BasketballDrillText.Q27.jvet10.lb</t>
  </si>
  <si>
    <t>BasketballDrillText.Q32.jvet10.lb</t>
  </si>
  <si>
    <t>BasketballDrillText.Q37.jvet10.lb</t>
  </si>
  <si>
    <t>ChinaSpeed.Q22.jvet10.lb</t>
  </si>
  <si>
    <t>ChinaSpeed.Q27.jvet10.lb</t>
  </si>
  <si>
    <t>ChinaSpeed.Q32.jvet10.lb</t>
  </si>
  <si>
    <t>ChinaSpeed.Q37.jvet10.lb</t>
  </si>
  <si>
    <t>SlideEditing.Q22.jvet10.lb</t>
  </si>
  <si>
    <t>SlideEditing.Q27.jvet10.lb</t>
  </si>
  <si>
    <t>SlideEditing.Q32.jvet10.lb</t>
  </si>
  <si>
    <t>SlideEditing.Q37.jvet10.lb</t>
  </si>
  <si>
    <t>SlideShow.Q22.jvet10.lb</t>
  </si>
  <si>
    <t>SlideShow.Q27.jvet10.lb</t>
  </si>
  <si>
    <t>SlideShow.Q32.jvet10.lb</t>
  </si>
  <si>
    <t>SlideShow.Q37.jvet10.lb</t>
  </si>
  <si>
    <t>Tango2.Q22.jvet10.lp</t>
  </si>
  <si>
    <t>Tango2.Q27.jvet10.lp</t>
  </si>
  <si>
    <t>Tango2.Q32.jvet10.lp</t>
  </si>
  <si>
    <t>Tango2.Q37.jvet10.lp</t>
  </si>
  <si>
    <t>CampfireParty2.Q22.jvet10.lp</t>
  </si>
  <si>
    <t>CampfireParty2.Q27.jvet10.lp</t>
  </si>
  <si>
    <t>CampfireParty2.Q32.jvet10.lp</t>
  </si>
  <si>
    <t>CampfireParty2.Q37.jvet10.lp</t>
  </si>
  <si>
    <t>DaylightRoad2.Q22.jvet10.lp</t>
  </si>
  <si>
    <t>DaylightRoad2.Q27.jvet10.lp</t>
  </si>
  <si>
    <t>DaylightRoad2.Q32.jvet10.lp</t>
  </si>
  <si>
    <t>DaylightRoad2.Q37.jvet10.lp</t>
  </si>
  <si>
    <t>Cactus.Q22.jvet10.lp</t>
  </si>
  <si>
    <t>Cactus.Q27.jvet10.lp</t>
  </si>
  <si>
    <t>Cactus.Q32.jvet10.lp</t>
  </si>
  <si>
    <t>Cactus.Q37.jvet10.lp</t>
  </si>
  <si>
    <t>BasketballDrive.Q22.jvet10.lp</t>
  </si>
  <si>
    <t>BasketballDrive.Q27.jvet10.lp</t>
  </si>
  <si>
    <t>BasketballDrive.Q32.jvet10.lp</t>
  </si>
  <si>
    <t>BasketballDrive.Q37.jvet10.lp</t>
  </si>
  <si>
    <t>BQTerrace.Q22.jvet10.lp</t>
  </si>
  <si>
    <t>BQTerrace.Q27.jvet10.lp</t>
  </si>
  <si>
    <t>BQTerrace.Q32.jvet10.lp</t>
  </si>
  <si>
    <t>BQTerrace.Q37.jvet10.lp</t>
  </si>
  <si>
    <t>BasketballDrill.Q22.jvet10.lp</t>
  </si>
  <si>
    <t>BasketballDrill.Q27.jvet10.lp</t>
  </si>
  <si>
    <t>BasketballDrill.Q32.jvet10.lp</t>
  </si>
  <si>
    <t>BasketballDrill.Q37.jvet10.lp</t>
  </si>
  <si>
    <t>BQMall.Q22.jvet10.lp</t>
  </si>
  <si>
    <t>BQMall.Q27.jvet10.lp</t>
  </si>
  <si>
    <t>BQMall.Q32.jvet10.lp</t>
  </si>
  <si>
    <t>BQMall.Q37.jvet10.lp</t>
  </si>
  <si>
    <t>PartyScene.Q22.jvet10.lp</t>
  </si>
  <si>
    <t>PartyScene.Q27.jvet10.lp</t>
  </si>
  <si>
    <t>PartyScene.Q32.jvet10.lp</t>
  </si>
  <si>
    <t>PartyScene.Q37.jvet10.lp</t>
  </si>
  <si>
    <t>RaceHorsesC.Q22.jvet10.lp</t>
  </si>
  <si>
    <t>RaceHorsesC.Q27.jvet10.lp</t>
  </si>
  <si>
    <t>RaceHorsesC.Q32.jvet10.lp</t>
  </si>
  <si>
    <t>RaceHorsesC.Q37.jvet10.lp</t>
  </si>
  <si>
    <t>BasketballPass.Q22.jvet10.lp</t>
  </si>
  <si>
    <t>BasketballPass.Q27.jvet10.lp</t>
  </si>
  <si>
    <t>BasketballPass.Q32.jvet10.lp</t>
  </si>
  <si>
    <t>BasketballPass.Q37.jvet10.lp</t>
  </si>
  <si>
    <t>BQSquare.Q22.jvet10.lp</t>
  </si>
  <si>
    <t>BQSquare.Q27.jvet10.lp</t>
  </si>
  <si>
    <t>BQSquare.Q32.jvet10.lp</t>
  </si>
  <si>
    <t>BQSquare.Q37.jvet10.lp</t>
  </si>
  <si>
    <t>BlowingBubbles.Q22.jvet10.lp</t>
  </si>
  <si>
    <t>BlowingBubbles.Q27.jvet10.lp</t>
  </si>
  <si>
    <t>BlowingBubbles.Q32.jvet10.lp</t>
  </si>
  <si>
    <t>BlowingBubbles.Q37.jvet10.lp</t>
  </si>
  <si>
    <t>RaceHorses.Q22.jvet10.lp</t>
  </si>
  <si>
    <t>RaceHorses.Q27.jvet10.lp</t>
  </si>
  <si>
    <t>RaceHorses.Q32.jvet10.lp</t>
  </si>
  <si>
    <t>RaceHorses.Q37.jvet10.lp</t>
  </si>
  <si>
    <t>FourPeople.Q22.jvet10.lp</t>
  </si>
  <si>
    <t>FourPeople.Q27.jvet10.lp</t>
  </si>
  <si>
    <t>FourPeople.Q32.jvet10.lp</t>
  </si>
  <si>
    <t>FourPeople.Q37.jvet10.lp</t>
  </si>
  <si>
    <t>Johnny.Q22.jvet10.lp</t>
  </si>
  <si>
    <t>Johnny.Q27.jvet10.lp</t>
  </si>
  <si>
    <t>Johnny.Q32.jvet10.lp</t>
  </si>
  <si>
    <t>Johnny.Q37.jvet10.lp</t>
  </si>
  <si>
    <t>KristenAndSara.Q22.jvet10.lp</t>
  </si>
  <si>
    <t>KristenAndSara.Q27.jvet10.lp</t>
  </si>
  <si>
    <t>KristenAndSara.Q32.jvet10.lp</t>
  </si>
  <si>
    <t>KristenAndSara.Q37.jvet10.lp</t>
  </si>
  <si>
    <t>BasketballDrillText.Q22.jvet10.lp</t>
  </si>
  <si>
    <t>BasketballDrillText.Q27.jvet10.lp</t>
  </si>
  <si>
    <t>BasketballDrillText.Q32.jvet10.lp</t>
  </si>
  <si>
    <t>BasketballDrillText.Q37.jvet10.lp</t>
  </si>
  <si>
    <t>ChinaSpeed.Q22.jvet10.lp</t>
  </si>
  <si>
    <t>ChinaSpeed.Q27.jvet10.lp</t>
  </si>
  <si>
    <t>ChinaSpeed.Q32.jvet10.lp</t>
  </si>
  <si>
    <t>ChinaSpeed.Q37.jvet10.lp</t>
  </si>
  <si>
    <t>SlideEditing.Q22.jvet10.lp</t>
  </si>
  <si>
    <t>SlideEditing.Q27.jvet10.lp</t>
  </si>
  <si>
    <t>SlideEditing.Q32.jvet10.lp</t>
  </si>
  <si>
    <t>SlideEditing.Q37.jvet10.lp</t>
  </si>
  <si>
    <t>SlideShow.Q22.jvet10.lp</t>
  </si>
  <si>
    <t>SlideShow.Q27.jvet10.lp</t>
  </si>
  <si>
    <t>SlideShow.Q32.jvet10.lp</t>
  </si>
  <si>
    <t>SlideShow.Q37.jvet10.lp</t>
  </si>
  <si>
    <t>BMS-1.0</t>
  </si>
  <si>
    <t>Test</t>
  </si>
  <si>
    <t>Overall</t>
  </si>
  <si>
    <t>Tango2</t>
  </si>
  <si>
    <t>FoodMarket4</t>
  </si>
  <si>
    <t>CampfireParty2</t>
  </si>
  <si>
    <t>CatRobot1</t>
  </si>
  <si>
    <t>DaylightRoad2</t>
  </si>
  <si>
    <t>ParkRunning3</t>
  </si>
  <si>
    <t>RitualDance</t>
  </si>
  <si>
    <t>MarketPlace</t>
  </si>
  <si>
    <t>FoodMarket4.Q22.jvet10.ai</t>
  </si>
  <si>
    <t>FoodMarket4.Q27.jvet10.ai</t>
  </si>
  <si>
    <t>FoodMarket4.Q32.jvet10.ai</t>
  </si>
  <si>
    <t>FoodMarket4.Q37.jvet10.ai</t>
  </si>
  <si>
    <t>CatRobot1.Q22.jvet10.ai</t>
  </si>
  <si>
    <t>CatRobot1.Q27.jvet10.ai</t>
  </si>
  <si>
    <t>CatRobot1.Q32.jvet10.ai</t>
  </si>
  <si>
    <t>CatRobot1.Q37.jvet10.ai</t>
  </si>
  <si>
    <t>ParkRunning3.Q22.jvet10.ai</t>
  </si>
  <si>
    <t>ParkRunning3.Q27.jvet10.ai</t>
  </si>
  <si>
    <t>ParkRunning3.Q32.jvet10.ai</t>
  </si>
  <si>
    <t>ParkRunning3.Q37.jvet10.ai</t>
  </si>
  <si>
    <t>MarketPlace.Q22.jvet10.ai</t>
  </si>
  <si>
    <t>MarketPlace.Q27.jvet10.ai</t>
  </si>
  <si>
    <t>MarketPlace.Q32.jvet10.ai</t>
  </si>
  <si>
    <t>MarketPlace.Q37.jvet10.ai</t>
  </si>
  <si>
    <t>RitualDance.Q22.jvet10.ai</t>
  </si>
  <si>
    <t>RitualDance.Q27.jvet10.ai</t>
  </si>
  <si>
    <t>RitualDance.Q32.jvet10.ai</t>
  </si>
  <si>
    <t>RitualDance.Q37.jvet10.ai</t>
  </si>
  <si>
    <t>FoodMarket4.Q22.jvet10.lb</t>
  </si>
  <si>
    <t>FoodMarket4.Q27.jvet10.lb</t>
  </si>
  <si>
    <t>FoodMarket4.Q32.jvet10.lb</t>
  </si>
  <si>
    <t>FoodMarket4.Q37.jvet10.lb</t>
  </si>
  <si>
    <t>CatRobot1.Q22.jvet10.ra</t>
  </si>
  <si>
    <t>CatRobot1.Q27.jvet10.ra</t>
  </si>
  <si>
    <t>CatRobot1.Q32.jvet10.ra</t>
  </si>
  <si>
    <t>CatRobot1.Q37.jvet10.ra</t>
  </si>
  <si>
    <t>ParkRunning3.Q22.jvet10.ra</t>
  </si>
  <si>
    <t>ParkRunning3.Q27.jvet10.ra</t>
  </si>
  <si>
    <t>ParkRunning3.Q32.jvet10.ra</t>
  </si>
  <si>
    <t>ParkRunning3.Q37.jvet10.ra</t>
  </si>
  <si>
    <t>FoodMarket4.Q22.jvet10.ra</t>
  </si>
  <si>
    <t>FoodMarket4.Q27.jvet10.ra</t>
  </si>
  <si>
    <t>FoodMarket4.Q32.jvet10.ra</t>
  </si>
  <si>
    <t>FoodMarket4.Q37.jvet10.ra</t>
  </si>
  <si>
    <t>MarketPlace.Q22.jvet10.ra</t>
  </si>
  <si>
    <t>MarketPlace.Q27.jvet10.ra</t>
  </si>
  <si>
    <t>MarketPlace.Q32.jvet10.ra</t>
  </si>
  <si>
    <t>MarketPlace.Q37.jvet10.ra</t>
  </si>
  <si>
    <t>MarketPlace.Q22.jvet10.lb</t>
  </si>
  <si>
    <t>MarketPlace.Q27.jvet10.lb</t>
  </si>
  <si>
    <t>MarketPlace.Q32.jvet10.lb</t>
  </si>
  <si>
    <t>MarketPlace.Q37.jvet10.lb</t>
  </si>
  <si>
    <t>MarketPlace.Q22.jvet10.lp</t>
  </si>
  <si>
    <t>MarketPlace.Q27.jvet10.lp</t>
  </si>
  <si>
    <t>MarketPlace.Q32.jvet10.lp</t>
  </si>
  <si>
    <t>MarketPlace.Q37.jvet10.lp</t>
  </si>
  <si>
    <t>CatRobot1.Q22.jvet10.lb</t>
  </si>
  <si>
    <t>CatRobot1.Q27.jvet10.lb</t>
  </si>
  <si>
    <t>CatRobot1.Q32.jvet10.lb</t>
  </si>
  <si>
    <t>CatRobot1.Q37.jvet10.lb</t>
  </si>
  <si>
    <t>ParkRunning3.Q22.jvet10.lb</t>
  </si>
  <si>
    <t>ParkRunning3.Q27.jvet10.lb</t>
  </si>
  <si>
    <t>ParkRunning3.Q32.jvet10.lb</t>
  </si>
  <si>
    <t>ParkRunning3.Q37.jvet10.lb</t>
  </si>
  <si>
    <t>RitualDance.Q22.jvet10.ra</t>
  </si>
  <si>
    <t>RitualDance.Q27.jvet10.ra</t>
  </si>
  <si>
    <t>RitualDance.Q32.jvet10.ra</t>
  </si>
  <si>
    <t>RitualDance.Q37.jvet10.ra</t>
  </si>
  <si>
    <t>RitualDance.Q22.jvet10.lb</t>
  </si>
  <si>
    <t>RitualDance.Q27.jvet10.lb</t>
  </si>
  <si>
    <t>RitualDance.Q32.jvet10.lb</t>
  </si>
  <si>
    <t>RitualDance.Q37.jvet10.lb</t>
  </si>
  <si>
    <t>RitualDance.Q22.jvet10.lp</t>
  </si>
  <si>
    <t>RitualDance.Q27.jvet10.lp</t>
  </si>
  <si>
    <t>RitualDance.Q32.jvet10.lp</t>
  </si>
  <si>
    <t>RitualDance.Q37.jvet10.lp</t>
  </si>
  <si>
    <t>FoodMarket4.Q22.jvet10.lp</t>
  </si>
  <si>
    <t>FoodMarket4.Q27.jvet10.lp</t>
  </si>
  <si>
    <t>FoodMarket4.Q32.jvet10.lp</t>
  </si>
  <si>
    <t>FoodMarket4.Q37.jvet10.lp</t>
  </si>
  <si>
    <t>CatRobot1.Q22.jvet10.lp</t>
  </si>
  <si>
    <t>CatRobot1.Q27.jvet10.lp</t>
  </si>
  <si>
    <t>CatRobot1.Q32.jvet10.lp</t>
  </si>
  <si>
    <t>CatRobot1.Q37.jvet10.lp</t>
  </si>
  <si>
    <t>ParkRunning3.Q22.jvet10.lp</t>
  </si>
  <si>
    <t>ParkRunning3.Q27.jvet10.lp</t>
  </si>
  <si>
    <t>ParkRunning3.Q32.jvet10.lp</t>
  </si>
  <si>
    <t>VTM-1.0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</si>
</sst>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_ "/>
    <numFmt numFmtId="165" formatCode="0.0%"/>
    <numFmt numFmtId="166" formatCode="0.0"/>
    <numFmt numFmtId="167" formatCode="0.00000%"/>
  </numFmts>
  <fonts count="6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64" fontId="2" fillId="2" borderId="3" xfId="0" applyNumberFormat="1" applyFont="1" applyFill="1" applyBorder="1"/>
    <xf numFmtId="164" fontId="2" fillId="2" borderId="4" xfId="0" applyNumberFormat="1" applyFont="1" applyFill="1" applyBorder="1"/>
    <xf numFmtId="164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64" fontId="2" fillId="2" borderId="8" xfId="0" applyNumberFormat="1" applyFont="1" applyFill="1" applyBorder="1"/>
    <xf numFmtId="164" fontId="2" fillId="2" borderId="0" xfId="0" applyNumberFormat="1" applyFont="1" applyFill="1" applyBorder="1"/>
    <xf numFmtId="164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64" fontId="2" fillId="2" borderId="11" xfId="0" applyNumberFormat="1" applyFont="1" applyFill="1" applyBorder="1"/>
    <xf numFmtId="164" fontId="2" fillId="2" borderId="12" xfId="0" applyNumberFormat="1" applyFont="1" applyFill="1" applyBorder="1"/>
    <xf numFmtId="164" fontId="2" fillId="2" borderId="13" xfId="0" applyNumberFormat="1" applyFont="1" applyFill="1" applyBorder="1"/>
    <xf numFmtId="0" fontId="2" fillId="0" borderId="12" xfId="0" applyFont="1" applyBorder="1"/>
    <xf numFmtId="10" fontId="2" fillId="0" borderId="0" xfId="0" applyNumberFormat="1" applyFont="1" applyBorder="1"/>
    <xf numFmtId="164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66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65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9" fontId="2" fillId="0" borderId="0" xfId="0" applyNumberFormat="1" applyFont="1" applyBorder="1" applyAlignment="1">
      <alignment horizontal="center" vertical="center"/>
    </xf>
    <xf numFmtId="9" fontId="2" fillId="0" borderId="4" xfId="0" applyNumberFormat="1" applyFont="1" applyBorder="1" applyAlignment="1">
      <alignment horizontal="center" vertical="center"/>
    </xf>
    <xf numFmtId="167" fontId="2" fillId="0" borderId="3" xfId="0" applyNumberFormat="1" applyFont="1" applyBorder="1" applyAlignment="1">
      <alignment horizontal="center"/>
    </xf>
    <xf numFmtId="167" fontId="2" fillId="0" borderId="4" xfId="0" applyNumberFormat="1" applyFont="1" applyBorder="1" applyAlignment="1">
      <alignment horizontal="center"/>
    </xf>
    <xf numFmtId="167" fontId="2" fillId="0" borderId="5" xfId="0" applyNumberFormat="1" applyFont="1" applyBorder="1" applyAlignment="1">
      <alignment horizontal="center"/>
    </xf>
    <xf numFmtId="167" fontId="2" fillId="0" borderId="8" xfId="0" applyNumberFormat="1" applyFont="1" applyBorder="1"/>
    <xf numFmtId="167" fontId="2" fillId="0" borderId="0" xfId="0" applyNumberFormat="1" applyFont="1" applyBorder="1"/>
    <xf numFmtId="167" fontId="2" fillId="0" borderId="9" xfId="0" applyNumberFormat="1" applyFont="1" applyBorder="1"/>
    <xf numFmtId="167" fontId="2" fillId="0" borderId="11" xfId="0" applyNumberFormat="1" applyFont="1" applyBorder="1"/>
    <xf numFmtId="167" fontId="2" fillId="0" borderId="12" xfId="0" applyNumberFormat="1" applyFont="1" applyBorder="1"/>
    <xf numFmtId="167" fontId="2" fillId="0" borderId="13" xfId="0" applyNumberFormat="1" applyFont="1" applyBorder="1"/>
    <xf numFmtId="164" fontId="2" fillId="0" borderId="4" xfId="0" applyNumberFormat="1" applyFont="1" applyBorder="1"/>
    <xf numFmtId="164" fontId="2" fillId="0" borderId="0" xfId="0" applyNumberFormat="1" applyFont="1" applyBorder="1"/>
    <xf numFmtId="164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0" fontId="2" fillId="0" borderId="11" xfId="0" applyNumberFormat="1" applyFont="1" applyBorder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9" fontId="2" fillId="0" borderId="12" xfId="0" applyNumberFormat="1" applyFont="1" applyBorder="1" applyAlignment="1">
      <alignment horizontal="center" vertical="center"/>
    </xf>
    <xf numFmtId="9" fontId="2" fillId="0" borderId="13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212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Summary!$O$3</c:f>
              <c:strCache>
                <c:ptCount val="1"/>
                <c:pt idx="0">
                  <c:v>VTM-1.0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BMS-1.0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373472"/>
        <c:axId val="440370728"/>
      </c:scatterChart>
      <c:valAx>
        <c:axId val="440373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370728"/>
        <c:crosses val="autoZero"/>
        <c:crossBetween val="midCat"/>
      </c:valAx>
      <c:valAx>
        <c:axId val="440370728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3734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Summary!$O$3</c:f>
              <c:strCache>
                <c:ptCount val="1"/>
                <c:pt idx="0">
                  <c:v>VTM-1.0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BMS-1.0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7128"/>
        <c:axId val="439711640"/>
      </c:scatterChart>
      <c:valAx>
        <c:axId val="439717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711640"/>
        <c:crosses val="autoZero"/>
        <c:crossBetween val="midCat"/>
      </c:valAx>
      <c:valAx>
        <c:axId val="439711640"/>
        <c:scaling>
          <c:orientation val="minMax"/>
          <c:max val="49.5"/>
          <c:min val="4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717128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Summary!$O$3</c:f>
              <c:strCache>
                <c:ptCount val="1"/>
                <c:pt idx="0">
                  <c:v>VTM-1.0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BMS-1.0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2424"/>
        <c:axId val="105379976"/>
      </c:scatterChart>
      <c:valAx>
        <c:axId val="439712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379976"/>
        <c:crosses val="autoZero"/>
        <c:crossBetween val="midCat"/>
      </c:valAx>
      <c:valAx>
        <c:axId val="105379976"/>
        <c:scaling>
          <c:orientation val="minMax"/>
          <c:max val="47.5"/>
          <c:min val="4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71242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Summary!$O$3</c:f>
              <c:strCache>
                <c:ptCount val="1"/>
                <c:pt idx="0">
                  <c:v>VTM-1.0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BMS-1.0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44280"/>
        <c:axId val="443140752"/>
      </c:scatterChart>
      <c:valAx>
        <c:axId val="443144280"/>
        <c:scaling>
          <c:logBase val="10"/>
          <c:orientation val="minMax"/>
          <c:max val="100000"/>
          <c:min val="10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40752"/>
        <c:crosses val="autoZero"/>
        <c:crossBetween val="midCat"/>
      </c:valAx>
      <c:valAx>
        <c:axId val="443140752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442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Tango2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Tango2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Tango2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Tango2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W48"/>
  <sheetViews>
    <sheetView tabSelected="1" workbookViewId="0">
      <selection activeCell="O3" sqref="O3"/>
    </sheetView>
  </sheetViews>
  <sheetFormatPr defaultColWidth="10.875" defaultRowHeight="12" x14ac:dyDescent="0.2"/>
  <cols>
    <col min="1" max="1" width="4.125" style="1" customWidth="1"/>
    <col min="2" max="2" width="13.625" style="78" customWidth="1"/>
    <col min="3" max="12" width="8.875" style="78" customWidth="1"/>
    <col min="13" max="16384" width="10.875" style="1"/>
  </cols>
  <sheetData>
    <row r="1" spans="2:23" ht="12.75" thickBot="1" x14ac:dyDescent="0.25"/>
    <row r="2" spans="2:23" ht="12.75" customHeight="1" thickBot="1" x14ac:dyDescent="0.25">
      <c r="C2" s="113" t="s">
        <v>70</v>
      </c>
      <c r="D2" s="114"/>
      <c r="E2" s="114"/>
      <c r="F2" s="114"/>
      <c r="G2" s="114"/>
      <c r="H2" s="114"/>
      <c r="I2" s="114"/>
      <c r="J2" s="114"/>
      <c r="K2" s="114"/>
      <c r="L2" s="115"/>
      <c r="N2" s="29"/>
      <c r="O2" s="29"/>
    </row>
    <row r="3" spans="2:23" ht="12.75" customHeight="1" x14ac:dyDescent="0.2">
      <c r="C3" s="113" t="str">
        <f>CONCATENATE("Over ", $O$3)</f>
        <v>Over VTM-1.0</v>
      </c>
      <c r="D3" s="114"/>
      <c r="E3" s="114"/>
      <c r="F3" s="114"/>
      <c r="G3" s="115"/>
      <c r="H3" s="113" t="str">
        <f>CONCATENATE("Over ", $O$5)</f>
        <v>Over BMS-1.0</v>
      </c>
      <c r="I3" s="114"/>
      <c r="J3" s="114"/>
      <c r="K3" s="114"/>
      <c r="L3" s="115"/>
      <c r="N3" s="29" t="s">
        <v>27</v>
      </c>
      <c r="O3" s="29" t="s">
        <v>507</v>
      </c>
    </row>
    <row r="4" spans="2:23" ht="12.75" customHeight="1" thickBot="1" x14ac:dyDescent="0.25">
      <c r="C4" s="63" t="s">
        <v>21</v>
      </c>
      <c r="D4" s="64" t="s">
        <v>22</v>
      </c>
      <c r="E4" s="65" t="s">
        <v>23</v>
      </c>
      <c r="F4" s="66" t="s">
        <v>42</v>
      </c>
      <c r="G4" s="67" t="s">
        <v>43</v>
      </c>
      <c r="H4" s="63" t="s">
        <v>21</v>
      </c>
      <c r="I4" s="64" t="s">
        <v>22</v>
      </c>
      <c r="J4" s="65" t="s">
        <v>23</v>
      </c>
      <c r="K4" s="66" t="s">
        <v>42</v>
      </c>
      <c r="L4" s="67" t="s">
        <v>43</v>
      </c>
      <c r="N4" s="29" t="s">
        <v>28</v>
      </c>
      <c r="O4" s="29" t="s">
        <v>418</v>
      </c>
    </row>
    <row r="5" spans="2:23" ht="12.75" customHeight="1" x14ac:dyDescent="0.2">
      <c r="B5" s="79" t="s">
        <v>75</v>
      </c>
      <c r="C5" s="68" t="e">
        <f>'AI-10'!V107</f>
        <v>#VALUE!</v>
      </c>
      <c r="D5" s="69" t="e">
        <f>'AI-10'!W107</f>
        <v>#VALUE!</v>
      </c>
      <c r="E5" s="70" t="e">
        <f>'AI-10'!X107</f>
        <v>#VALUE!</v>
      </c>
      <c r="F5" s="71" t="e">
        <f>'AI-10'!S107</f>
        <v>#DIV/0!</v>
      </c>
      <c r="G5" s="83" t="e">
        <f>'AI-10'!T107</f>
        <v>#DIV/0!</v>
      </c>
      <c r="H5" s="68" t="e">
        <f>'AI-10'!AM107</f>
        <v>#VALUE!</v>
      </c>
      <c r="I5" s="69" t="e">
        <f>'AI-10'!AN107</f>
        <v>#VALUE!</v>
      </c>
      <c r="J5" s="70" t="e">
        <f>'AI-10'!AO107</f>
        <v>#VALUE!</v>
      </c>
      <c r="K5" s="71" t="e">
        <f>'AI-10'!AJ107</f>
        <v>#DIV/0!</v>
      </c>
      <c r="L5" s="72" t="e">
        <f>'AI-10'!AK107</f>
        <v>#DIV/0!</v>
      </c>
      <c r="M5" s="26"/>
      <c r="N5" s="1" t="s">
        <v>36</v>
      </c>
      <c r="O5" s="29" t="s">
        <v>417</v>
      </c>
    </row>
    <row r="6" spans="2:23" ht="12.75" customHeight="1" x14ac:dyDescent="0.2">
      <c r="B6" s="80" t="s">
        <v>76</v>
      </c>
      <c r="C6" s="73" t="e">
        <f>'AI-10'!V108</f>
        <v>#VALUE!</v>
      </c>
      <c r="D6" s="74" t="e">
        <f>'AI-10'!W108</f>
        <v>#VALUE!</v>
      </c>
      <c r="E6" s="75" t="e">
        <f>'AI-10'!X108</f>
        <v>#VALUE!</v>
      </c>
      <c r="F6" s="76" t="e">
        <f>'AI-10'!S108</f>
        <v>#DIV/0!</v>
      </c>
      <c r="G6" s="82" t="e">
        <f>'AI-10'!T108</f>
        <v>#DIV/0!</v>
      </c>
      <c r="H6" s="73" t="e">
        <f>'AI-10'!AM108</f>
        <v>#VALUE!</v>
      </c>
      <c r="I6" s="74" t="e">
        <f>'AI-10'!AN108</f>
        <v>#VALUE!</v>
      </c>
      <c r="J6" s="75" t="e">
        <f>'AI-10'!AO108</f>
        <v>#VALUE!</v>
      </c>
      <c r="K6" s="76" t="e">
        <f>'AI-10'!AJ108</f>
        <v>#DIV/0!</v>
      </c>
      <c r="L6" s="77" t="e">
        <f>'AI-10'!AK108</f>
        <v>#DIV/0!</v>
      </c>
      <c r="M6" s="26"/>
      <c r="O6" s="29"/>
    </row>
    <row r="7" spans="2:23" ht="12.75" customHeight="1" x14ac:dyDescent="0.2">
      <c r="B7" s="80" t="s">
        <v>1</v>
      </c>
      <c r="C7" s="73" t="e">
        <f>'AI-10'!V109</f>
        <v>#VALUE!</v>
      </c>
      <c r="D7" s="74" t="e">
        <f>'AI-10'!W109</f>
        <v>#VALUE!</v>
      </c>
      <c r="E7" s="75" t="e">
        <f>'AI-10'!X109</f>
        <v>#VALUE!</v>
      </c>
      <c r="F7" s="76" t="e">
        <f>'AI-10'!S109</f>
        <v>#DIV/0!</v>
      </c>
      <c r="G7" s="82" t="e">
        <f>'AI-10'!T109</f>
        <v>#DIV/0!</v>
      </c>
      <c r="H7" s="73" t="e">
        <f>'AI-10'!AM109</f>
        <v>#VALUE!</v>
      </c>
      <c r="I7" s="74" t="e">
        <f>'AI-10'!AN109</f>
        <v>#VALUE!</v>
      </c>
      <c r="J7" s="75" t="e">
        <f>'AI-10'!AO109</f>
        <v>#VALUE!</v>
      </c>
      <c r="K7" s="76" t="e">
        <f>'AI-10'!AJ109</f>
        <v>#DIV/0!</v>
      </c>
      <c r="L7" s="77" t="e">
        <f>'AI-10'!AK109</f>
        <v>#DIV/0!</v>
      </c>
      <c r="M7" s="26"/>
    </row>
    <row r="8" spans="2:23" ht="12.75" customHeight="1" x14ac:dyDescent="0.2">
      <c r="B8" s="80" t="s">
        <v>5</v>
      </c>
      <c r="C8" s="73" t="e">
        <f>'AI-10'!V110</f>
        <v>#VALUE!</v>
      </c>
      <c r="D8" s="74" t="e">
        <f>'AI-10'!W110</f>
        <v>#VALUE!</v>
      </c>
      <c r="E8" s="75" t="e">
        <f>'AI-10'!X110</f>
        <v>#VALUE!</v>
      </c>
      <c r="F8" s="76" t="e">
        <f>'AI-10'!S110</f>
        <v>#DIV/0!</v>
      </c>
      <c r="G8" s="82" t="e">
        <f>'AI-10'!T110</f>
        <v>#DIV/0!</v>
      </c>
      <c r="H8" s="73" t="e">
        <f>'AI-10'!AM110</f>
        <v>#VALUE!</v>
      </c>
      <c r="I8" s="74" t="e">
        <f>'AI-10'!AN110</f>
        <v>#VALUE!</v>
      </c>
      <c r="J8" s="75" t="e">
        <f>'AI-10'!AO110</f>
        <v>#VALUE!</v>
      </c>
      <c r="K8" s="76" t="e">
        <f>'AI-10'!AJ110</f>
        <v>#DIV/0!</v>
      </c>
      <c r="L8" s="77" t="e">
        <f>'AI-10'!AK110</f>
        <v>#DIV/0!</v>
      </c>
      <c r="M8" s="26"/>
    </row>
    <row r="9" spans="2:23" ht="12.75" customHeight="1" thickBot="1" x14ac:dyDescent="0.25">
      <c r="B9" s="80" t="s">
        <v>7</v>
      </c>
      <c r="C9" s="73" t="e">
        <f>'AI-10'!V112</f>
        <v>#VALUE!</v>
      </c>
      <c r="D9" s="74" t="e">
        <f>'AI-10'!W112</f>
        <v>#VALUE!</v>
      </c>
      <c r="E9" s="75" t="e">
        <f>'AI-10'!X112</f>
        <v>#VALUE!</v>
      </c>
      <c r="F9" s="76" t="e">
        <f>'AI-10'!S112</f>
        <v>#DIV/0!</v>
      </c>
      <c r="G9" s="82" t="e">
        <f>'AI-10'!T112</f>
        <v>#DIV/0!</v>
      </c>
      <c r="H9" s="73" t="e">
        <f>'AI-10'!AM112</f>
        <v>#VALUE!</v>
      </c>
      <c r="I9" s="74" t="e">
        <f>'AI-10'!AN112</f>
        <v>#VALUE!</v>
      </c>
      <c r="J9" s="75" t="e">
        <f>'AI-10'!AO112</f>
        <v>#VALUE!</v>
      </c>
      <c r="K9" s="76" t="e">
        <f>'AI-10'!AJ112</f>
        <v>#DIV/0!</v>
      </c>
      <c r="L9" s="77" t="e">
        <f>'AI-10'!AK112</f>
        <v>#DIV/0!</v>
      </c>
      <c r="M9" s="26"/>
    </row>
    <row r="10" spans="2:23" s="20" customFormat="1" ht="12.75" customHeight="1" thickBot="1" x14ac:dyDescent="0.25">
      <c r="B10" s="105" t="s">
        <v>71</v>
      </c>
      <c r="C10" s="68" t="e">
        <f>'AI-10'!V114</f>
        <v>#VALUE!</v>
      </c>
      <c r="D10" s="69" t="e">
        <f>'AI-10'!W114</f>
        <v>#VALUE!</v>
      </c>
      <c r="E10" s="70" t="e">
        <f>'AI-10'!X114</f>
        <v>#VALUE!</v>
      </c>
      <c r="F10" s="71" t="e">
        <f>'AI-10'!S114</f>
        <v>#DIV/0!</v>
      </c>
      <c r="G10" s="83" t="e">
        <f>'AI-10'!T114</f>
        <v>#DIV/0!</v>
      </c>
      <c r="H10" s="68" t="e">
        <f>'AI-10'!AM114</f>
        <v>#VALUE!</v>
      </c>
      <c r="I10" s="69" t="e">
        <f>'AI-10'!AN114</f>
        <v>#VALUE!</v>
      </c>
      <c r="J10" s="70" t="e">
        <f>'AI-10'!AO114</f>
        <v>#VALUE!</v>
      </c>
      <c r="K10" s="71" t="e">
        <f>'AI-10'!AJ114</f>
        <v>#DIV/0!</v>
      </c>
      <c r="L10" s="72" t="e">
        <f>'AI-10'!AK114</f>
        <v>#DIV/0!</v>
      </c>
      <c r="M10" s="26"/>
      <c r="N10" s="39" t="s">
        <v>26</v>
      </c>
    </row>
    <row r="11" spans="2:23" s="20" customFormat="1" ht="12.75" customHeight="1" x14ac:dyDescent="0.2">
      <c r="B11" s="107" t="s">
        <v>6</v>
      </c>
      <c r="C11" s="68" t="e">
        <f>'AI-10'!V111</f>
        <v>#VALUE!</v>
      </c>
      <c r="D11" s="69" t="e">
        <f>'AI-10'!W111</f>
        <v>#VALUE!</v>
      </c>
      <c r="E11" s="70" t="e">
        <f>'AI-10'!X111</f>
        <v>#VALUE!</v>
      </c>
      <c r="F11" s="83" t="e">
        <f>'AI-10'!S111</f>
        <v>#DIV/0!</v>
      </c>
      <c r="G11" s="72" t="e">
        <f>'AI-10'!T111</f>
        <v>#DIV/0!</v>
      </c>
      <c r="H11" s="68" t="e">
        <f>'AI-10'!AM111</f>
        <v>#VALUE!</v>
      </c>
      <c r="I11" s="69" t="e">
        <f>'AI-10'!AN111</f>
        <v>#VALUE!</v>
      </c>
      <c r="J11" s="70" t="e">
        <f>'AI-10'!AO111</f>
        <v>#VALUE!</v>
      </c>
      <c r="K11" s="83" t="e">
        <f>'AI-10'!AJ111</f>
        <v>#DIV/0!</v>
      </c>
      <c r="L11" s="72" t="e">
        <f>'AI-10'!AK111</f>
        <v>#DIV/0!</v>
      </c>
      <c r="M11" s="26"/>
      <c r="N11" s="39"/>
    </row>
    <row r="12" spans="2:23" ht="12.75" customHeight="1" thickBot="1" x14ac:dyDescent="0.25">
      <c r="B12" s="63" t="s">
        <v>74</v>
      </c>
      <c r="C12" s="108" t="e">
        <f>'AI-10'!V113</f>
        <v>#VALUE!</v>
      </c>
      <c r="D12" s="109" t="e">
        <f>'AI-10'!W113</f>
        <v>#VALUE!</v>
      </c>
      <c r="E12" s="112" t="e">
        <f>'AI-10'!X113</f>
        <v>#VALUE!</v>
      </c>
      <c r="F12" s="110" t="e">
        <f>'AI-10'!S113</f>
        <v>#DIV/0!</v>
      </c>
      <c r="G12" s="111" t="e">
        <f>'AI-10'!T113</f>
        <v>#DIV/0!</v>
      </c>
      <c r="H12" s="108" t="e">
        <f>'AI-10'!AM113</f>
        <v>#VALUE!</v>
      </c>
      <c r="I12" s="109" t="e">
        <f>'AI-10'!AN113</f>
        <v>#VALUE!</v>
      </c>
      <c r="J12" s="112" t="e">
        <f>'AI-10'!AO113</f>
        <v>#VALUE!</v>
      </c>
      <c r="K12" s="110" t="e">
        <f>'AI-10'!AJ113</f>
        <v>#DIV/0!</v>
      </c>
      <c r="L12" s="111" t="e">
        <f>'AI-10'!AK113</f>
        <v>#DIV/0!</v>
      </c>
      <c r="M12" s="26"/>
    </row>
    <row r="13" spans="2:23" ht="12.75" customHeight="1" thickBot="1" x14ac:dyDescent="0.25"/>
    <row r="14" spans="2:23" ht="12.75" customHeight="1" thickBot="1" x14ac:dyDescent="0.25">
      <c r="C14" s="113" t="s">
        <v>47</v>
      </c>
      <c r="D14" s="114"/>
      <c r="E14" s="114"/>
      <c r="F14" s="114"/>
      <c r="G14" s="114"/>
      <c r="H14" s="114"/>
      <c r="I14" s="114"/>
      <c r="J14" s="114"/>
      <c r="K14" s="114"/>
      <c r="L14" s="115"/>
      <c r="N14" s="29"/>
      <c r="O14" s="29"/>
    </row>
    <row r="15" spans="2:23" ht="12.75" customHeight="1" x14ac:dyDescent="0.2">
      <c r="C15" s="113" t="str">
        <f>CONCATENATE("Over ", $O$3)</f>
        <v>Over VTM-1.0</v>
      </c>
      <c r="D15" s="114"/>
      <c r="E15" s="114"/>
      <c r="F15" s="114"/>
      <c r="G15" s="115"/>
      <c r="H15" s="113" t="str">
        <f>CONCATENATE("Over ", $O$5)</f>
        <v>Over BMS-1.0</v>
      </c>
      <c r="I15" s="114"/>
      <c r="J15" s="114"/>
      <c r="K15" s="114"/>
      <c r="L15" s="115"/>
    </row>
    <row r="16" spans="2:23" ht="12.75" customHeight="1" thickBot="1" x14ac:dyDescent="0.25">
      <c r="C16" s="63" t="s">
        <v>21</v>
      </c>
      <c r="D16" s="64" t="s">
        <v>22</v>
      </c>
      <c r="E16" s="65" t="s">
        <v>23</v>
      </c>
      <c r="F16" s="66" t="s">
        <v>42</v>
      </c>
      <c r="G16" s="67" t="s">
        <v>43</v>
      </c>
      <c r="H16" s="63" t="s">
        <v>21</v>
      </c>
      <c r="I16" s="64" t="s">
        <v>22</v>
      </c>
      <c r="J16" s="65" t="s">
        <v>23</v>
      </c>
      <c r="K16" s="66" t="s">
        <v>42</v>
      </c>
      <c r="L16" s="67" t="s">
        <v>43</v>
      </c>
      <c r="O16" s="41"/>
      <c r="P16" s="41"/>
      <c r="Q16" s="41"/>
      <c r="R16" s="41"/>
      <c r="S16" s="41"/>
      <c r="T16" s="41"/>
      <c r="U16" s="41"/>
      <c r="V16" s="41"/>
      <c r="W16" s="41"/>
    </row>
    <row r="17" spans="2:23" ht="12.75" customHeight="1" x14ac:dyDescent="0.2">
      <c r="B17" s="79" t="str">
        <f>B5</f>
        <v>Class A1</v>
      </c>
      <c r="C17" s="68" t="e">
        <f>'RA-10'!V107</f>
        <v>#VALUE!</v>
      </c>
      <c r="D17" s="69" t="e">
        <f>'RA-10'!W107</f>
        <v>#VALUE!</v>
      </c>
      <c r="E17" s="70" t="e">
        <f>'RA-10'!X107</f>
        <v>#VALUE!</v>
      </c>
      <c r="F17" s="71" t="e">
        <f>'RA-10'!S107</f>
        <v>#DIV/0!</v>
      </c>
      <c r="G17" s="83" t="e">
        <f>'RA-10'!T107</f>
        <v>#DIV/0!</v>
      </c>
      <c r="H17" s="68" t="e">
        <f>'RA-10'!AM107</f>
        <v>#VALUE!</v>
      </c>
      <c r="I17" s="69" t="e">
        <f>'RA-10'!AN107</f>
        <v>#VALUE!</v>
      </c>
      <c r="J17" s="70" t="e">
        <f>'RA-10'!AO107</f>
        <v>#VALUE!</v>
      </c>
      <c r="K17" s="71" t="e">
        <f>'RA-10'!AJ107</f>
        <v>#DIV/0!</v>
      </c>
      <c r="L17" s="72" t="e">
        <f>'RA-10'!AK107</f>
        <v>#DIV/0!</v>
      </c>
      <c r="M17" s="26"/>
      <c r="O17" s="41"/>
      <c r="P17" s="41"/>
      <c r="Q17" s="41"/>
      <c r="R17" s="41"/>
      <c r="S17" s="41"/>
      <c r="T17" s="41"/>
      <c r="U17" s="41"/>
      <c r="V17" s="41"/>
      <c r="W17" s="41"/>
    </row>
    <row r="18" spans="2:23" ht="12.75" customHeight="1" x14ac:dyDescent="0.2">
      <c r="B18" s="80" t="str">
        <f>B6</f>
        <v>Class A2</v>
      </c>
      <c r="C18" s="73" t="e">
        <f>'RA-10'!V108</f>
        <v>#VALUE!</v>
      </c>
      <c r="D18" s="74" t="e">
        <f>'RA-10'!W108</f>
        <v>#VALUE!</v>
      </c>
      <c r="E18" s="75" t="e">
        <f>'RA-10'!X108</f>
        <v>#VALUE!</v>
      </c>
      <c r="F18" s="76" t="e">
        <f>'RA-10'!S108</f>
        <v>#DIV/0!</v>
      </c>
      <c r="G18" s="82" t="e">
        <f>'RA-10'!T108</f>
        <v>#DIV/0!</v>
      </c>
      <c r="H18" s="73" t="e">
        <f>'RA-10'!AM108</f>
        <v>#VALUE!</v>
      </c>
      <c r="I18" s="74" t="e">
        <f>'RA-10'!AN108</f>
        <v>#VALUE!</v>
      </c>
      <c r="J18" s="75" t="e">
        <f>'RA-10'!AO108</f>
        <v>#VALUE!</v>
      </c>
      <c r="K18" s="76" t="e">
        <f>'RA-10'!AJ108</f>
        <v>#DIV/0!</v>
      </c>
      <c r="L18" s="77" t="e">
        <f>'RA-10'!AK108</f>
        <v>#DIV/0!</v>
      </c>
      <c r="M18" s="26"/>
      <c r="O18" s="41"/>
      <c r="P18" s="41"/>
      <c r="Q18" s="41"/>
      <c r="R18" s="41"/>
      <c r="S18" s="41"/>
      <c r="T18" s="41"/>
      <c r="U18" s="41"/>
      <c r="V18" s="41"/>
      <c r="W18" s="41"/>
    </row>
    <row r="19" spans="2:23" ht="12.75" customHeight="1" x14ac:dyDescent="0.2">
      <c r="B19" s="80" t="str">
        <f>B7</f>
        <v>Class B</v>
      </c>
      <c r="C19" s="73" t="e">
        <f>'RA-10'!V109</f>
        <v>#VALUE!</v>
      </c>
      <c r="D19" s="74" t="e">
        <f>'RA-10'!W109</f>
        <v>#VALUE!</v>
      </c>
      <c r="E19" s="75" t="e">
        <f>'RA-10'!X109</f>
        <v>#VALUE!</v>
      </c>
      <c r="F19" s="76" t="e">
        <f>'RA-10'!S109</f>
        <v>#DIV/0!</v>
      </c>
      <c r="G19" s="82" t="e">
        <f>'RA-10'!T109</f>
        <v>#DIV/0!</v>
      </c>
      <c r="H19" s="73" t="e">
        <f>'RA-10'!AM109</f>
        <v>#VALUE!</v>
      </c>
      <c r="I19" s="74" t="e">
        <f>'RA-10'!AN109</f>
        <v>#VALUE!</v>
      </c>
      <c r="J19" s="75" t="e">
        <f>'RA-10'!AO109</f>
        <v>#VALUE!</v>
      </c>
      <c r="K19" s="76" t="e">
        <f>'RA-10'!AJ109</f>
        <v>#DIV/0!</v>
      </c>
      <c r="L19" s="77" t="e">
        <f>'RA-10'!AK109</f>
        <v>#DIV/0!</v>
      </c>
      <c r="M19" s="26"/>
    </row>
    <row r="20" spans="2:23" ht="12.75" customHeight="1" x14ac:dyDescent="0.2">
      <c r="B20" s="80" t="str">
        <f>B8</f>
        <v>Class C</v>
      </c>
      <c r="C20" s="73" t="e">
        <f>'RA-10'!V110</f>
        <v>#VALUE!</v>
      </c>
      <c r="D20" s="74" t="e">
        <f>'RA-10'!W110</f>
        <v>#VALUE!</v>
      </c>
      <c r="E20" s="75" t="e">
        <f>'RA-10'!X110</f>
        <v>#VALUE!</v>
      </c>
      <c r="F20" s="76" t="e">
        <f>'RA-10'!S110</f>
        <v>#DIV/0!</v>
      </c>
      <c r="G20" s="82" t="e">
        <f>'RA-10'!T110</f>
        <v>#DIV/0!</v>
      </c>
      <c r="H20" s="73" t="e">
        <f>'RA-10'!AM110</f>
        <v>#VALUE!</v>
      </c>
      <c r="I20" s="74" t="e">
        <f>'RA-10'!AN110</f>
        <v>#VALUE!</v>
      </c>
      <c r="J20" s="75" t="e">
        <f>'RA-10'!AO110</f>
        <v>#VALUE!</v>
      </c>
      <c r="K20" s="76" t="e">
        <f>'RA-10'!AJ110</f>
        <v>#DIV/0!</v>
      </c>
      <c r="L20" s="77" t="e">
        <f>'RA-10'!AK110</f>
        <v>#DIV/0!</v>
      </c>
      <c r="M20" s="26"/>
    </row>
    <row r="21" spans="2:23" ht="12.75" customHeight="1" thickBot="1" x14ac:dyDescent="0.25">
      <c r="B21" s="80" t="str">
        <f t="shared" ref="B21" si="0">B9</f>
        <v>Class E</v>
      </c>
      <c r="C21" s="73"/>
      <c r="D21" s="74"/>
      <c r="E21" s="75"/>
      <c r="F21" s="76"/>
      <c r="G21" s="82"/>
      <c r="H21" s="73"/>
      <c r="I21" s="74"/>
      <c r="J21" s="75"/>
      <c r="K21" s="76"/>
      <c r="L21" s="77"/>
      <c r="M21" s="26"/>
    </row>
    <row r="22" spans="2:23" ht="12.75" customHeight="1" thickBot="1" x14ac:dyDescent="0.25">
      <c r="B22" s="105" t="s">
        <v>419</v>
      </c>
      <c r="C22" s="68" t="e">
        <f>'RA-10'!V114</f>
        <v>#VALUE!</v>
      </c>
      <c r="D22" s="69" t="e">
        <f>'RA-10'!W114</f>
        <v>#VALUE!</v>
      </c>
      <c r="E22" s="70" t="e">
        <f>'RA-10'!X114</f>
        <v>#VALUE!</v>
      </c>
      <c r="F22" s="71" t="e">
        <f>'RA-10'!S114</f>
        <v>#DIV/0!</v>
      </c>
      <c r="G22" s="83" t="e">
        <f>'RA-10'!T114</f>
        <v>#DIV/0!</v>
      </c>
      <c r="H22" s="68" t="e">
        <f>'RA-10'!AM114</f>
        <v>#VALUE!</v>
      </c>
      <c r="I22" s="69" t="e">
        <f>'RA-10'!AN114</f>
        <v>#VALUE!</v>
      </c>
      <c r="J22" s="70" t="e">
        <f>'RA-10'!AO114</f>
        <v>#VALUE!</v>
      </c>
      <c r="K22" s="71" t="e">
        <f>'RA-10'!AJ114</f>
        <v>#DIV/0!</v>
      </c>
      <c r="L22" s="72" t="e">
        <f>'RA-10'!AK114</f>
        <v>#DIV/0!</v>
      </c>
      <c r="M22" s="26"/>
      <c r="O22" s="40"/>
      <c r="P22" s="40"/>
      <c r="Q22" s="40"/>
      <c r="R22" s="40"/>
      <c r="S22" s="40"/>
      <c r="T22" s="40"/>
      <c r="U22" s="40"/>
      <c r="V22" s="40"/>
      <c r="W22" s="40"/>
    </row>
    <row r="23" spans="2:23" ht="12.75" customHeight="1" x14ac:dyDescent="0.2">
      <c r="B23" s="79" t="str">
        <f>B11</f>
        <v>Class D</v>
      </c>
      <c r="C23" s="68" t="e">
        <f>'RA-10'!V111</f>
        <v>#VALUE!</v>
      </c>
      <c r="D23" s="69" t="e">
        <f>'RA-10'!W111</f>
        <v>#VALUE!</v>
      </c>
      <c r="E23" s="70" t="e">
        <f>'RA-10'!X111</f>
        <v>#VALUE!</v>
      </c>
      <c r="F23" s="83" t="e">
        <f>'RA-10'!S111</f>
        <v>#DIV/0!</v>
      </c>
      <c r="G23" s="72" t="e">
        <f>'RA-10'!T111</f>
        <v>#DIV/0!</v>
      </c>
      <c r="H23" s="68" t="e">
        <f>'RA-10'!AM111</f>
        <v>#VALUE!</v>
      </c>
      <c r="I23" s="69" t="e">
        <f>'RA-10'!AN111</f>
        <v>#VALUE!</v>
      </c>
      <c r="J23" s="70" t="e">
        <f>'RA-10'!AO111</f>
        <v>#VALUE!</v>
      </c>
      <c r="K23" s="83" t="e">
        <f>'RA-10'!AJ111</f>
        <v>#DIV/0!</v>
      </c>
      <c r="L23" s="72" t="e">
        <f>'RA-10'!AK111</f>
        <v>#DIV/0!</v>
      </c>
      <c r="M23" s="26"/>
      <c r="O23" s="40"/>
      <c r="P23" s="40"/>
      <c r="Q23" s="40"/>
      <c r="R23" s="40"/>
      <c r="S23" s="40"/>
      <c r="T23" s="40"/>
      <c r="U23" s="40"/>
      <c r="V23" s="40"/>
      <c r="W23" s="40"/>
    </row>
    <row r="24" spans="2:23" ht="12.75" customHeight="1" thickBot="1" x14ac:dyDescent="0.25">
      <c r="B24" s="106" t="str">
        <f>B12</f>
        <v>Class F (optional)</v>
      </c>
      <c r="C24" s="108" t="e">
        <f>'RA-10'!V113</f>
        <v>#VALUE!</v>
      </c>
      <c r="D24" s="109" t="e">
        <f>'RA-10'!W113</f>
        <v>#VALUE!</v>
      </c>
      <c r="E24" s="112" t="e">
        <f>'RA-10'!X113</f>
        <v>#VALUE!</v>
      </c>
      <c r="F24" s="110" t="e">
        <f>'RA-10'!S113</f>
        <v>#DIV/0!</v>
      </c>
      <c r="G24" s="111" t="e">
        <f>'RA-10'!T113</f>
        <v>#DIV/0!</v>
      </c>
      <c r="H24" s="108" t="e">
        <f>'RA-10'!AM113</f>
        <v>#VALUE!</v>
      </c>
      <c r="I24" s="109" t="e">
        <f>'RA-10'!AN113</f>
        <v>#VALUE!</v>
      </c>
      <c r="J24" s="112" t="e">
        <f>'RA-10'!AO113</f>
        <v>#VALUE!</v>
      </c>
      <c r="K24" s="110" t="e">
        <f>'RA-10'!AJ113</f>
        <v>#DIV/0!</v>
      </c>
      <c r="L24" s="111" t="e">
        <f>'RA-10'!AK113</f>
        <v>#DIV/0!</v>
      </c>
      <c r="M24" s="26"/>
    </row>
    <row r="25" spans="2:23" ht="12.75" customHeight="1" thickBot="1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2:23" ht="12.75" customHeight="1" thickBot="1" x14ac:dyDescent="0.25">
      <c r="C26" s="113" t="s">
        <v>72</v>
      </c>
      <c r="D26" s="114"/>
      <c r="E26" s="114"/>
      <c r="F26" s="114"/>
      <c r="G26" s="114"/>
      <c r="H26" s="114"/>
      <c r="I26" s="114"/>
      <c r="J26" s="114"/>
      <c r="K26" s="114"/>
      <c r="L26" s="115"/>
      <c r="N26" s="29"/>
      <c r="O26" s="29"/>
    </row>
    <row r="27" spans="2:23" ht="12.75" customHeight="1" x14ac:dyDescent="0.2">
      <c r="C27" s="113" t="str">
        <f>CONCATENATE("Over ", $O$3)</f>
        <v>Over VTM-1.0</v>
      </c>
      <c r="D27" s="114"/>
      <c r="E27" s="114"/>
      <c r="F27" s="114"/>
      <c r="G27" s="115"/>
      <c r="H27" s="113" t="str">
        <f>CONCATENATE("Over ", $O$5)</f>
        <v>Over BMS-1.0</v>
      </c>
      <c r="I27" s="114"/>
      <c r="J27" s="114"/>
      <c r="K27" s="114"/>
      <c r="L27" s="115"/>
    </row>
    <row r="28" spans="2:23" ht="12.75" customHeight="1" thickBot="1" x14ac:dyDescent="0.25">
      <c r="C28" s="63" t="s">
        <v>21</v>
      </c>
      <c r="D28" s="64" t="s">
        <v>22</v>
      </c>
      <c r="E28" s="65" t="s">
        <v>23</v>
      </c>
      <c r="F28" s="66" t="s">
        <v>42</v>
      </c>
      <c r="G28" s="67" t="s">
        <v>43</v>
      </c>
      <c r="H28" s="63" t="s">
        <v>21</v>
      </c>
      <c r="I28" s="64" t="s">
        <v>22</v>
      </c>
      <c r="J28" s="65" t="s">
        <v>23</v>
      </c>
      <c r="K28" s="66" t="s">
        <v>42</v>
      </c>
      <c r="L28" s="67" t="s">
        <v>43</v>
      </c>
    </row>
    <row r="29" spans="2:23" ht="12.75" customHeight="1" x14ac:dyDescent="0.2">
      <c r="B29" s="79" t="str">
        <f>B5</f>
        <v>Class A1</v>
      </c>
      <c r="C29" s="68"/>
      <c r="D29" s="69"/>
      <c r="E29" s="70"/>
      <c r="F29" s="71"/>
      <c r="G29" s="83"/>
      <c r="H29" s="68"/>
      <c r="I29" s="69"/>
      <c r="J29" s="70"/>
      <c r="K29" s="71"/>
      <c r="L29" s="72"/>
      <c r="M29" s="26"/>
    </row>
    <row r="30" spans="2:23" ht="12.75" customHeight="1" x14ac:dyDescent="0.2">
      <c r="B30" s="80" t="str">
        <f>B6</f>
        <v>Class A2</v>
      </c>
      <c r="C30" s="73"/>
      <c r="D30" s="74"/>
      <c r="E30" s="75"/>
      <c r="F30" s="76"/>
      <c r="G30" s="82"/>
      <c r="H30" s="73"/>
      <c r="I30" s="74"/>
      <c r="J30" s="75"/>
      <c r="K30" s="76"/>
      <c r="L30" s="77"/>
      <c r="M30" s="26"/>
    </row>
    <row r="31" spans="2:23" ht="12.75" customHeight="1" x14ac:dyDescent="0.2">
      <c r="B31" s="80" t="str">
        <f>B7</f>
        <v>Class B</v>
      </c>
      <c r="C31" s="73" t="e">
        <f>'LDB-10'!V109</f>
        <v>#VALUE!</v>
      </c>
      <c r="D31" s="74" t="e">
        <f>'LDB-10'!W109</f>
        <v>#VALUE!</v>
      </c>
      <c r="E31" s="75" t="e">
        <f>'LDB-10'!X109</f>
        <v>#VALUE!</v>
      </c>
      <c r="F31" s="76" t="e">
        <f>'LDB-10'!S109</f>
        <v>#DIV/0!</v>
      </c>
      <c r="G31" s="82" t="e">
        <f>'LDB-10'!T109</f>
        <v>#DIV/0!</v>
      </c>
      <c r="H31" s="73" t="e">
        <f>'LDB-10'!AM109</f>
        <v>#VALUE!</v>
      </c>
      <c r="I31" s="74" t="e">
        <f>'LDB-10'!AN109</f>
        <v>#VALUE!</v>
      </c>
      <c r="J31" s="75" t="e">
        <f>'LDB-10'!AO109</f>
        <v>#VALUE!</v>
      </c>
      <c r="K31" s="76" t="e">
        <f>'LDB-10'!AJ109</f>
        <v>#DIV/0!</v>
      </c>
      <c r="L31" s="77" t="e">
        <f>'LDB-10'!AK109</f>
        <v>#DIV/0!</v>
      </c>
      <c r="M31" s="26"/>
    </row>
    <row r="32" spans="2:23" ht="12.75" customHeight="1" x14ac:dyDescent="0.2">
      <c r="B32" s="80" t="str">
        <f>B8</f>
        <v>Class C</v>
      </c>
      <c r="C32" s="73" t="e">
        <f>'LDB-10'!V110</f>
        <v>#VALUE!</v>
      </c>
      <c r="D32" s="74" t="e">
        <f>'LDB-10'!W110</f>
        <v>#VALUE!</v>
      </c>
      <c r="E32" s="75" t="e">
        <f>'LDB-10'!X110</f>
        <v>#VALUE!</v>
      </c>
      <c r="F32" s="76" t="e">
        <f>'LDB-10'!S110</f>
        <v>#DIV/0!</v>
      </c>
      <c r="G32" s="82" t="e">
        <f>'LDB-10'!T110</f>
        <v>#DIV/0!</v>
      </c>
      <c r="H32" s="73" t="e">
        <f>'LDB-10'!AM110</f>
        <v>#VALUE!</v>
      </c>
      <c r="I32" s="74" t="e">
        <f>'LDB-10'!AN110</f>
        <v>#VALUE!</v>
      </c>
      <c r="J32" s="75" t="e">
        <f>'LDB-10'!AO110</f>
        <v>#VALUE!</v>
      </c>
      <c r="K32" s="76" t="e">
        <f>'LDB-10'!AJ110</f>
        <v>#DIV/0!</v>
      </c>
      <c r="L32" s="77" t="e">
        <f>'LDB-10'!AK110</f>
        <v>#DIV/0!</v>
      </c>
      <c r="M32" s="26"/>
    </row>
    <row r="33" spans="2:15" ht="12.75" customHeight="1" thickBot="1" x14ac:dyDescent="0.25">
      <c r="B33" s="80" t="str">
        <f t="shared" ref="B33" si="1">B9</f>
        <v>Class E</v>
      </c>
      <c r="C33" s="73" t="e">
        <f>'LDB-10'!V112</f>
        <v>#VALUE!</v>
      </c>
      <c r="D33" s="74" t="e">
        <f>'LDB-10'!W112</f>
        <v>#VALUE!</v>
      </c>
      <c r="E33" s="75" t="e">
        <f>'LDB-10'!X112</f>
        <v>#VALUE!</v>
      </c>
      <c r="F33" s="76" t="e">
        <f>'LDB-10'!S112</f>
        <v>#DIV/0!</v>
      </c>
      <c r="G33" s="82" t="e">
        <f>'LDB-10'!T112</f>
        <v>#DIV/0!</v>
      </c>
      <c r="H33" s="73" t="e">
        <f>'LDB-10'!AM112</f>
        <v>#VALUE!</v>
      </c>
      <c r="I33" s="74" t="e">
        <f>'LDB-10'!AN112</f>
        <v>#VALUE!</v>
      </c>
      <c r="J33" s="75" t="e">
        <f>'LDB-10'!AO112</f>
        <v>#VALUE!</v>
      </c>
      <c r="K33" s="76" t="e">
        <f>'LDB-10'!AJ112</f>
        <v>#DIV/0!</v>
      </c>
      <c r="L33" s="77" t="e">
        <f>'LDB-10'!AK112</f>
        <v>#DIV/0!</v>
      </c>
      <c r="M33" s="26"/>
    </row>
    <row r="34" spans="2:15" ht="12.75" customHeight="1" thickBot="1" x14ac:dyDescent="0.25">
      <c r="B34" s="105" t="s">
        <v>419</v>
      </c>
      <c r="C34" s="68" t="e">
        <f>'LDB-10'!V114</f>
        <v>#VALUE!</v>
      </c>
      <c r="D34" s="69" t="e">
        <f>'LDB-10'!W114</f>
        <v>#VALUE!</v>
      </c>
      <c r="E34" s="70" t="e">
        <f>'LDB-10'!X114</f>
        <v>#VALUE!</v>
      </c>
      <c r="F34" s="71" t="e">
        <f>'LDB-10'!S114</f>
        <v>#DIV/0!</v>
      </c>
      <c r="G34" s="83" t="e">
        <f>'LDB-10'!T114</f>
        <v>#DIV/0!</v>
      </c>
      <c r="H34" s="68" t="e">
        <f>'LDB-10'!AM114</f>
        <v>#VALUE!</v>
      </c>
      <c r="I34" s="69" t="e">
        <f>'LDB-10'!AN114</f>
        <v>#VALUE!</v>
      </c>
      <c r="J34" s="70" t="e">
        <f>'LDB-10'!AO114</f>
        <v>#VALUE!</v>
      </c>
      <c r="K34" s="71" t="e">
        <f>'LDB-10'!AJ114</f>
        <v>#DIV/0!</v>
      </c>
      <c r="L34" s="72" t="e">
        <f>'LDB-10'!AK114</f>
        <v>#DIV/0!</v>
      </c>
      <c r="M34" s="26"/>
    </row>
    <row r="35" spans="2:15" ht="12.75" customHeight="1" x14ac:dyDescent="0.2">
      <c r="B35" s="107" t="str">
        <f>B11</f>
        <v>Class D</v>
      </c>
      <c r="C35" s="68" t="e">
        <f>'LDB-10'!V111</f>
        <v>#VALUE!</v>
      </c>
      <c r="D35" s="69" t="e">
        <f>'LDB-10'!W111</f>
        <v>#VALUE!</v>
      </c>
      <c r="E35" s="70" t="e">
        <f>'LDB-10'!X111</f>
        <v>#VALUE!</v>
      </c>
      <c r="F35" s="83" t="e">
        <f>'LDB-10'!S111</f>
        <v>#DIV/0!</v>
      </c>
      <c r="G35" s="72" t="e">
        <f>'LDB-10'!T111</f>
        <v>#DIV/0!</v>
      </c>
      <c r="H35" s="69" t="e">
        <f>'LDB-10'!AM111</f>
        <v>#VALUE!</v>
      </c>
      <c r="I35" s="69" t="e">
        <f>'LDB-10'!AN111</f>
        <v>#VALUE!</v>
      </c>
      <c r="J35" s="70" t="e">
        <f>'LDB-10'!AO111</f>
        <v>#VALUE!</v>
      </c>
      <c r="K35" s="83" t="e">
        <f>'LDB-10'!AJ111</f>
        <v>#DIV/0!</v>
      </c>
      <c r="L35" s="72" t="e">
        <f>'LDB-10'!AK111</f>
        <v>#DIV/0!</v>
      </c>
      <c r="M35" s="26"/>
    </row>
    <row r="36" spans="2:15" ht="12.75" customHeight="1" thickBot="1" x14ac:dyDescent="0.25">
      <c r="B36" s="63" t="str">
        <f>B12</f>
        <v>Class F (optional)</v>
      </c>
      <c r="C36" s="108" t="e">
        <f>'LDB-10'!V113</f>
        <v>#VALUE!</v>
      </c>
      <c r="D36" s="109" t="e">
        <f>'LDB-10'!W113</f>
        <v>#VALUE!</v>
      </c>
      <c r="E36" s="112" t="e">
        <f>'LDB-10'!X113</f>
        <v>#VALUE!</v>
      </c>
      <c r="F36" s="110" t="e">
        <f>'LDB-10'!S113</f>
        <v>#DIV/0!</v>
      </c>
      <c r="G36" s="111" t="e">
        <f>'LDB-10'!T113</f>
        <v>#DIV/0!</v>
      </c>
      <c r="H36" s="109" t="e">
        <f>'LDB-10'!AM113</f>
        <v>#VALUE!</v>
      </c>
      <c r="I36" s="109" t="e">
        <f>'LDB-10'!AN113</f>
        <v>#VALUE!</v>
      </c>
      <c r="J36" s="112" t="e">
        <f>'LDB-10'!AO113</f>
        <v>#VALUE!</v>
      </c>
      <c r="K36" s="110" t="e">
        <f>'LDB-10'!AJ113</f>
        <v>#DIV/0!</v>
      </c>
      <c r="L36" s="111" t="e">
        <f>'LDB-10'!AK113</f>
        <v>#DIV/0!</v>
      </c>
      <c r="M36" s="26"/>
    </row>
    <row r="37" spans="2:15" ht="12.75" customHeight="1" thickBot="1" x14ac:dyDescent="0.25"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2:15" ht="12.75" customHeight="1" thickBot="1" x14ac:dyDescent="0.25">
      <c r="C38" s="113" t="s">
        <v>73</v>
      </c>
      <c r="D38" s="114"/>
      <c r="E38" s="114"/>
      <c r="F38" s="114"/>
      <c r="G38" s="114"/>
      <c r="H38" s="114"/>
      <c r="I38" s="114"/>
      <c r="J38" s="114"/>
      <c r="K38" s="114"/>
      <c r="L38" s="115"/>
      <c r="N38" s="29"/>
      <c r="O38" s="29"/>
    </row>
    <row r="39" spans="2:15" ht="12.75" customHeight="1" x14ac:dyDescent="0.2">
      <c r="C39" s="113" t="str">
        <f>CONCATENATE("Over ", $O$3)</f>
        <v>Over VTM-1.0</v>
      </c>
      <c r="D39" s="114"/>
      <c r="E39" s="114"/>
      <c r="F39" s="114"/>
      <c r="G39" s="115"/>
      <c r="H39" s="113" t="str">
        <f>CONCATENATE("Over ", $O$5)</f>
        <v>Over BMS-1.0</v>
      </c>
      <c r="I39" s="114"/>
      <c r="J39" s="114"/>
      <c r="K39" s="114"/>
      <c r="L39" s="115"/>
    </row>
    <row r="40" spans="2:15" ht="12.75" customHeight="1" thickBot="1" x14ac:dyDescent="0.25">
      <c r="C40" s="63" t="s">
        <v>21</v>
      </c>
      <c r="D40" s="64" t="s">
        <v>22</v>
      </c>
      <c r="E40" s="65" t="s">
        <v>23</v>
      </c>
      <c r="F40" s="66" t="s">
        <v>42</v>
      </c>
      <c r="G40" s="67" t="s">
        <v>43</v>
      </c>
      <c r="H40" s="63" t="s">
        <v>21</v>
      </c>
      <c r="I40" s="64" t="s">
        <v>22</v>
      </c>
      <c r="J40" s="65" t="s">
        <v>23</v>
      </c>
      <c r="K40" s="66" t="s">
        <v>42</v>
      </c>
      <c r="L40" s="67" t="s">
        <v>43</v>
      </c>
    </row>
    <row r="41" spans="2:15" ht="12.75" customHeight="1" x14ac:dyDescent="0.2">
      <c r="B41" s="79" t="str">
        <f>B5</f>
        <v>Class A1</v>
      </c>
      <c r="C41" s="68"/>
      <c r="D41" s="69"/>
      <c r="E41" s="70"/>
      <c r="F41" s="71"/>
      <c r="G41" s="83"/>
      <c r="H41" s="68"/>
      <c r="I41" s="69"/>
      <c r="J41" s="70"/>
      <c r="K41" s="71"/>
      <c r="L41" s="72"/>
    </row>
    <row r="42" spans="2:15" ht="12.75" customHeight="1" x14ac:dyDescent="0.2">
      <c r="B42" s="80" t="str">
        <f>B6</f>
        <v>Class A2</v>
      </c>
      <c r="C42" s="73"/>
      <c r="D42" s="74"/>
      <c r="E42" s="75"/>
      <c r="F42" s="76"/>
      <c r="G42" s="82"/>
      <c r="H42" s="73"/>
      <c r="I42" s="74"/>
      <c r="J42" s="75"/>
      <c r="K42" s="76"/>
      <c r="L42" s="77"/>
    </row>
    <row r="43" spans="2:15" ht="12.75" customHeight="1" x14ac:dyDescent="0.2">
      <c r="B43" s="80" t="str">
        <f>B7</f>
        <v>Class B</v>
      </c>
      <c r="C43" s="73" t="e">
        <f>'LDP-10'!V109</f>
        <v>#VALUE!</v>
      </c>
      <c r="D43" s="74" t="e">
        <f>'LDP-10'!W109</f>
        <v>#VALUE!</v>
      </c>
      <c r="E43" s="75" t="e">
        <f>'LDP-10'!X109</f>
        <v>#VALUE!</v>
      </c>
      <c r="F43" s="76" t="e">
        <f>'LDP-10'!S109</f>
        <v>#DIV/0!</v>
      </c>
      <c r="G43" s="82" t="e">
        <f>'LDP-10'!T109</f>
        <v>#DIV/0!</v>
      </c>
      <c r="H43" s="73" t="e">
        <f>'LDP-10'!AM109</f>
        <v>#VALUE!</v>
      </c>
      <c r="I43" s="74" t="e">
        <f>'LDP-10'!AN109</f>
        <v>#VALUE!</v>
      </c>
      <c r="J43" s="75" t="e">
        <f>'LDP-10'!AO109</f>
        <v>#VALUE!</v>
      </c>
      <c r="K43" s="76" t="e">
        <f>'LDP-10'!AJ109</f>
        <v>#DIV/0!</v>
      </c>
      <c r="L43" s="77" t="e">
        <f>'LDP-10'!AK109</f>
        <v>#DIV/0!</v>
      </c>
    </row>
    <row r="44" spans="2:15" ht="12.75" customHeight="1" x14ac:dyDescent="0.2">
      <c r="B44" s="80" t="str">
        <f>B8</f>
        <v>Class C</v>
      </c>
      <c r="C44" s="73" t="e">
        <f>'LDP-10'!V110</f>
        <v>#VALUE!</v>
      </c>
      <c r="D44" s="74" t="e">
        <f>'LDP-10'!W110</f>
        <v>#VALUE!</v>
      </c>
      <c r="E44" s="75" t="e">
        <f>'LDP-10'!X110</f>
        <v>#VALUE!</v>
      </c>
      <c r="F44" s="76" t="e">
        <f>'LDP-10'!S110</f>
        <v>#DIV/0!</v>
      </c>
      <c r="G44" s="82" t="e">
        <f>'LDP-10'!T110</f>
        <v>#DIV/0!</v>
      </c>
      <c r="H44" s="73" t="e">
        <f>'LDP-10'!AM110</f>
        <v>#VALUE!</v>
      </c>
      <c r="I44" s="74" t="e">
        <f>'LDP-10'!AN110</f>
        <v>#VALUE!</v>
      </c>
      <c r="J44" s="75" t="e">
        <f>'LDP-10'!AO110</f>
        <v>#VALUE!</v>
      </c>
      <c r="K44" s="76" t="e">
        <f>'LDP-10'!AJ110</f>
        <v>#DIV/0!</v>
      </c>
      <c r="L44" s="77" t="e">
        <f>'LDP-10'!AK110</f>
        <v>#DIV/0!</v>
      </c>
    </row>
    <row r="45" spans="2:15" ht="12.75" customHeight="1" thickBot="1" x14ac:dyDescent="0.25">
      <c r="B45" s="80" t="str">
        <f t="shared" ref="B45" si="2">B9</f>
        <v>Class E</v>
      </c>
      <c r="C45" s="73" t="e">
        <f>'LDP-10'!V112</f>
        <v>#VALUE!</v>
      </c>
      <c r="D45" s="74" t="e">
        <f>'LDP-10'!W112</f>
        <v>#VALUE!</v>
      </c>
      <c r="E45" s="75" t="e">
        <f>'LDP-10'!X112</f>
        <v>#VALUE!</v>
      </c>
      <c r="F45" s="76" t="e">
        <f>'LDP-10'!S112</f>
        <v>#DIV/0!</v>
      </c>
      <c r="G45" s="82" t="e">
        <f>'LDP-10'!T112</f>
        <v>#DIV/0!</v>
      </c>
      <c r="H45" s="73" t="e">
        <f>'LDP-10'!AM112</f>
        <v>#VALUE!</v>
      </c>
      <c r="I45" s="74" t="e">
        <f>'LDP-10'!AN112</f>
        <v>#VALUE!</v>
      </c>
      <c r="J45" s="75" t="e">
        <f>'LDP-10'!AO112</f>
        <v>#VALUE!</v>
      </c>
      <c r="K45" s="76" t="e">
        <f>'LDP-10'!AJ112</f>
        <v>#DIV/0!</v>
      </c>
      <c r="L45" s="77" t="e">
        <f>'LDP-10'!AK112</f>
        <v>#DIV/0!</v>
      </c>
    </row>
    <row r="46" spans="2:15" ht="12.75" customHeight="1" thickBot="1" x14ac:dyDescent="0.25">
      <c r="B46" s="105" t="s">
        <v>419</v>
      </c>
      <c r="C46" s="68" t="e">
        <f>'LDP-10'!V114</f>
        <v>#VALUE!</v>
      </c>
      <c r="D46" s="69" t="e">
        <f>'LDP-10'!W114</f>
        <v>#VALUE!</v>
      </c>
      <c r="E46" s="70" t="e">
        <f>'LDP-10'!X114</f>
        <v>#VALUE!</v>
      </c>
      <c r="F46" s="71" t="e">
        <f>'LDP-10'!S114</f>
        <v>#DIV/0!</v>
      </c>
      <c r="G46" s="83" t="e">
        <f>'LDP-10'!T114</f>
        <v>#DIV/0!</v>
      </c>
      <c r="H46" s="68" t="e">
        <f>'LDP-10'!AM114</f>
        <v>#VALUE!</v>
      </c>
      <c r="I46" s="69" t="e">
        <f>'LDP-10'!AN114</f>
        <v>#VALUE!</v>
      </c>
      <c r="J46" s="70" t="e">
        <f>'LDP-10'!AO114</f>
        <v>#VALUE!</v>
      </c>
      <c r="K46" s="71" t="e">
        <f>'LDP-10'!AJ114</f>
        <v>#DIV/0!</v>
      </c>
      <c r="L46" s="72" t="e">
        <f>'LDP-10'!AK114</f>
        <v>#DIV/0!</v>
      </c>
    </row>
    <row r="47" spans="2:15" ht="12.75" customHeight="1" x14ac:dyDescent="0.2">
      <c r="B47" s="107" t="str">
        <f>B11</f>
        <v>Class D</v>
      </c>
      <c r="C47" s="68" t="e">
        <f>'LDP-10'!V111</f>
        <v>#VALUE!</v>
      </c>
      <c r="D47" s="69" t="e">
        <f>'LDP-10'!W111</f>
        <v>#VALUE!</v>
      </c>
      <c r="E47" s="70" t="e">
        <f>'LDP-10'!X111</f>
        <v>#VALUE!</v>
      </c>
      <c r="F47" s="83" t="e">
        <f>'LDP-10'!S111</f>
        <v>#DIV/0!</v>
      </c>
      <c r="G47" s="72" t="e">
        <f>'LDP-10'!T111</f>
        <v>#DIV/0!</v>
      </c>
      <c r="H47" s="69" t="e">
        <f>'LDP-10'!AM111</f>
        <v>#VALUE!</v>
      </c>
      <c r="I47" s="69" t="e">
        <f>'LDP-10'!AN111</f>
        <v>#VALUE!</v>
      </c>
      <c r="J47" s="70" t="e">
        <f>'LDP-10'!AO111</f>
        <v>#VALUE!</v>
      </c>
      <c r="K47" s="83" t="e">
        <f>'LDP-10'!AJ111</f>
        <v>#DIV/0!</v>
      </c>
      <c r="L47" s="72" t="e">
        <f>'LDP-10'!AK111</f>
        <v>#DIV/0!</v>
      </c>
    </row>
    <row r="48" spans="2:15" ht="12.75" customHeight="1" thickBot="1" x14ac:dyDescent="0.25">
      <c r="B48" s="63" t="str">
        <f>B12</f>
        <v>Class F (optional)</v>
      </c>
      <c r="C48" s="108" t="e">
        <f>'LDP-10'!V113</f>
        <v>#VALUE!</v>
      </c>
      <c r="D48" s="109" t="e">
        <f>'LDP-10'!W113</f>
        <v>#VALUE!</v>
      </c>
      <c r="E48" s="112" t="e">
        <f>'LDP-10'!X113</f>
        <v>#VALUE!</v>
      </c>
      <c r="F48" s="110" t="e">
        <f>'LDP-10'!S113</f>
        <v>#DIV/0!</v>
      </c>
      <c r="G48" s="111" t="e">
        <f>'LDP-10'!T113</f>
        <v>#DIV/0!</v>
      </c>
      <c r="H48" s="109" t="e">
        <f>'LDP-10'!AM113</f>
        <v>#VALUE!</v>
      </c>
      <c r="I48" s="109" t="e">
        <f>'LDP-10'!AN113</f>
        <v>#VALUE!</v>
      </c>
      <c r="J48" s="112" t="e">
        <f>'LDP-10'!AO113</f>
        <v>#VALUE!</v>
      </c>
      <c r="K48" s="110" t="e">
        <f>'LDP-10'!AJ113</f>
        <v>#DIV/0!</v>
      </c>
      <c r="L48" s="111" t="e">
        <f>'LDP-10'!AK113</f>
        <v>#DIV/0!</v>
      </c>
    </row>
  </sheetData>
  <mergeCells count="12">
    <mergeCell ref="H15:L15"/>
    <mergeCell ref="C2:L2"/>
    <mergeCell ref="H3:L3"/>
    <mergeCell ref="C14:L14"/>
    <mergeCell ref="C39:G39"/>
    <mergeCell ref="C3:G3"/>
    <mergeCell ref="C15:G15"/>
    <mergeCell ref="C27:G27"/>
    <mergeCell ref="C26:L26"/>
    <mergeCell ref="H27:L27"/>
    <mergeCell ref="C38:L38"/>
    <mergeCell ref="H39:L39"/>
  </mergeCells>
  <phoneticPr fontId="1" type="noConversion"/>
  <conditionalFormatting sqref="C9:E9 C12:E12">
    <cfRule type="cellIs" dxfId="2119" priority="339" stopIfTrue="1" operator="greaterThan">
      <formula>0.03</formula>
    </cfRule>
    <cfRule type="cellIs" dxfId="2118" priority="340" stopIfTrue="1" operator="lessThan">
      <formula>-0.03</formula>
    </cfRule>
  </conditionalFormatting>
  <conditionalFormatting sqref="C10:E10">
    <cfRule type="cellIs" dxfId="2117" priority="265" stopIfTrue="1" operator="greaterThan">
      <formula>0.03</formula>
    </cfRule>
    <cfRule type="cellIs" dxfId="2116" priority="266" stopIfTrue="1" operator="lessThan">
      <formula>-0.03</formula>
    </cfRule>
  </conditionalFormatting>
  <conditionalFormatting sqref="C5:E5 C7:E8">
    <cfRule type="cellIs" dxfId="2115" priority="263" stopIfTrue="1" operator="greaterThan">
      <formula>0.03</formula>
    </cfRule>
    <cfRule type="cellIs" dxfId="2114" priority="264" stopIfTrue="1" operator="lessThan">
      <formula>-0.03</formula>
    </cfRule>
  </conditionalFormatting>
  <conditionalFormatting sqref="H9:J9 H12:J12">
    <cfRule type="cellIs" dxfId="2113" priority="121" stopIfTrue="1" operator="greaterThan">
      <formula>0.03</formula>
    </cfRule>
    <cfRule type="cellIs" dxfId="2112" priority="122" stopIfTrue="1" operator="lessThan">
      <formula>-0.03</formula>
    </cfRule>
  </conditionalFormatting>
  <conditionalFormatting sqref="H10:J10">
    <cfRule type="cellIs" dxfId="2111" priority="119" stopIfTrue="1" operator="greaterThan">
      <formula>0.03</formula>
    </cfRule>
    <cfRule type="cellIs" dxfId="2110" priority="120" stopIfTrue="1" operator="lessThan">
      <formula>-0.03</formula>
    </cfRule>
  </conditionalFormatting>
  <conditionalFormatting sqref="H5:J5 H7:J8">
    <cfRule type="cellIs" dxfId="2109" priority="117" stopIfTrue="1" operator="greaterThan">
      <formula>0.03</formula>
    </cfRule>
    <cfRule type="cellIs" dxfId="2108" priority="118" stopIfTrue="1" operator="lessThan">
      <formula>-0.03</formula>
    </cfRule>
  </conditionalFormatting>
  <conditionalFormatting sqref="C6:E6">
    <cfRule type="cellIs" dxfId="2107" priority="79" stopIfTrue="1" operator="greaterThan">
      <formula>0.03</formula>
    </cfRule>
    <cfRule type="cellIs" dxfId="2106" priority="80" stopIfTrue="1" operator="lessThan">
      <formula>-0.03</formula>
    </cfRule>
  </conditionalFormatting>
  <conditionalFormatting sqref="H6:J6">
    <cfRule type="cellIs" dxfId="2105" priority="77" stopIfTrue="1" operator="greaterThan">
      <formula>0.03</formula>
    </cfRule>
    <cfRule type="cellIs" dxfId="2104" priority="78" stopIfTrue="1" operator="lessThan">
      <formula>-0.03</formula>
    </cfRule>
  </conditionalFormatting>
  <conditionalFormatting sqref="C21:E21 C24:E24">
    <cfRule type="cellIs" dxfId="2103" priority="63" stopIfTrue="1" operator="greaterThan">
      <formula>0.03</formula>
    </cfRule>
    <cfRule type="cellIs" dxfId="2102" priority="64" stopIfTrue="1" operator="lessThan">
      <formula>-0.03</formula>
    </cfRule>
  </conditionalFormatting>
  <conditionalFormatting sqref="C22:E22">
    <cfRule type="cellIs" dxfId="2101" priority="61" stopIfTrue="1" operator="greaterThan">
      <formula>0.03</formula>
    </cfRule>
    <cfRule type="cellIs" dxfId="2100" priority="62" stopIfTrue="1" operator="lessThan">
      <formula>-0.03</formula>
    </cfRule>
  </conditionalFormatting>
  <conditionalFormatting sqref="C17:E17 C19:E20">
    <cfRule type="cellIs" dxfId="2099" priority="59" stopIfTrue="1" operator="greaterThan">
      <formula>0.03</formula>
    </cfRule>
    <cfRule type="cellIs" dxfId="2098" priority="60" stopIfTrue="1" operator="lessThan">
      <formula>-0.03</formula>
    </cfRule>
  </conditionalFormatting>
  <conditionalFormatting sqref="H21:J21 H24:J24">
    <cfRule type="cellIs" dxfId="2097" priority="57" stopIfTrue="1" operator="greaterThan">
      <formula>0.03</formula>
    </cfRule>
    <cfRule type="cellIs" dxfId="2096" priority="58" stopIfTrue="1" operator="lessThan">
      <formula>-0.03</formula>
    </cfRule>
  </conditionalFormatting>
  <conditionalFormatting sqref="H22:J22">
    <cfRule type="cellIs" dxfId="2095" priority="55" stopIfTrue="1" operator="greaterThan">
      <formula>0.03</formula>
    </cfRule>
    <cfRule type="cellIs" dxfId="2094" priority="56" stopIfTrue="1" operator="lessThan">
      <formula>-0.03</formula>
    </cfRule>
  </conditionalFormatting>
  <conditionalFormatting sqref="H17:J17 H19:J20">
    <cfRule type="cellIs" dxfId="2093" priority="53" stopIfTrue="1" operator="greaterThan">
      <formula>0.03</formula>
    </cfRule>
    <cfRule type="cellIs" dxfId="2092" priority="54" stopIfTrue="1" operator="lessThan">
      <formula>-0.03</formula>
    </cfRule>
  </conditionalFormatting>
  <conditionalFormatting sqref="C18:E18">
    <cfRule type="cellIs" dxfId="2091" priority="51" stopIfTrue="1" operator="greaterThan">
      <formula>0.03</formula>
    </cfRule>
    <cfRule type="cellIs" dxfId="2090" priority="52" stopIfTrue="1" operator="lessThan">
      <formula>-0.03</formula>
    </cfRule>
  </conditionalFormatting>
  <conditionalFormatting sqref="H18:J18">
    <cfRule type="cellIs" dxfId="2089" priority="49" stopIfTrue="1" operator="greaterThan">
      <formula>0.03</formula>
    </cfRule>
    <cfRule type="cellIs" dxfId="2088" priority="50" stopIfTrue="1" operator="lessThan">
      <formula>-0.03</formula>
    </cfRule>
  </conditionalFormatting>
  <conditionalFormatting sqref="C33:E33 C36:E36">
    <cfRule type="cellIs" dxfId="2087" priority="47" stopIfTrue="1" operator="greaterThan">
      <formula>0.03</formula>
    </cfRule>
    <cfRule type="cellIs" dxfId="2086" priority="48" stopIfTrue="1" operator="lessThan">
      <formula>-0.03</formula>
    </cfRule>
  </conditionalFormatting>
  <conditionalFormatting sqref="C34:E34">
    <cfRule type="cellIs" dxfId="2085" priority="45" stopIfTrue="1" operator="greaterThan">
      <formula>0.03</formula>
    </cfRule>
    <cfRule type="cellIs" dxfId="2084" priority="46" stopIfTrue="1" operator="lessThan">
      <formula>-0.03</formula>
    </cfRule>
  </conditionalFormatting>
  <conditionalFormatting sqref="C29:E29 C31:E32">
    <cfRule type="cellIs" dxfId="2083" priority="43" stopIfTrue="1" operator="greaterThan">
      <formula>0.03</formula>
    </cfRule>
    <cfRule type="cellIs" dxfId="2082" priority="44" stopIfTrue="1" operator="lessThan">
      <formula>-0.03</formula>
    </cfRule>
  </conditionalFormatting>
  <conditionalFormatting sqref="H33:J33 H36:J36">
    <cfRule type="cellIs" dxfId="2081" priority="41" stopIfTrue="1" operator="greaterThan">
      <formula>0.03</formula>
    </cfRule>
    <cfRule type="cellIs" dxfId="2080" priority="42" stopIfTrue="1" operator="lessThan">
      <formula>-0.03</formula>
    </cfRule>
  </conditionalFormatting>
  <conditionalFormatting sqref="H34:J34">
    <cfRule type="cellIs" dxfId="2079" priority="39" stopIfTrue="1" operator="greaterThan">
      <formula>0.03</formula>
    </cfRule>
    <cfRule type="cellIs" dxfId="2078" priority="40" stopIfTrue="1" operator="lessThan">
      <formula>-0.03</formula>
    </cfRule>
  </conditionalFormatting>
  <conditionalFormatting sqref="H29:J29 H31:J32">
    <cfRule type="cellIs" dxfId="2077" priority="37" stopIfTrue="1" operator="greaterThan">
      <formula>0.03</formula>
    </cfRule>
    <cfRule type="cellIs" dxfId="2076" priority="38" stopIfTrue="1" operator="lessThan">
      <formula>-0.03</formula>
    </cfRule>
  </conditionalFormatting>
  <conditionalFormatting sqref="C30:E30">
    <cfRule type="cellIs" dxfId="2075" priority="35" stopIfTrue="1" operator="greaterThan">
      <formula>0.03</formula>
    </cfRule>
    <cfRule type="cellIs" dxfId="2074" priority="36" stopIfTrue="1" operator="lessThan">
      <formula>-0.03</formula>
    </cfRule>
  </conditionalFormatting>
  <conditionalFormatting sqref="H30:J30">
    <cfRule type="cellIs" dxfId="2073" priority="33" stopIfTrue="1" operator="greaterThan">
      <formula>0.03</formula>
    </cfRule>
    <cfRule type="cellIs" dxfId="2072" priority="34" stopIfTrue="1" operator="lessThan">
      <formula>-0.03</formula>
    </cfRule>
  </conditionalFormatting>
  <conditionalFormatting sqref="C45:E45 C48:E48">
    <cfRule type="cellIs" dxfId="2071" priority="31" stopIfTrue="1" operator="greaterThan">
      <formula>0.03</formula>
    </cfRule>
    <cfRule type="cellIs" dxfId="2070" priority="32" stopIfTrue="1" operator="lessThan">
      <formula>-0.03</formula>
    </cfRule>
  </conditionalFormatting>
  <conditionalFormatting sqref="C46:E46">
    <cfRule type="cellIs" dxfId="2069" priority="29" stopIfTrue="1" operator="greaterThan">
      <formula>0.03</formula>
    </cfRule>
    <cfRule type="cellIs" dxfId="2068" priority="30" stopIfTrue="1" operator="lessThan">
      <formula>-0.03</formula>
    </cfRule>
  </conditionalFormatting>
  <conditionalFormatting sqref="C41:E41 C43:E44">
    <cfRule type="cellIs" dxfId="2067" priority="27" stopIfTrue="1" operator="greaterThan">
      <formula>0.03</formula>
    </cfRule>
    <cfRule type="cellIs" dxfId="2066" priority="28" stopIfTrue="1" operator="lessThan">
      <formula>-0.03</formula>
    </cfRule>
  </conditionalFormatting>
  <conditionalFormatting sqref="H45:J45 H48:J48">
    <cfRule type="cellIs" dxfId="2065" priority="25" stopIfTrue="1" operator="greaterThan">
      <formula>0.03</formula>
    </cfRule>
    <cfRule type="cellIs" dxfId="2064" priority="26" stopIfTrue="1" operator="lessThan">
      <formula>-0.03</formula>
    </cfRule>
  </conditionalFormatting>
  <conditionalFormatting sqref="H46:J46">
    <cfRule type="cellIs" dxfId="2063" priority="23" stopIfTrue="1" operator="greaterThan">
      <formula>0.03</formula>
    </cfRule>
    <cfRule type="cellIs" dxfId="2062" priority="24" stopIfTrue="1" operator="lessThan">
      <formula>-0.03</formula>
    </cfRule>
  </conditionalFormatting>
  <conditionalFormatting sqref="H41:J41 H43:J44">
    <cfRule type="cellIs" dxfId="2061" priority="21" stopIfTrue="1" operator="greaterThan">
      <formula>0.03</formula>
    </cfRule>
    <cfRule type="cellIs" dxfId="2060" priority="22" stopIfTrue="1" operator="lessThan">
      <formula>-0.03</formula>
    </cfRule>
  </conditionalFormatting>
  <conditionalFormatting sqref="C42:E42">
    <cfRule type="cellIs" dxfId="2059" priority="19" stopIfTrue="1" operator="greaterThan">
      <formula>0.03</formula>
    </cfRule>
    <cfRule type="cellIs" dxfId="2058" priority="20" stopIfTrue="1" operator="lessThan">
      <formula>-0.03</formula>
    </cfRule>
  </conditionalFormatting>
  <conditionalFormatting sqref="H42:J42">
    <cfRule type="cellIs" dxfId="2057" priority="17" stopIfTrue="1" operator="greaterThan">
      <formula>0.03</formula>
    </cfRule>
    <cfRule type="cellIs" dxfId="2056" priority="18" stopIfTrue="1" operator="lessThan">
      <formula>-0.03</formula>
    </cfRule>
  </conditionalFormatting>
  <conditionalFormatting sqref="C11:E11">
    <cfRule type="cellIs" dxfId="2055" priority="15" stopIfTrue="1" operator="greaterThan">
      <formula>0.03</formula>
    </cfRule>
    <cfRule type="cellIs" dxfId="2054" priority="16" stopIfTrue="1" operator="lessThan">
      <formula>-0.03</formula>
    </cfRule>
  </conditionalFormatting>
  <conditionalFormatting sqref="H11:J11">
    <cfRule type="cellIs" dxfId="2053" priority="13" stopIfTrue="1" operator="greaterThan">
      <formula>0.03</formula>
    </cfRule>
    <cfRule type="cellIs" dxfId="2052" priority="14" stopIfTrue="1" operator="lessThan">
      <formula>-0.03</formula>
    </cfRule>
  </conditionalFormatting>
  <conditionalFormatting sqref="C23:E23">
    <cfRule type="cellIs" dxfId="2051" priority="11" stopIfTrue="1" operator="greaterThan">
      <formula>0.03</formula>
    </cfRule>
    <cfRule type="cellIs" dxfId="2050" priority="12" stopIfTrue="1" operator="lessThan">
      <formula>-0.03</formula>
    </cfRule>
  </conditionalFormatting>
  <conditionalFormatting sqref="H23:J23">
    <cfRule type="cellIs" dxfId="2049" priority="9" stopIfTrue="1" operator="greaterThan">
      <formula>0.03</formula>
    </cfRule>
    <cfRule type="cellIs" dxfId="2048" priority="10" stopIfTrue="1" operator="lessThan">
      <formula>-0.03</formula>
    </cfRule>
  </conditionalFormatting>
  <conditionalFormatting sqref="C35:E35">
    <cfRule type="cellIs" dxfId="2047" priority="7" stopIfTrue="1" operator="greaterThan">
      <formula>0.03</formula>
    </cfRule>
    <cfRule type="cellIs" dxfId="2046" priority="8" stopIfTrue="1" operator="lessThan">
      <formula>-0.03</formula>
    </cfRule>
  </conditionalFormatting>
  <conditionalFormatting sqref="H35:J35">
    <cfRule type="cellIs" dxfId="2045" priority="5" stopIfTrue="1" operator="greaterThan">
      <formula>0.03</formula>
    </cfRule>
    <cfRule type="cellIs" dxfId="2044" priority="6" stopIfTrue="1" operator="lessThan">
      <formula>-0.03</formula>
    </cfRule>
  </conditionalFormatting>
  <conditionalFormatting sqref="C47:E47">
    <cfRule type="cellIs" dxfId="2043" priority="3" stopIfTrue="1" operator="greaterThan">
      <formula>0.03</formula>
    </cfRule>
    <cfRule type="cellIs" dxfId="2042" priority="4" stopIfTrue="1" operator="lessThan">
      <formula>-0.03</formula>
    </cfRule>
  </conditionalFormatting>
  <conditionalFormatting sqref="H47:J47">
    <cfRule type="cellIs" dxfId="2041" priority="1" stopIfTrue="1" operator="greaterThan">
      <formula>0.03</formula>
    </cfRule>
    <cfRule type="cellIs" dxfId="204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86"/>
  <sheetViews>
    <sheetView topLeftCell="S1" workbookViewId="0">
      <selection activeCell="X5" sqref="X5"/>
    </sheetView>
  </sheetViews>
  <sheetFormatPr defaultColWidth="8.875" defaultRowHeight="15.75" x14ac:dyDescent="0.25"/>
  <cols>
    <col min="2" max="2" width="21.375" customWidth="1"/>
    <col min="25" max="26" width="9" customWidth="1"/>
    <col min="27" max="27" width="16.375" style="31" bestFit="1" customWidth="1"/>
    <col min="28" max="39" width="9" customWidth="1"/>
  </cols>
  <sheetData>
    <row r="1" spans="1:43" ht="16.5" thickBot="1" x14ac:dyDescent="0.3">
      <c r="A1" t="s">
        <v>31</v>
      </c>
      <c r="AD1" t="s">
        <v>29</v>
      </c>
      <c r="AI1" t="s">
        <v>30</v>
      </c>
      <c r="AN1" t="s">
        <v>38</v>
      </c>
    </row>
    <row r="2" spans="1:43" ht="16.5" thickBot="1" x14ac:dyDescent="0.3">
      <c r="A2" s="30" t="s">
        <v>78</v>
      </c>
      <c r="B2" s="30" t="s">
        <v>420</v>
      </c>
      <c r="AD2" s="5" t="s">
        <v>14</v>
      </c>
      <c r="AE2" s="6" t="s">
        <v>15</v>
      </c>
      <c r="AF2" s="6" t="s">
        <v>16</v>
      </c>
      <c r="AG2" s="6" t="s">
        <v>17</v>
      </c>
      <c r="AI2" s="5" t="s">
        <v>14</v>
      </c>
      <c r="AJ2" s="6" t="s">
        <v>15</v>
      </c>
      <c r="AK2" s="6" t="s">
        <v>16</v>
      </c>
      <c r="AL2" s="6" t="s">
        <v>17</v>
      </c>
      <c r="AN2" s="5" t="s">
        <v>14</v>
      </c>
      <c r="AO2" s="6" t="s">
        <v>15</v>
      </c>
      <c r="AP2" s="6" t="s">
        <v>16</v>
      </c>
      <c r="AQ2" s="6" t="s">
        <v>17</v>
      </c>
    </row>
    <row r="3" spans="1:43" x14ac:dyDescent="0.25">
      <c r="Z3" t="s">
        <v>77</v>
      </c>
      <c r="AA3" t="s">
        <v>420</v>
      </c>
      <c r="AB3">
        <v>3</v>
      </c>
      <c r="AC3">
        <f>VLOOKUP(B2,AA3:AB43,2,FALSE)</f>
        <v>3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78</v>
      </c>
      <c r="AA4" t="s">
        <v>421</v>
      </c>
      <c r="AB4">
        <f>AB3+4</f>
        <v>7</v>
      </c>
      <c r="AC4">
        <f>AC3+1</f>
        <v>4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79</v>
      </c>
      <c r="AA5" t="s">
        <v>422</v>
      </c>
      <c r="AB5">
        <f t="shared" ref="AB5:AB28" si="0">AB4+4</f>
        <v>11</v>
      </c>
      <c r="AC5">
        <f>AC4+1</f>
        <v>5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80</v>
      </c>
      <c r="AA6" t="s">
        <v>423</v>
      </c>
      <c r="AB6">
        <f t="shared" si="0"/>
        <v>15</v>
      </c>
      <c r="AC6">
        <f>AC5+1</f>
        <v>6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t="s">
        <v>424</v>
      </c>
      <c r="AB7">
        <f t="shared" si="0"/>
        <v>19</v>
      </c>
    </row>
    <row r="8" spans="1:43" x14ac:dyDescent="0.25">
      <c r="AA8" t="s">
        <v>425</v>
      </c>
      <c r="AB8">
        <f t="shared" si="0"/>
        <v>23</v>
      </c>
      <c r="AD8" t="str">
        <f>"Sequence: "&amp;B2 &amp; "     Coding Conditions: " &amp; A2</f>
        <v>Sequence: Tango2     Coding Conditions: RA-10</v>
      </c>
    </row>
    <row r="9" spans="1:43" x14ac:dyDescent="0.25">
      <c r="AA9" t="s">
        <v>427</v>
      </c>
      <c r="AB9">
        <f t="shared" si="0"/>
        <v>27</v>
      </c>
    </row>
    <row r="10" spans="1:43" x14ac:dyDescent="0.25">
      <c r="AA10" t="s">
        <v>426</v>
      </c>
      <c r="AB10">
        <f t="shared" si="0"/>
        <v>31</v>
      </c>
    </row>
    <row r="11" spans="1:43" x14ac:dyDescent="0.25">
      <c r="AA11" t="s">
        <v>2</v>
      </c>
      <c r="AB11">
        <f t="shared" si="0"/>
        <v>35</v>
      </c>
      <c r="AD11" t="s">
        <v>32</v>
      </c>
      <c r="AE11" t="s">
        <v>33</v>
      </c>
      <c r="AF11" t="s">
        <v>34</v>
      </c>
      <c r="AG11" t="s">
        <v>35</v>
      </c>
    </row>
    <row r="12" spans="1:43" x14ac:dyDescent="0.25">
      <c r="AA12" t="s">
        <v>3</v>
      </c>
      <c r="AB12">
        <f t="shared" si="0"/>
        <v>39</v>
      </c>
      <c r="AD12" s="32">
        <f ca="1">MAX(AD3:AD6,AI3:AI6, AN3:AN6)</f>
        <v>0</v>
      </c>
      <c r="AE12" s="32">
        <f ca="1">MAX(AE3:AE6,AJ3:AJ6, AO3:AO6)</f>
        <v>0</v>
      </c>
      <c r="AF12" s="32">
        <f ca="1">MAX(AF3:AF6,AK3:AK6, AP3:AP6)</f>
        <v>0</v>
      </c>
      <c r="AG12" s="32">
        <f ca="1">MAX(AG3:AG6,AL3:AL6, AQ3:AQ6)</f>
        <v>0</v>
      </c>
    </row>
    <row r="13" spans="1:43" x14ac:dyDescent="0.25">
      <c r="AA13" t="s">
        <v>4</v>
      </c>
      <c r="AB13">
        <f t="shared" si="0"/>
        <v>43</v>
      </c>
      <c r="AD13" s="32">
        <f ca="1">MIN(AD3:AD6,AI3:AI6,AN3:AN6)</f>
        <v>0</v>
      </c>
      <c r="AE13" s="32">
        <f ca="1">MIN(AE3:AE6,AJ3:AJ6,AO3:AO6)</f>
        <v>0</v>
      </c>
      <c r="AF13" s="32">
        <f ca="1">MIN(AF3:AF6,AK3:AK6,AP3:AP6)</f>
        <v>0</v>
      </c>
      <c r="AG13" s="32">
        <f ca="1">MIN(AG3:AG6,AL3:AL6,AQ3:AQ6)</f>
        <v>0</v>
      </c>
    </row>
    <row r="14" spans="1:43" x14ac:dyDescent="0.25">
      <c r="AA14" t="s">
        <v>55</v>
      </c>
      <c r="AB14">
        <f t="shared" si="0"/>
        <v>47</v>
      </c>
      <c r="AD14" s="33"/>
      <c r="AE14" s="33"/>
      <c r="AF14" s="33"/>
      <c r="AG14" s="33"/>
    </row>
    <row r="15" spans="1:43" x14ac:dyDescent="0.25">
      <c r="AA15" t="s">
        <v>39</v>
      </c>
      <c r="AB15">
        <f t="shared" si="0"/>
        <v>51</v>
      </c>
      <c r="AD15" s="33">
        <f ca="1">POWER(10,CEILING(LOG(AD12+1),1))</f>
        <v>1</v>
      </c>
      <c r="AE15" s="34">
        <f ca="1">CEILING(AE12+0.25,0.5)</f>
        <v>0.5</v>
      </c>
      <c r="AF15" s="34">
        <f ca="1">CEILING(AF12+0.25,0.5)</f>
        <v>0.5</v>
      </c>
      <c r="AG15" s="34">
        <f ca="1">CEILING(AG12+0.25,0.5)</f>
        <v>0.5</v>
      </c>
    </row>
    <row r="16" spans="1:43" x14ac:dyDescent="0.25">
      <c r="AA16" t="s">
        <v>44</v>
      </c>
      <c r="AB16">
        <f t="shared" si="0"/>
        <v>55</v>
      </c>
      <c r="AD16" s="33">
        <f ca="1">POWER(10,FLOOR(LOG(AD13+10),1))</f>
        <v>10</v>
      </c>
      <c r="AE16" s="34">
        <f ca="1">FLOOR(AE13-0.25,0.5)</f>
        <v>-0.5</v>
      </c>
      <c r="AF16" s="34">
        <f ca="1">FLOOR(AF13-0.25,0.5)</f>
        <v>-0.5</v>
      </c>
      <c r="AG16" s="34">
        <f ca="1">FLOOR(AG13-0.25,0.5)</f>
        <v>-0.5</v>
      </c>
    </row>
    <row r="17" spans="27:28" x14ac:dyDescent="0.25">
      <c r="AA17" t="s">
        <v>45</v>
      </c>
      <c r="AB17">
        <f t="shared" si="0"/>
        <v>59</v>
      </c>
    </row>
    <row r="18" spans="27:28" x14ac:dyDescent="0.25">
      <c r="AA18" t="s">
        <v>58</v>
      </c>
      <c r="AB18">
        <f t="shared" si="0"/>
        <v>63</v>
      </c>
    </row>
    <row r="19" spans="27:28" x14ac:dyDescent="0.25">
      <c r="AA19" t="s">
        <v>59</v>
      </c>
      <c r="AB19">
        <f t="shared" si="0"/>
        <v>67</v>
      </c>
    </row>
    <row r="20" spans="27:28" x14ac:dyDescent="0.25">
      <c r="AA20" t="s">
        <v>60</v>
      </c>
      <c r="AB20">
        <f t="shared" si="0"/>
        <v>71</v>
      </c>
    </row>
    <row r="21" spans="27:28" x14ac:dyDescent="0.25">
      <c r="AA21" t="s">
        <v>57</v>
      </c>
      <c r="AB21">
        <f t="shared" si="0"/>
        <v>75</v>
      </c>
    </row>
    <row r="22" spans="27:28" x14ac:dyDescent="0.25">
      <c r="AA22" t="s">
        <v>61</v>
      </c>
      <c r="AB22">
        <f t="shared" si="0"/>
        <v>79</v>
      </c>
    </row>
    <row r="23" spans="27:28" x14ac:dyDescent="0.25">
      <c r="AA23" t="s">
        <v>62</v>
      </c>
      <c r="AB23">
        <f t="shared" si="0"/>
        <v>83</v>
      </c>
    </row>
    <row r="24" spans="27:28" x14ac:dyDescent="0.25">
      <c r="AA24" t="s">
        <v>63</v>
      </c>
      <c r="AB24">
        <f t="shared" si="0"/>
        <v>87</v>
      </c>
    </row>
    <row r="25" spans="27:28" x14ac:dyDescent="0.25">
      <c r="AA25" t="s">
        <v>64</v>
      </c>
      <c r="AB25">
        <f t="shared" si="0"/>
        <v>91</v>
      </c>
    </row>
    <row r="26" spans="27:28" x14ac:dyDescent="0.25">
      <c r="AA26" t="s">
        <v>65</v>
      </c>
      <c r="AB26">
        <f t="shared" si="0"/>
        <v>95</v>
      </c>
    </row>
    <row r="27" spans="27:28" x14ac:dyDescent="0.25">
      <c r="AA27" t="s">
        <v>66</v>
      </c>
      <c r="AB27">
        <f t="shared" si="0"/>
        <v>99</v>
      </c>
    </row>
    <row r="28" spans="27:28" x14ac:dyDescent="0.25">
      <c r="AA28" t="s">
        <v>67</v>
      </c>
      <c r="AB28">
        <f t="shared" si="0"/>
        <v>103</v>
      </c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117"/>
  <sheetViews>
    <sheetView workbookViewId="0">
      <selection activeCell="D11" sqref="D11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28" width="10.875" style="1"/>
    <col min="29" max="29" width="9.875" style="1" customWidth="1"/>
    <col min="30" max="32" width="6.875" style="1" customWidth="1"/>
    <col min="33" max="35" width="8.875" style="1" customWidth="1"/>
    <col min="36" max="37" width="5.125" style="1" customWidth="1"/>
    <col min="38" max="38" width="4.625" style="1" customWidth="1"/>
    <col min="39" max="44" width="8.875" style="1" customWidth="1"/>
    <col min="45" max="16384" width="10.875" style="1"/>
  </cols>
  <sheetData>
    <row r="1" spans="1:44" ht="12.75" thickBot="1" x14ac:dyDescent="0.25">
      <c r="D1" s="116" t="s">
        <v>12</v>
      </c>
      <c r="E1" s="117"/>
      <c r="F1" s="117"/>
      <c r="G1" s="117"/>
      <c r="H1" s="117"/>
      <c r="I1" s="117"/>
      <c r="J1" s="118"/>
      <c r="L1" s="116" t="s">
        <v>13</v>
      </c>
      <c r="M1" s="117"/>
      <c r="N1" s="117"/>
      <c r="O1" s="117"/>
      <c r="P1" s="117"/>
      <c r="Q1" s="117"/>
      <c r="R1" s="118"/>
      <c r="S1" s="38"/>
      <c r="T1" s="38"/>
      <c r="U1" s="2"/>
      <c r="V1" s="116" t="s">
        <v>24</v>
      </c>
      <c r="W1" s="117"/>
      <c r="X1" s="118"/>
      <c r="Y1" s="116" t="s">
        <v>25</v>
      </c>
      <c r="Z1" s="117"/>
      <c r="AA1" s="118"/>
      <c r="AC1" s="116" t="s">
        <v>37</v>
      </c>
      <c r="AD1" s="117"/>
      <c r="AE1" s="117"/>
      <c r="AF1" s="117"/>
      <c r="AG1" s="117"/>
      <c r="AH1" s="117"/>
      <c r="AI1" s="118"/>
      <c r="AJ1" s="38"/>
      <c r="AK1" s="38"/>
      <c r="AM1" s="116" t="s">
        <v>24</v>
      </c>
      <c r="AN1" s="117"/>
      <c r="AO1" s="118"/>
      <c r="AP1" s="116" t="s">
        <v>25</v>
      </c>
      <c r="AQ1" s="117"/>
      <c r="AR1" s="118"/>
    </row>
    <row r="2" spans="1:44" ht="12.75" thickBot="1" x14ac:dyDescent="0.25">
      <c r="A2" s="58"/>
      <c r="B2" s="54"/>
      <c r="C2" s="53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68</v>
      </c>
      <c r="T2" s="7" t="s">
        <v>69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  <c r="AC2" s="8" t="s">
        <v>14</v>
      </c>
      <c r="AD2" s="9" t="s">
        <v>15</v>
      </c>
      <c r="AE2" s="9" t="s">
        <v>16</v>
      </c>
      <c r="AF2" s="9" t="s">
        <v>17</v>
      </c>
      <c r="AG2" s="9" t="s">
        <v>18</v>
      </c>
      <c r="AH2" s="9" t="s">
        <v>19</v>
      </c>
      <c r="AI2" s="10" t="s">
        <v>20</v>
      </c>
      <c r="AJ2" s="7" t="s">
        <v>68</v>
      </c>
      <c r="AK2" s="7" t="s">
        <v>69</v>
      </c>
      <c r="AM2" s="8" t="s">
        <v>21</v>
      </c>
      <c r="AN2" s="9" t="s">
        <v>22</v>
      </c>
      <c r="AO2" s="10" t="s">
        <v>23</v>
      </c>
      <c r="AP2" s="8" t="s">
        <v>21</v>
      </c>
      <c r="AQ2" s="9" t="s">
        <v>22</v>
      </c>
      <c r="AR2" s="10" t="s">
        <v>23</v>
      </c>
    </row>
    <row r="3" spans="1:44" x14ac:dyDescent="0.2">
      <c r="A3" s="11" t="s">
        <v>75</v>
      </c>
      <c r="B3" s="11" t="s">
        <v>420</v>
      </c>
      <c r="C3" s="11">
        <v>22</v>
      </c>
      <c r="D3" s="12">
        <f>TM!B1</f>
        <v>0</v>
      </c>
      <c r="E3" s="13">
        <f>TM!C1</f>
        <v>0</v>
      </c>
      <c r="F3" s="13">
        <f>TM!D1</f>
        <v>0</v>
      </c>
      <c r="G3" s="13">
        <f>TM!E1</f>
        <v>0</v>
      </c>
      <c r="H3" s="13">
        <f>TM!F1</f>
        <v>0</v>
      </c>
      <c r="I3" s="13">
        <f>TM!G1</f>
        <v>0</v>
      </c>
      <c r="J3" s="14">
        <f>H3/3600</f>
        <v>0</v>
      </c>
      <c r="L3" s="12">
        <f>Test!B1</f>
        <v>0</v>
      </c>
      <c r="M3" s="13">
        <f>Test!C1</f>
        <v>0</v>
      </c>
      <c r="N3" s="13">
        <f>Test!D1</f>
        <v>0</v>
      </c>
      <c r="O3" s="13">
        <f>Test!E1</f>
        <v>0</v>
      </c>
      <c r="P3" s="13">
        <f>Test!F1</f>
        <v>0</v>
      </c>
      <c r="Q3" s="13">
        <f>Test!G1</f>
        <v>0</v>
      </c>
      <c r="R3" s="14">
        <f>P3/3600</f>
        <v>0</v>
      </c>
      <c r="S3" s="13" t="e">
        <f>P3/H3</f>
        <v>#DIV/0!</v>
      </c>
      <c r="T3" s="13" t="e">
        <f>Q3/I3</f>
        <v>#DIV/0!</v>
      </c>
      <c r="U3" s="59"/>
      <c r="V3" s="42" t="e">
        <f>bdrate($D3:$D6,E3:E6,$L3:$L6,M3:M6)</f>
        <v>#VALUE!</v>
      </c>
      <c r="W3" s="47" t="e">
        <f>bdrate($D3:$D6,F3:F6,$L3:$L6,N3:N6)</f>
        <v>#VALUE!</v>
      </c>
      <c r="X3" s="48" t="e">
        <f>bdrate($D3:$D6,G3:G6,$L3:$L6,O3:O6)</f>
        <v>#VALUE!</v>
      </c>
      <c r="Y3" s="42" t="e">
        <f>bdrateOld($D3:$D6,E3:E6,$L3:$L6,M3:M6)</f>
        <v>#VALUE!</v>
      </c>
      <c r="Z3" s="47" t="e">
        <f>bdrateOld($D3:$D6,F3:F6,$L3:$L6,N3:N6)</f>
        <v>#VALUE!</v>
      </c>
      <c r="AA3" s="48" t="e">
        <f>bdrateOld($D3:$D6,G3:G6,$L3:$L6,O3:O6)</f>
        <v>#VALUE!</v>
      </c>
      <c r="AB3" s="54"/>
      <c r="AC3" s="12">
        <f>BMS!B1</f>
        <v>0</v>
      </c>
      <c r="AD3" s="13">
        <f>BMS!C1</f>
        <v>0</v>
      </c>
      <c r="AE3" s="13">
        <f>BMS!D1</f>
        <v>0</v>
      </c>
      <c r="AF3" s="13">
        <f>BMS!E1</f>
        <v>0</v>
      </c>
      <c r="AG3" s="13">
        <f>BMS!F1</f>
        <v>0</v>
      </c>
      <c r="AH3" s="13">
        <f>BMS!G1</f>
        <v>0</v>
      </c>
      <c r="AI3" s="14">
        <f>AG3/3600</f>
        <v>0</v>
      </c>
      <c r="AJ3" s="13" t="e">
        <f>R3/AI3</f>
        <v>#DIV/0!</v>
      </c>
      <c r="AK3" s="13" t="e">
        <f>Q3/AH3</f>
        <v>#DIV/0!</v>
      </c>
      <c r="AL3" s="54"/>
      <c r="AM3" s="42" t="e">
        <f>bdrate($AC3:$AC6,AD3:AD6,$L3:$L6, M3:M6)</f>
        <v>#VALUE!</v>
      </c>
      <c r="AN3" s="47" t="e">
        <f>bdrate($AC3:$AC6,AE3:AE6,$L3:$L6, N3:N6)</f>
        <v>#VALUE!</v>
      </c>
      <c r="AO3" s="48" t="e">
        <f>bdrate($AC3:$AC6,AF3:AF6,$L3:$L6, O3:O6)</f>
        <v>#VALUE!</v>
      </c>
      <c r="AP3" s="42" t="e">
        <f>bdrateOld($AC3:$AC6,AD3:AD6,$L3:$L6, M3:M6)</f>
        <v>#VALUE!</v>
      </c>
      <c r="AQ3" s="47" t="e">
        <f>bdrateOld($AC3:$AC6,AE3:AE6,$L3:$L6, N3:N6)</f>
        <v>#VALUE!</v>
      </c>
      <c r="AR3" s="48" t="e">
        <f>bdrateOld($AC3:$AC6,AF3:AF6,$L3:$L6, O3:O6)</f>
        <v>#VALUE!</v>
      </c>
    </row>
    <row r="4" spans="1:44" x14ac:dyDescent="0.2">
      <c r="A4" s="16" t="s">
        <v>48</v>
      </c>
      <c r="B4" s="16"/>
      <c r="C4" s="16">
        <v>27</v>
      </c>
      <c r="D4" s="17">
        <f>TM!B2</f>
        <v>0</v>
      </c>
      <c r="E4" s="18">
        <f>TM!C2</f>
        <v>0</v>
      </c>
      <c r="F4" s="18">
        <f>TM!D2</f>
        <v>0</v>
      </c>
      <c r="G4" s="18">
        <f>TM!E2</f>
        <v>0</v>
      </c>
      <c r="H4" s="18">
        <f>TM!F2</f>
        <v>0</v>
      </c>
      <c r="I4" s="18">
        <f>TM!G2</f>
        <v>0</v>
      </c>
      <c r="J4" s="19">
        <f t="shared" ref="J4:J14" si="0">H4/3600</f>
        <v>0</v>
      </c>
      <c r="L4" s="17">
        <f>Test!B2</f>
        <v>0</v>
      </c>
      <c r="M4" s="18">
        <f>Test!C2</f>
        <v>0</v>
      </c>
      <c r="N4" s="18">
        <f>Test!D2</f>
        <v>0</v>
      </c>
      <c r="O4" s="18">
        <f>Test!E2</f>
        <v>0</v>
      </c>
      <c r="P4" s="18">
        <f>Test!F2</f>
        <v>0</v>
      </c>
      <c r="Q4" s="18">
        <f>Test!G2</f>
        <v>0</v>
      </c>
      <c r="R4" s="19">
        <f t="shared" ref="R4:R14" si="1">P4/3600</f>
        <v>0</v>
      </c>
      <c r="S4" s="18" t="e">
        <f t="shared" ref="S4:T14" si="2">P4/H4</f>
        <v>#DIV/0!</v>
      </c>
      <c r="T4" s="18" t="e">
        <f t="shared" si="2"/>
        <v>#DIV/0!</v>
      </c>
      <c r="U4" s="60"/>
      <c r="V4" s="43"/>
      <c r="W4" s="26"/>
      <c r="X4" s="55"/>
      <c r="Y4" s="43"/>
      <c r="Z4" s="26"/>
      <c r="AA4" s="55"/>
      <c r="AB4" s="20"/>
      <c r="AC4" s="17">
        <f>BMS!B2</f>
        <v>0</v>
      </c>
      <c r="AD4" s="18">
        <f>BMS!C2</f>
        <v>0</v>
      </c>
      <c r="AE4" s="18">
        <f>BMS!D2</f>
        <v>0</v>
      </c>
      <c r="AF4" s="18">
        <f>BMS!E2</f>
        <v>0</v>
      </c>
      <c r="AG4" s="18">
        <f>BMS!F2</f>
        <v>0</v>
      </c>
      <c r="AH4" s="18">
        <f>BMS!G2</f>
        <v>0</v>
      </c>
      <c r="AI4" s="19">
        <f t="shared" ref="AI4:AI14" si="3">AG4/3600</f>
        <v>0</v>
      </c>
      <c r="AJ4" s="18" t="e">
        <f t="shared" ref="AJ4:AJ14" si="4">R4/AI4</f>
        <v>#DIV/0!</v>
      </c>
      <c r="AK4" s="18" t="e">
        <f t="shared" ref="AK4:AK14" si="5">Q4/AH4</f>
        <v>#DIV/0!</v>
      </c>
      <c r="AL4" s="20"/>
      <c r="AM4" s="43"/>
      <c r="AN4" s="26"/>
      <c r="AO4" s="55"/>
      <c r="AP4" s="43"/>
      <c r="AQ4" s="26"/>
      <c r="AR4" s="55"/>
    </row>
    <row r="5" spans="1:44" x14ac:dyDescent="0.2">
      <c r="A5" s="16"/>
      <c r="B5" s="16"/>
      <c r="C5" s="16">
        <v>32</v>
      </c>
      <c r="D5" s="17">
        <f>TM!B3</f>
        <v>0</v>
      </c>
      <c r="E5" s="18">
        <f>TM!C3</f>
        <v>0</v>
      </c>
      <c r="F5" s="18">
        <f>TM!D3</f>
        <v>0</v>
      </c>
      <c r="G5" s="18">
        <f>TM!E3</f>
        <v>0</v>
      </c>
      <c r="H5" s="18">
        <f>TM!F3</f>
        <v>0</v>
      </c>
      <c r="I5" s="18">
        <f>TM!G3</f>
        <v>0</v>
      </c>
      <c r="J5" s="19">
        <f t="shared" si="0"/>
        <v>0</v>
      </c>
      <c r="L5" s="17">
        <f>Test!B3</f>
        <v>0</v>
      </c>
      <c r="M5" s="18">
        <f>Test!C3</f>
        <v>0</v>
      </c>
      <c r="N5" s="18">
        <f>Test!D3</f>
        <v>0</v>
      </c>
      <c r="O5" s="18">
        <f>Test!E3</f>
        <v>0</v>
      </c>
      <c r="P5" s="18">
        <f>Test!F3</f>
        <v>0</v>
      </c>
      <c r="Q5" s="18">
        <f>Test!G3</f>
        <v>0</v>
      </c>
      <c r="R5" s="19">
        <f t="shared" si="1"/>
        <v>0</v>
      </c>
      <c r="S5" s="18" t="e">
        <f t="shared" si="2"/>
        <v>#DIV/0!</v>
      </c>
      <c r="T5" s="18" t="e">
        <f t="shared" si="2"/>
        <v>#DIV/0!</v>
      </c>
      <c r="U5" s="60"/>
      <c r="V5" s="43"/>
      <c r="W5" s="26"/>
      <c r="X5" s="55"/>
      <c r="Y5" s="43"/>
      <c r="Z5" s="26"/>
      <c r="AA5" s="55"/>
      <c r="AB5" s="20"/>
      <c r="AC5" s="17">
        <f>BMS!B3</f>
        <v>0</v>
      </c>
      <c r="AD5" s="18">
        <f>BMS!C3</f>
        <v>0</v>
      </c>
      <c r="AE5" s="18">
        <f>BMS!D3</f>
        <v>0</v>
      </c>
      <c r="AF5" s="18">
        <f>BMS!E3</f>
        <v>0</v>
      </c>
      <c r="AG5" s="18">
        <f>BMS!F3</f>
        <v>0</v>
      </c>
      <c r="AH5" s="18">
        <f>BMS!G3</f>
        <v>0</v>
      </c>
      <c r="AI5" s="19">
        <f t="shared" si="3"/>
        <v>0</v>
      </c>
      <c r="AJ5" s="18" t="e">
        <f t="shared" si="4"/>
        <v>#DIV/0!</v>
      </c>
      <c r="AK5" s="18" t="e">
        <f t="shared" si="5"/>
        <v>#DIV/0!</v>
      </c>
      <c r="AL5" s="20"/>
      <c r="AM5" s="43"/>
      <c r="AN5" s="26"/>
      <c r="AO5" s="55"/>
      <c r="AP5" s="43"/>
      <c r="AQ5" s="26"/>
      <c r="AR5" s="55"/>
    </row>
    <row r="6" spans="1:44" ht="12.75" thickBot="1" x14ac:dyDescent="0.25">
      <c r="A6" s="16"/>
      <c r="B6" s="21"/>
      <c r="C6" s="21">
        <v>37</v>
      </c>
      <c r="D6" s="22">
        <f>TM!B4</f>
        <v>0</v>
      </c>
      <c r="E6" s="23">
        <f>TM!C4</f>
        <v>0</v>
      </c>
      <c r="F6" s="23">
        <f>TM!D4</f>
        <v>0</v>
      </c>
      <c r="G6" s="23">
        <f>TM!E4</f>
        <v>0</v>
      </c>
      <c r="H6" s="23">
        <f>TM!F4</f>
        <v>0</v>
      </c>
      <c r="I6" s="23">
        <f>TM!G4</f>
        <v>0</v>
      </c>
      <c r="J6" s="24">
        <f t="shared" si="0"/>
        <v>0</v>
      </c>
      <c r="L6" s="22">
        <f>Test!B4</f>
        <v>0</v>
      </c>
      <c r="M6" s="23">
        <f>Test!C4</f>
        <v>0</v>
      </c>
      <c r="N6" s="23">
        <f>Test!D4</f>
        <v>0</v>
      </c>
      <c r="O6" s="23">
        <f>Test!E4</f>
        <v>0</v>
      </c>
      <c r="P6" s="23">
        <f>Test!F4</f>
        <v>0</v>
      </c>
      <c r="Q6" s="23">
        <f>Test!G4</f>
        <v>0</v>
      </c>
      <c r="R6" s="24">
        <f t="shared" si="1"/>
        <v>0</v>
      </c>
      <c r="S6" s="18" t="e">
        <f t="shared" si="2"/>
        <v>#DIV/0!</v>
      </c>
      <c r="T6" s="18" t="e">
        <f t="shared" si="2"/>
        <v>#DIV/0!</v>
      </c>
      <c r="U6" s="60"/>
      <c r="V6" s="44"/>
      <c r="W6" s="56"/>
      <c r="X6" s="57"/>
      <c r="Y6" s="44"/>
      <c r="Z6" s="56"/>
      <c r="AA6" s="57"/>
      <c r="AB6" s="20"/>
      <c r="AC6" s="22">
        <f>BMS!B4</f>
        <v>0</v>
      </c>
      <c r="AD6" s="23">
        <f>BMS!C4</f>
        <v>0</v>
      </c>
      <c r="AE6" s="23">
        <f>BMS!D4</f>
        <v>0</v>
      </c>
      <c r="AF6" s="23">
        <f>BMS!E4</f>
        <v>0</v>
      </c>
      <c r="AG6" s="23">
        <f>BMS!F4</f>
        <v>0</v>
      </c>
      <c r="AH6" s="23">
        <f>BMS!G4</f>
        <v>0</v>
      </c>
      <c r="AI6" s="24">
        <f t="shared" si="3"/>
        <v>0</v>
      </c>
      <c r="AJ6" s="18" t="e">
        <f t="shared" si="4"/>
        <v>#DIV/0!</v>
      </c>
      <c r="AK6" s="18" t="e">
        <f t="shared" si="5"/>
        <v>#DIV/0!</v>
      </c>
      <c r="AL6" s="20"/>
      <c r="AM6" s="44"/>
      <c r="AN6" s="56"/>
      <c r="AO6" s="57"/>
      <c r="AP6" s="44"/>
      <c r="AQ6" s="56"/>
      <c r="AR6" s="57"/>
    </row>
    <row r="7" spans="1:44" x14ac:dyDescent="0.2">
      <c r="A7" s="16"/>
      <c r="B7" s="11" t="s">
        <v>421</v>
      </c>
      <c r="C7" s="11">
        <v>22</v>
      </c>
      <c r="D7" s="12">
        <f>TM!B5</f>
        <v>0</v>
      </c>
      <c r="E7" s="13">
        <f>TM!C5</f>
        <v>0</v>
      </c>
      <c r="F7" s="13">
        <f>TM!D5</f>
        <v>0</v>
      </c>
      <c r="G7" s="13">
        <f>TM!E5</f>
        <v>0</v>
      </c>
      <c r="H7" s="13">
        <f>TM!F5</f>
        <v>0</v>
      </c>
      <c r="I7" s="13">
        <f>TM!G5</f>
        <v>0</v>
      </c>
      <c r="J7" s="14">
        <f t="shared" si="0"/>
        <v>0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4">
        <f t="shared" si="1"/>
        <v>0</v>
      </c>
      <c r="S7" s="18" t="e">
        <f t="shared" si="2"/>
        <v>#DIV/0!</v>
      </c>
      <c r="T7" s="18" t="e">
        <f t="shared" si="2"/>
        <v>#DIV/0!</v>
      </c>
      <c r="U7" s="60"/>
      <c r="V7" s="42" t="e">
        <f>bdrate($D7:$D10,E7:E10,$L7:$L10,M7:M10)</f>
        <v>#VALUE!</v>
      </c>
      <c r="W7" s="47" t="e">
        <f>bdrate($D7:$D10,F7:F10,$L7:$L10,N7:N10)</f>
        <v>#VALUE!</v>
      </c>
      <c r="X7" s="47" t="e">
        <f>bdrate($D7:$D10,G7:G10,$L7:$L10,O7:O10)</f>
        <v>#VALUE!</v>
      </c>
      <c r="Y7" s="45" t="e">
        <f>bdrateOld($D7:$D10,E7:E10,$L7:$L10,M7:M10)</f>
        <v>#VALUE!</v>
      </c>
      <c r="Z7" s="49" t="e">
        <f>bdrateOld($D7:$D10,F7:F10,$L7:$L10,N7:N10)</f>
        <v>#VALUE!</v>
      </c>
      <c r="AA7" s="50" t="e">
        <f>bdrateOld($D7:$D10,G7:G10,$L7:$L10,O7:O10)</f>
        <v>#VALUE!</v>
      </c>
      <c r="AB7" s="20"/>
      <c r="AC7" s="12">
        <f>BMS!B5</f>
        <v>0</v>
      </c>
      <c r="AD7" s="13">
        <f>BMS!C5</f>
        <v>0</v>
      </c>
      <c r="AE7" s="13">
        <f>BMS!D5</f>
        <v>0</v>
      </c>
      <c r="AF7" s="13">
        <f>BMS!E5</f>
        <v>0</v>
      </c>
      <c r="AG7" s="13">
        <f>BMS!F5</f>
        <v>0</v>
      </c>
      <c r="AH7" s="13">
        <f>BMS!G5</f>
        <v>0</v>
      </c>
      <c r="AI7" s="14">
        <f t="shared" si="3"/>
        <v>0</v>
      </c>
      <c r="AJ7" s="18" t="e">
        <f t="shared" si="4"/>
        <v>#DIV/0!</v>
      </c>
      <c r="AK7" s="18" t="e">
        <f t="shared" si="5"/>
        <v>#DIV/0!</v>
      </c>
      <c r="AL7" s="20"/>
      <c r="AM7" s="42" t="e">
        <f>bdrate($AC7:$AC10,AD7:AD10,$L7:$L10, M7:M10)</f>
        <v>#VALUE!</v>
      </c>
      <c r="AN7" s="47" t="e">
        <f>bdrate($AC7:$AC10,AE7:AE10,$L7:$L10, N7:N10)</f>
        <v>#VALUE!</v>
      </c>
      <c r="AO7" s="48" t="e">
        <f>bdrate($AC7:$AC10,AF7:AF10,$L7:$L10, O7:O10)</f>
        <v>#VALUE!</v>
      </c>
      <c r="AP7" s="42" t="e">
        <f>bdrateOld($AC7:$AC10,AD7:AD10,$L7:$L10, M7:M10)</f>
        <v>#VALUE!</v>
      </c>
      <c r="AQ7" s="47" t="e">
        <f>bdrateOld($AC7:$AC10,AE7:AE10,$L7:$L10, N7:N10)</f>
        <v>#VALUE!</v>
      </c>
      <c r="AR7" s="48" t="e">
        <f>bdrateOld($AC7:$AC10,AF7:AF10,$L7:$L10, O7:O10)</f>
        <v>#VALUE!</v>
      </c>
    </row>
    <row r="8" spans="1:44" x14ac:dyDescent="0.2">
      <c r="A8" s="16"/>
      <c r="B8" s="16"/>
      <c r="C8" s="16">
        <v>27</v>
      </c>
      <c r="D8" s="17">
        <f>TM!B6</f>
        <v>0</v>
      </c>
      <c r="E8" s="18">
        <f>TM!C6</f>
        <v>0</v>
      </c>
      <c r="F8" s="18">
        <f>TM!D6</f>
        <v>0</v>
      </c>
      <c r="G8" s="18">
        <f>TM!E6</f>
        <v>0</v>
      </c>
      <c r="H8" s="18">
        <f>TM!F6</f>
        <v>0</v>
      </c>
      <c r="I8" s="18">
        <f>TM!G6</f>
        <v>0</v>
      </c>
      <c r="J8" s="19">
        <f t="shared" si="0"/>
        <v>0</v>
      </c>
      <c r="L8" s="17">
        <f>Test!B6</f>
        <v>0</v>
      </c>
      <c r="M8" s="18">
        <f>Test!C6</f>
        <v>0</v>
      </c>
      <c r="N8" s="18">
        <f>Test!D6</f>
        <v>0</v>
      </c>
      <c r="O8" s="18">
        <f>Test!E6</f>
        <v>0</v>
      </c>
      <c r="P8" s="18">
        <f>Test!F6</f>
        <v>0</v>
      </c>
      <c r="Q8" s="18">
        <f>Test!G6</f>
        <v>0</v>
      </c>
      <c r="R8" s="19">
        <f t="shared" si="1"/>
        <v>0</v>
      </c>
      <c r="S8" s="18" t="e">
        <f t="shared" si="2"/>
        <v>#DIV/0!</v>
      </c>
      <c r="T8" s="18" t="e">
        <f t="shared" si="2"/>
        <v>#DIV/0!</v>
      </c>
      <c r="U8" s="60"/>
      <c r="V8" s="43"/>
      <c r="W8" s="26"/>
      <c r="X8" s="26"/>
      <c r="Y8" s="43"/>
      <c r="Z8" s="26"/>
      <c r="AA8" s="55"/>
      <c r="AB8" s="20"/>
      <c r="AC8" s="17">
        <f>BMS!B6</f>
        <v>0</v>
      </c>
      <c r="AD8" s="18">
        <f>BMS!C6</f>
        <v>0</v>
      </c>
      <c r="AE8" s="18">
        <f>BMS!D6</f>
        <v>0</v>
      </c>
      <c r="AF8" s="18">
        <f>BMS!E6</f>
        <v>0</v>
      </c>
      <c r="AG8" s="18">
        <f>BMS!F6</f>
        <v>0</v>
      </c>
      <c r="AH8" s="18">
        <f>BMS!G6</f>
        <v>0</v>
      </c>
      <c r="AI8" s="19">
        <f t="shared" si="3"/>
        <v>0</v>
      </c>
      <c r="AJ8" s="18" t="e">
        <f t="shared" si="4"/>
        <v>#DIV/0!</v>
      </c>
      <c r="AK8" s="18" t="e">
        <f t="shared" si="5"/>
        <v>#DIV/0!</v>
      </c>
      <c r="AL8" s="20"/>
      <c r="AM8" s="43"/>
      <c r="AN8" s="26"/>
      <c r="AO8" s="55"/>
      <c r="AP8" s="43"/>
      <c r="AQ8" s="26"/>
      <c r="AR8" s="55"/>
    </row>
    <row r="9" spans="1:44" x14ac:dyDescent="0.2">
      <c r="A9" s="16"/>
      <c r="B9" s="16"/>
      <c r="C9" s="16">
        <v>32</v>
      </c>
      <c r="D9" s="17">
        <f>TM!B7</f>
        <v>0</v>
      </c>
      <c r="E9" s="18">
        <f>TM!C7</f>
        <v>0</v>
      </c>
      <c r="F9" s="18">
        <f>TM!D7</f>
        <v>0</v>
      </c>
      <c r="G9" s="18">
        <f>TM!E7</f>
        <v>0</v>
      </c>
      <c r="H9" s="18">
        <f>TM!F7</f>
        <v>0</v>
      </c>
      <c r="I9" s="18">
        <f>TM!G7</f>
        <v>0</v>
      </c>
      <c r="J9" s="19">
        <f t="shared" si="0"/>
        <v>0</v>
      </c>
      <c r="L9" s="17">
        <f>Test!B7</f>
        <v>0</v>
      </c>
      <c r="M9" s="18">
        <f>Test!C7</f>
        <v>0</v>
      </c>
      <c r="N9" s="18">
        <f>Test!D7</f>
        <v>0</v>
      </c>
      <c r="O9" s="18">
        <f>Test!E7</f>
        <v>0</v>
      </c>
      <c r="P9" s="18">
        <f>Test!F7</f>
        <v>0</v>
      </c>
      <c r="Q9" s="18">
        <f>Test!G7</f>
        <v>0</v>
      </c>
      <c r="R9" s="19">
        <f t="shared" si="1"/>
        <v>0</v>
      </c>
      <c r="S9" s="18" t="e">
        <f t="shared" si="2"/>
        <v>#DIV/0!</v>
      </c>
      <c r="T9" s="18" t="e">
        <f t="shared" si="2"/>
        <v>#DIV/0!</v>
      </c>
      <c r="U9" s="60"/>
      <c r="V9" s="43"/>
      <c r="W9" s="26"/>
      <c r="X9" s="26"/>
      <c r="Y9" s="43"/>
      <c r="Z9" s="26"/>
      <c r="AA9" s="55"/>
      <c r="AB9" s="20"/>
      <c r="AC9" s="17">
        <f>BMS!B7</f>
        <v>0</v>
      </c>
      <c r="AD9" s="18">
        <f>BMS!C7</f>
        <v>0</v>
      </c>
      <c r="AE9" s="18">
        <f>BMS!D7</f>
        <v>0</v>
      </c>
      <c r="AF9" s="18">
        <f>BMS!E7</f>
        <v>0</v>
      </c>
      <c r="AG9" s="18">
        <f>BMS!F7</f>
        <v>0</v>
      </c>
      <c r="AH9" s="18">
        <f>BMS!G7</f>
        <v>0</v>
      </c>
      <c r="AI9" s="19">
        <f t="shared" si="3"/>
        <v>0</v>
      </c>
      <c r="AJ9" s="18" t="e">
        <f t="shared" si="4"/>
        <v>#DIV/0!</v>
      </c>
      <c r="AK9" s="18" t="e">
        <f t="shared" si="5"/>
        <v>#DIV/0!</v>
      </c>
      <c r="AL9" s="20"/>
      <c r="AM9" s="43"/>
      <c r="AN9" s="26"/>
      <c r="AO9" s="55"/>
      <c r="AP9" s="43"/>
      <c r="AQ9" s="26"/>
      <c r="AR9" s="55"/>
    </row>
    <row r="10" spans="1:44" ht="12.75" thickBot="1" x14ac:dyDescent="0.25">
      <c r="A10" s="16"/>
      <c r="B10" s="21"/>
      <c r="C10" s="21">
        <v>37</v>
      </c>
      <c r="D10" s="22">
        <f>TM!B8</f>
        <v>0</v>
      </c>
      <c r="E10" s="23">
        <f>TM!C8</f>
        <v>0</v>
      </c>
      <c r="F10" s="23">
        <f>TM!D8</f>
        <v>0</v>
      </c>
      <c r="G10" s="23">
        <f>TM!E8</f>
        <v>0</v>
      </c>
      <c r="H10" s="23">
        <f>TM!F8</f>
        <v>0</v>
      </c>
      <c r="I10" s="23">
        <f>TM!G8</f>
        <v>0</v>
      </c>
      <c r="J10" s="24">
        <f t="shared" si="0"/>
        <v>0</v>
      </c>
      <c r="L10" s="22">
        <f>Test!B8</f>
        <v>0</v>
      </c>
      <c r="M10" s="23">
        <f>Test!C8</f>
        <v>0</v>
      </c>
      <c r="N10" s="23">
        <f>Test!D8</f>
        <v>0</v>
      </c>
      <c r="O10" s="23">
        <f>Test!E8</f>
        <v>0</v>
      </c>
      <c r="P10" s="23">
        <f>Test!F8</f>
        <v>0</v>
      </c>
      <c r="Q10" s="23">
        <f>Test!G8</f>
        <v>0</v>
      </c>
      <c r="R10" s="24">
        <f t="shared" si="1"/>
        <v>0</v>
      </c>
      <c r="S10" s="18" t="e">
        <f t="shared" si="2"/>
        <v>#DIV/0!</v>
      </c>
      <c r="T10" s="18" t="e">
        <f t="shared" si="2"/>
        <v>#DIV/0!</v>
      </c>
      <c r="U10" s="60"/>
      <c r="V10" s="44"/>
      <c r="W10" s="56"/>
      <c r="X10" s="56"/>
      <c r="Y10" s="44"/>
      <c r="Z10" s="56"/>
      <c r="AA10" s="57"/>
      <c r="AB10" s="20"/>
      <c r="AC10" s="22">
        <f>BMS!B8</f>
        <v>0</v>
      </c>
      <c r="AD10" s="23">
        <f>BMS!C8</f>
        <v>0</v>
      </c>
      <c r="AE10" s="23">
        <f>BMS!D8</f>
        <v>0</v>
      </c>
      <c r="AF10" s="23">
        <f>BMS!E8</f>
        <v>0</v>
      </c>
      <c r="AG10" s="23">
        <f>BMS!F8</f>
        <v>0</v>
      </c>
      <c r="AH10" s="23">
        <f>BMS!G8</f>
        <v>0</v>
      </c>
      <c r="AI10" s="24">
        <f t="shared" si="3"/>
        <v>0</v>
      </c>
      <c r="AJ10" s="18" t="e">
        <f t="shared" si="4"/>
        <v>#DIV/0!</v>
      </c>
      <c r="AK10" s="18" t="e">
        <f t="shared" si="5"/>
        <v>#DIV/0!</v>
      </c>
      <c r="AL10" s="20"/>
      <c r="AM10" s="44"/>
      <c r="AN10" s="56"/>
      <c r="AO10" s="57"/>
      <c r="AP10" s="44"/>
      <c r="AQ10" s="56"/>
      <c r="AR10" s="57"/>
    </row>
    <row r="11" spans="1:44" x14ac:dyDescent="0.2">
      <c r="A11" s="36"/>
      <c r="B11" s="35" t="s">
        <v>422</v>
      </c>
      <c r="C11" s="35">
        <v>22</v>
      </c>
      <c r="D11" s="12">
        <f>TM!B9</f>
        <v>0</v>
      </c>
      <c r="E11" s="13">
        <f>TM!C9</f>
        <v>0</v>
      </c>
      <c r="F11" s="13">
        <f>TM!D9</f>
        <v>0</v>
      </c>
      <c r="G11" s="13">
        <f>TM!E9</f>
        <v>0</v>
      </c>
      <c r="H11" s="13">
        <f>TM!F9</f>
        <v>0</v>
      </c>
      <c r="I11" s="13">
        <f>TM!G9</f>
        <v>0</v>
      </c>
      <c r="J11" s="14">
        <f t="shared" si="0"/>
        <v>0</v>
      </c>
      <c r="L11" s="12">
        <f>Test!B9</f>
        <v>0</v>
      </c>
      <c r="M11" s="13">
        <f>Test!C9</f>
        <v>0</v>
      </c>
      <c r="N11" s="13">
        <f>Test!D9</f>
        <v>0</v>
      </c>
      <c r="O11" s="13">
        <f>Test!E9</f>
        <v>0</v>
      </c>
      <c r="P11" s="13">
        <f>Test!F9</f>
        <v>0</v>
      </c>
      <c r="Q11" s="13">
        <f>Test!G9</f>
        <v>0</v>
      </c>
      <c r="R11" s="14">
        <f t="shared" si="1"/>
        <v>0</v>
      </c>
      <c r="S11" s="18" t="e">
        <f t="shared" si="2"/>
        <v>#DIV/0!</v>
      </c>
      <c r="T11" s="18" t="e">
        <f t="shared" si="2"/>
        <v>#DIV/0!</v>
      </c>
      <c r="U11" s="60"/>
      <c r="V11" s="42" t="e">
        <f>bdrate($D11:$D14,E11:E14,$L11:$L14,M11:M14)</f>
        <v>#VALUE!</v>
      </c>
      <c r="W11" s="47" t="e">
        <f>bdrate($D11:$D14,F11:F14,$L11:$L14,N11:N14)</f>
        <v>#VALUE!</v>
      </c>
      <c r="X11" s="47" t="e">
        <f>bdrate($D11:$D14,G11:G14,$L11:$L14,O11:O14)</f>
        <v>#VALUE!</v>
      </c>
      <c r="Y11" s="45" t="e">
        <f>bdrateOld($D11:$D14,E11:E14,$L11:$L14,M11:M14)</f>
        <v>#VALUE!</v>
      </c>
      <c r="Z11" s="49" t="e">
        <f>bdrateOld($D11:$D14,F11:F14,$L11:$L14,N11:N14)</f>
        <v>#VALUE!</v>
      </c>
      <c r="AA11" s="50" t="e">
        <f>bdrateOld($D11:$D14,G11:G14,$L11:$L14,O11:O14)</f>
        <v>#VALUE!</v>
      </c>
      <c r="AB11" s="20"/>
      <c r="AC11" s="12">
        <f>BMS!B9</f>
        <v>0</v>
      </c>
      <c r="AD11" s="13">
        <f>BMS!C9</f>
        <v>0</v>
      </c>
      <c r="AE11" s="13">
        <f>BMS!D9</f>
        <v>0</v>
      </c>
      <c r="AF11" s="13">
        <f>BMS!E9</f>
        <v>0</v>
      </c>
      <c r="AG11" s="13">
        <f>BMS!F9</f>
        <v>0</v>
      </c>
      <c r="AH11" s="13">
        <f>BMS!G9</f>
        <v>0</v>
      </c>
      <c r="AI11" s="14">
        <f t="shared" si="3"/>
        <v>0</v>
      </c>
      <c r="AJ11" s="18" t="e">
        <f t="shared" si="4"/>
        <v>#DIV/0!</v>
      </c>
      <c r="AK11" s="18" t="e">
        <f t="shared" si="5"/>
        <v>#DIV/0!</v>
      </c>
      <c r="AL11" s="20"/>
      <c r="AM11" s="42" t="e">
        <f>bdrate($AC11:$AC14,AD11:AD14,$L11:$L14, M11:M14)</f>
        <v>#VALUE!</v>
      </c>
      <c r="AN11" s="47" t="e">
        <f>bdrate($AC11:$AC14,AE11:AE14,$L11:$L14, N11:N14)</f>
        <v>#VALUE!</v>
      </c>
      <c r="AO11" s="48" t="e">
        <f>bdrate($AC11:$AC14,AF11:AF14,$L11:$L14, O11:O14)</f>
        <v>#VALUE!</v>
      </c>
      <c r="AP11" s="42" t="e">
        <f>bdrateOld($AC11:$AC14,AD11:AD14,$L11:$L14, M11:M14)</f>
        <v>#VALUE!</v>
      </c>
      <c r="AQ11" s="47" t="e">
        <f>bdrateOld($AC11:$AC14,AE11:AE14,$L11:$L14, N11:N14)</f>
        <v>#VALUE!</v>
      </c>
      <c r="AR11" s="48" t="e">
        <f>bdrateOld($AC11:$AC14,AF11:AF14,$L11:$L14, O11:O14)</f>
        <v>#VALUE!</v>
      </c>
    </row>
    <row r="12" spans="1:44" x14ac:dyDescent="0.2">
      <c r="A12" s="36"/>
      <c r="B12" s="36"/>
      <c r="C12" s="36">
        <v>27</v>
      </c>
      <c r="D12" s="17">
        <f>TM!B10</f>
        <v>0</v>
      </c>
      <c r="E12" s="18">
        <f>TM!C10</f>
        <v>0</v>
      </c>
      <c r="F12" s="18">
        <f>TM!D10</f>
        <v>0</v>
      </c>
      <c r="G12" s="18">
        <f>TM!E10</f>
        <v>0</v>
      </c>
      <c r="H12" s="18">
        <f>TM!F10</f>
        <v>0</v>
      </c>
      <c r="I12" s="18">
        <f>TM!G10</f>
        <v>0</v>
      </c>
      <c r="J12" s="19">
        <f t="shared" si="0"/>
        <v>0</v>
      </c>
      <c r="L12" s="17">
        <f>Test!B10</f>
        <v>0</v>
      </c>
      <c r="M12" s="18">
        <f>Test!C10</f>
        <v>0</v>
      </c>
      <c r="N12" s="18">
        <f>Test!D10</f>
        <v>0</v>
      </c>
      <c r="O12" s="18">
        <f>Test!E10</f>
        <v>0</v>
      </c>
      <c r="P12" s="18">
        <f>Test!F10</f>
        <v>0</v>
      </c>
      <c r="Q12" s="18">
        <f>Test!G10</f>
        <v>0</v>
      </c>
      <c r="R12" s="19">
        <f t="shared" si="1"/>
        <v>0</v>
      </c>
      <c r="S12" s="18" t="e">
        <f t="shared" si="2"/>
        <v>#DIV/0!</v>
      </c>
      <c r="T12" s="18" t="e">
        <f t="shared" si="2"/>
        <v>#DIV/0!</v>
      </c>
      <c r="U12" s="60"/>
      <c r="V12" s="43"/>
      <c r="W12" s="26"/>
      <c r="X12" s="26"/>
      <c r="Y12" s="43"/>
      <c r="Z12" s="26"/>
      <c r="AA12" s="55"/>
      <c r="AB12" s="20"/>
      <c r="AC12" s="17">
        <f>BMS!B10</f>
        <v>0</v>
      </c>
      <c r="AD12" s="18">
        <f>BMS!C10</f>
        <v>0</v>
      </c>
      <c r="AE12" s="18">
        <f>BMS!D10</f>
        <v>0</v>
      </c>
      <c r="AF12" s="18">
        <f>BMS!E10</f>
        <v>0</v>
      </c>
      <c r="AG12" s="18">
        <f>BMS!F10</f>
        <v>0</v>
      </c>
      <c r="AH12" s="18">
        <f>BMS!G10</f>
        <v>0</v>
      </c>
      <c r="AI12" s="19">
        <f t="shared" si="3"/>
        <v>0</v>
      </c>
      <c r="AJ12" s="18" t="e">
        <f t="shared" si="4"/>
        <v>#DIV/0!</v>
      </c>
      <c r="AK12" s="18" t="e">
        <f t="shared" si="5"/>
        <v>#DIV/0!</v>
      </c>
      <c r="AL12" s="20"/>
      <c r="AM12" s="43"/>
      <c r="AN12" s="26"/>
      <c r="AO12" s="55"/>
      <c r="AP12" s="43"/>
      <c r="AQ12" s="26"/>
      <c r="AR12" s="55"/>
    </row>
    <row r="13" spans="1:44" x14ac:dyDescent="0.2">
      <c r="A13" s="36"/>
      <c r="B13" s="36"/>
      <c r="C13" s="36">
        <v>32</v>
      </c>
      <c r="D13" s="17">
        <f>TM!B11</f>
        <v>0</v>
      </c>
      <c r="E13" s="18">
        <f>TM!C11</f>
        <v>0</v>
      </c>
      <c r="F13" s="18">
        <f>TM!D11</f>
        <v>0</v>
      </c>
      <c r="G13" s="18">
        <f>TM!E11</f>
        <v>0</v>
      </c>
      <c r="H13" s="18">
        <f>TM!F11</f>
        <v>0</v>
      </c>
      <c r="I13" s="18">
        <f>TM!G11</f>
        <v>0</v>
      </c>
      <c r="J13" s="19">
        <f t="shared" si="0"/>
        <v>0</v>
      </c>
      <c r="L13" s="17">
        <f>Test!B11</f>
        <v>0</v>
      </c>
      <c r="M13" s="18">
        <f>Test!C11</f>
        <v>0</v>
      </c>
      <c r="N13" s="18">
        <f>Test!D11</f>
        <v>0</v>
      </c>
      <c r="O13" s="18">
        <f>Test!E11</f>
        <v>0</v>
      </c>
      <c r="P13" s="18">
        <f>Test!F11</f>
        <v>0</v>
      </c>
      <c r="Q13" s="18">
        <f>Test!G11</f>
        <v>0</v>
      </c>
      <c r="R13" s="19">
        <f t="shared" si="1"/>
        <v>0</v>
      </c>
      <c r="S13" s="18" t="e">
        <f t="shared" si="2"/>
        <v>#DIV/0!</v>
      </c>
      <c r="T13" s="18" t="e">
        <f t="shared" si="2"/>
        <v>#DIV/0!</v>
      </c>
      <c r="U13" s="60"/>
      <c r="V13" s="43"/>
      <c r="W13" s="26"/>
      <c r="X13" s="26"/>
      <c r="Y13" s="43"/>
      <c r="Z13" s="26"/>
      <c r="AA13" s="55"/>
      <c r="AB13" s="20"/>
      <c r="AC13" s="17">
        <f>BMS!B11</f>
        <v>0</v>
      </c>
      <c r="AD13" s="18">
        <f>BMS!C11</f>
        <v>0</v>
      </c>
      <c r="AE13" s="18">
        <f>BMS!D11</f>
        <v>0</v>
      </c>
      <c r="AF13" s="18">
        <f>BMS!E11</f>
        <v>0</v>
      </c>
      <c r="AG13" s="18">
        <f>BMS!F11</f>
        <v>0</v>
      </c>
      <c r="AH13" s="18">
        <f>BMS!G11</f>
        <v>0</v>
      </c>
      <c r="AI13" s="19">
        <f t="shared" si="3"/>
        <v>0</v>
      </c>
      <c r="AJ13" s="18" t="e">
        <f t="shared" si="4"/>
        <v>#DIV/0!</v>
      </c>
      <c r="AK13" s="18" t="e">
        <f t="shared" si="5"/>
        <v>#DIV/0!</v>
      </c>
      <c r="AL13" s="20"/>
      <c r="AM13" s="43"/>
      <c r="AN13" s="26"/>
      <c r="AO13" s="55"/>
      <c r="AP13" s="43"/>
      <c r="AQ13" s="26"/>
      <c r="AR13" s="55"/>
    </row>
    <row r="14" spans="1:44" ht="12.75" thickBot="1" x14ac:dyDescent="0.25">
      <c r="A14" s="36"/>
      <c r="B14" s="37"/>
      <c r="C14" s="37">
        <v>37</v>
      </c>
      <c r="D14" s="22">
        <f>TM!B12</f>
        <v>0</v>
      </c>
      <c r="E14" s="23">
        <f>TM!C12</f>
        <v>0</v>
      </c>
      <c r="F14" s="23">
        <f>TM!D12</f>
        <v>0</v>
      </c>
      <c r="G14" s="23">
        <f>TM!E12</f>
        <v>0</v>
      </c>
      <c r="H14" s="23">
        <f>TM!F12</f>
        <v>0</v>
      </c>
      <c r="I14" s="23">
        <f>TM!G12</f>
        <v>0</v>
      </c>
      <c r="J14" s="24">
        <f t="shared" si="0"/>
        <v>0</v>
      </c>
      <c r="L14" s="22">
        <f>Test!B12</f>
        <v>0</v>
      </c>
      <c r="M14" s="23">
        <f>Test!C12</f>
        <v>0</v>
      </c>
      <c r="N14" s="23">
        <f>Test!D12</f>
        <v>0</v>
      </c>
      <c r="O14" s="23">
        <f>Test!E12</f>
        <v>0</v>
      </c>
      <c r="P14" s="23">
        <f>Test!F12</f>
        <v>0</v>
      </c>
      <c r="Q14" s="23">
        <f>Test!G12</f>
        <v>0</v>
      </c>
      <c r="R14" s="24">
        <f t="shared" si="1"/>
        <v>0</v>
      </c>
      <c r="S14" s="18" t="e">
        <f t="shared" si="2"/>
        <v>#DIV/0!</v>
      </c>
      <c r="T14" s="18" t="e">
        <f t="shared" si="2"/>
        <v>#DIV/0!</v>
      </c>
      <c r="U14" s="60"/>
      <c r="V14" s="44"/>
      <c r="W14" s="56"/>
      <c r="X14" s="56"/>
      <c r="Y14" s="44"/>
      <c r="Z14" s="56"/>
      <c r="AA14" s="57"/>
      <c r="AB14" s="20"/>
      <c r="AC14" s="22">
        <f>BMS!B12</f>
        <v>0</v>
      </c>
      <c r="AD14" s="23">
        <f>BMS!C12</f>
        <v>0</v>
      </c>
      <c r="AE14" s="23">
        <f>BMS!D12</f>
        <v>0</v>
      </c>
      <c r="AF14" s="23">
        <f>BMS!E12</f>
        <v>0</v>
      </c>
      <c r="AG14" s="23">
        <f>BMS!F12</f>
        <v>0</v>
      </c>
      <c r="AH14" s="23">
        <f>BMS!G12</f>
        <v>0</v>
      </c>
      <c r="AI14" s="24">
        <f t="shared" si="3"/>
        <v>0</v>
      </c>
      <c r="AJ14" s="18" t="e">
        <f t="shared" si="4"/>
        <v>#DIV/0!</v>
      </c>
      <c r="AK14" s="18" t="e">
        <f t="shared" si="5"/>
        <v>#DIV/0!</v>
      </c>
      <c r="AL14" s="20"/>
      <c r="AM14" s="44"/>
      <c r="AN14" s="56"/>
      <c r="AO14" s="57"/>
      <c r="AP14" s="44"/>
      <c r="AQ14" s="56"/>
      <c r="AR14" s="57"/>
    </row>
    <row r="15" spans="1:44" x14ac:dyDescent="0.2">
      <c r="A15" s="11" t="s">
        <v>76</v>
      </c>
      <c r="B15" s="11" t="s">
        <v>423</v>
      </c>
      <c r="C15" s="11">
        <v>22</v>
      </c>
      <c r="D15" s="12">
        <f>TM!B13</f>
        <v>0</v>
      </c>
      <c r="E15" s="13">
        <f>TM!C13</f>
        <v>0</v>
      </c>
      <c r="F15" s="13">
        <f>TM!D13</f>
        <v>0</v>
      </c>
      <c r="G15" s="13">
        <f>TM!E13</f>
        <v>0</v>
      </c>
      <c r="H15" s="13">
        <f>TM!F13</f>
        <v>0</v>
      </c>
      <c r="I15" s="13">
        <f>TM!G13</f>
        <v>0</v>
      </c>
      <c r="J15" s="14">
        <f>H15/3600</f>
        <v>0</v>
      </c>
      <c r="L15" s="12">
        <f>Test!B13</f>
        <v>0</v>
      </c>
      <c r="M15" s="13">
        <f>Test!C13</f>
        <v>0</v>
      </c>
      <c r="N15" s="13">
        <f>Test!D13</f>
        <v>0</v>
      </c>
      <c r="O15" s="13">
        <f>Test!E13</f>
        <v>0</v>
      </c>
      <c r="P15" s="13">
        <f>Test!F13</f>
        <v>0</v>
      </c>
      <c r="Q15" s="13">
        <f>Test!G13</f>
        <v>0</v>
      </c>
      <c r="R15" s="14">
        <f>P15/3600</f>
        <v>0</v>
      </c>
      <c r="S15" s="13" t="e">
        <f>P15/H15</f>
        <v>#DIV/0!</v>
      </c>
      <c r="T15" s="13" t="e">
        <f>Q15/I15</f>
        <v>#DIV/0!</v>
      </c>
      <c r="U15" s="59"/>
      <c r="V15" s="42" t="e">
        <f>bdrate($D15:$D18,E15:E18,$L15:$L18,M15:M18)</f>
        <v>#VALUE!</v>
      </c>
      <c r="W15" s="47" t="e">
        <f>bdrate($D15:$D18,F15:F18,$L15:$L18,N15:N18)</f>
        <v>#VALUE!</v>
      </c>
      <c r="X15" s="48" t="e">
        <f>bdrate($D15:$D18,G15:G18,$L15:$L18,O15:O18)</f>
        <v>#VALUE!</v>
      </c>
      <c r="Y15" s="42" t="e">
        <f>bdrateOld($D15:$D18,E15:E18,$L15:$L18,M15:M18)</f>
        <v>#VALUE!</v>
      </c>
      <c r="Z15" s="47" t="e">
        <f>bdrateOld($D15:$D18,F15:F18,$L15:$L18,N15:N18)</f>
        <v>#VALUE!</v>
      </c>
      <c r="AA15" s="48" t="e">
        <f>bdrateOld($D15:$D18,G15:G18,$L15:$L18,O15:O18)</f>
        <v>#VALUE!</v>
      </c>
      <c r="AB15" s="54"/>
      <c r="AC15" s="12">
        <f>BMS!B13</f>
        <v>0</v>
      </c>
      <c r="AD15" s="13">
        <f>BMS!C13</f>
        <v>0</v>
      </c>
      <c r="AE15" s="13">
        <f>BMS!D13</f>
        <v>0</v>
      </c>
      <c r="AF15" s="13">
        <f>BMS!E13</f>
        <v>0</v>
      </c>
      <c r="AG15" s="13">
        <f>BMS!F13</f>
        <v>0</v>
      </c>
      <c r="AH15" s="13">
        <f>BMS!G13</f>
        <v>0</v>
      </c>
      <c r="AI15" s="14">
        <f>AG15/3600</f>
        <v>0</v>
      </c>
      <c r="AJ15" s="13" t="e">
        <f>R15/AI15</f>
        <v>#DIV/0!</v>
      </c>
      <c r="AK15" s="13" t="e">
        <f>Q15/AH15</f>
        <v>#DIV/0!</v>
      </c>
      <c r="AL15" s="54"/>
      <c r="AM15" s="42" t="e">
        <f>bdrate($AC15:$AC18,AD15:AD18,$L15:$L18, M15:M18)</f>
        <v>#VALUE!</v>
      </c>
      <c r="AN15" s="47" t="e">
        <f>bdrate($AC15:$AC18,AE15:AE18,$L15:$L18, N15:N18)</f>
        <v>#VALUE!</v>
      </c>
      <c r="AO15" s="48" t="e">
        <f>bdrate($AC15:$AC18,AF15:AF18,$L15:$L18, O15:O18)</f>
        <v>#VALUE!</v>
      </c>
      <c r="AP15" s="42" t="e">
        <f>bdrateOld($AC15:$AC18,AD15:AD18,$L15:$L18, M15:M18)</f>
        <v>#VALUE!</v>
      </c>
      <c r="AQ15" s="47" t="e">
        <f>bdrateOld($AC15:$AC18,AE15:AE18,$L15:$L18, N15:N18)</f>
        <v>#VALUE!</v>
      </c>
      <c r="AR15" s="48" t="e">
        <f>bdrateOld($AC15:$AC18,AF15:AF18,$L15:$L18, O15:O18)</f>
        <v>#VALUE!</v>
      </c>
    </row>
    <row r="16" spans="1:44" x14ac:dyDescent="0.2">
      <c r="A16" s="16" t="s">
        <v>48</v>
      </c>
      <c r="B16" s="16"/>
      <c r="C16" s="16">
        <v>27</v>
      </c>
      <c r="D16" s="17">
        <f>TM!B14</f>
        <v>0</v>
      </c>
      <c r="E16" s="18">
        <f>TM!C14</f>
        <v>0</v>
      </c>
      <c r="F16" s="18">
        <f>TM!D14</f>
        <v>0</v>
      </c>
      <c r="G16" s="18">
        <f>TM!E14</f>
        <v>0</v>
      </c>
      <c r="H16" s="18">
        <f>TM!F14</f>
        <v>0</v>
      </c>
      <c r="I16" s="18">
        <f>TM!G14</f>
        <v>0</v>
      </c>
      <c r="J16" s="19">
        <f t="shared" ref="J16:J26" si="6">H16/3600</f>
        <v>0</v>
      </c>
      <c r="L16" s="17">
        <f>Test!B14</f>
        <v>0</v>
      </c>
      <c r="M16" s="18">
        <f>Test!C14</f>
        <v>0</v>
      </c>
      <c r="N16" s="18">
        <f>Test!D14</f>
        <v>0</v>
      </c>
      <c r="O16" s="18">
        <f>Test!E14</f>
        <v>0</v>
      </c>
      <c r="P16" s="18">
        <f>Test!F14</f>
        <v>0</v>
      </c>
      <c r="Q16" s="18">
        <f>Test!G14</f>
        <v>0</v>
      </c>
      <c r="R16" s="19">
        <f t="shared" ref="R16:R26" si="7">P16/3600</f>
        <v>0</v>
      </c>
      <c r="S16" s="18" t="e">
        <f t="shared" ref="S16:S26" si="8">P16/H16</f>
        <v>#DIV/0!</v>
      </c>
      <c r="T16" s="18" t="e">
        <f t="shared" ref="T16:T26" si="9">Q16/I16</f>
        <v>#DIV/0!</v>
      </c>
      <c r="U16" s="60"/>
      <c r="V16" s="43"/>
      <c r="W16" s="26"/>
      <c r="X16" s="55"/>
      <c r="Y16" s="43"/>
      <c r="Z16" s="26"/>
      <c r="AA16" s="55"/>
      <c r="AB16" s="20"/>
      <c r="AC16" s="17">
        <f>BMS!B14</f>
        <v>0</v>
      </c>
      <c r="AD16" s="18">
        <f>BMS!C14</f>
        <v>0</v>
      </c>
      <c r="AE16" s="18">
        <f>BMS!D14</f>
        <v>0</v>
      </c>
      <c r="AF16" s="18">
        <f>BMS!E14</f>
        <v>0</v>
      </c>
      <c r="AG16" s="18">
        <f>BMS!F14</f>
        <v>0</v>
      </c>
      <c r="AH16" s="18">
        <f>BMS!G14</f>
        <v>0</v>
      </c>
      <c r="AI16" s="19">
        <f t="shared" ref="AI16:AI26" si="10">AG16/3600</f>
        <v>0</v>
      </c>
      <c r="AJ16" s="18" t="e">
        <f t="shared" ref="AJ16:AJ26" si="11">R16/AI16</f>
        <v>#DIV/0!</v>
      </c>
      <c r="AK16" s="18" t="e">
        <f t="shared" ref="AK16:AK26" si="12">Q16/AH16</f>
        <v>#DIV/0!</v>
      </c>
      <c r="AL16" s="20"/>
      <c r="AM16" s="43"/>
      <c r="AN16" s="26"/>
      <c r="AO16" s="55"/>
      <c r="AP16" s="43"/>
      <c r="AQ16" s="26"/>
      <c r="AR16" s="55"/>
    </row>
    <row r="17" spans="1:44" x14ac:dyDescent="0.2">
      <c r="A17" s="16"/>
      <c r="B17" s="16"/>
      <c r="C17" s="16">
        <v>32</v>
      </c>
      <c r="D17" s="17">
        <f>TM!B15</f>
        <v>0</v>
      </c>
      <c r="E17" s="18">
        <f>TM!C15</f>
        <v>0</v>
      </c>
      <c r="F17" s="18">
        <f>TM!D15</f>
        <v>0</v>
      </c>
      <c r="G17" s="18">
        <f>TM!E15</f>
        <v>0</v>
      </c>
      <c r="H17" s="18">
        <f>TM!F15</f>
        <v>0</v>
      </c>
      <c r="I17" s="18">
        <f>TM!G15</f>
        <v>0</v>
      </c>
      <c r="J17" s="19">
        <f t="shared" si="6"/>
        <v>0</v>
      </c>
      <c r="L17" s="17">
        <f>Test!B15</f>
        <v>0</v>
      </c>
      <c r="M17" s="18">
        <f>Test!C15</f>
        <v>0</v>
      </c>
      <c r="N17" s="18">
        <f>Test!D15</f>
        <v>0</v>
      </c>
      <c r="O17" s="18">
        <f>Test!E15</f>
        <v>0</v>
      </c>
      <c r="P17" s="18">
        <f>Test!F15</f>
        <v>0</v>
      </c>
      <c r="Q17" s="18">
        <f>Test!G15</f>
        <v>0</v>
      </c>
      <c r="R17" s="19">
        <f t="shared" si="7"/>
        <v>0</v>
      </c>
      <c r="S17" s="18" t="e">
        <f t="shared" si="8"/>
        <v>#DIV/0!</v>
      </c>
      <c r="T17" s="18" t="e">
        <f t="shared" si="9"/>
        <v>#DIV/0!</v>
      </c>
      <c r="U17" s="60"/>
      <c r="V17" s="43"/>
      <c r="W17" s="26"/>
      <c r="X17" s="55"/>
      <c r="Y17" s="43"/>
      <c r="Z17" s="26"/>
      <c r="AA17" s="55"/>
      <c r="AB17" s="20"/>
      <c r="AC17" s="17">
        <f>BMS!B15</f>
        <v>0</v>
      </c>
      <c r="AD17" s="18">
        <f>BMS!C15</f>
        <v>0</v>
      </c>
      <c r="AE17" s="18">
        <f>BMS!D15</f>
        <v>0</v>
      </c>
      <c r="AF17" s="18">
        <f>BMS!E15</f>
        <v>0</v>
      </c>
      <c r="AG17" s="18">
        <f>BMS!F15</f>
        <v>0</v>
      </c>
      <c r="AH17" s="18">
        <f>BMS!G15</f>
        <v>0</v>
      </c>
      <c r="AI17" s="19">
        <f t="shared" si="10"/>
        <v>0</v>
      </c>
      <c r="AJ17" s="18" t="e">
        <f t="shared" si="11"/>
        <v>#DIV/0!</v>
      </c>
      <c r="AK17" s="18" t="e">
        <f t="shared" si="12"/>
        <v>#DIV/0!</v>
      </c>
      <c r="AL17" s="20"/>
      <c r="AM17" s="43"/>
      <c r="AN17" s="26"/>
      <c r="AO17" s="55"/>
      <c r="AP17" s="43"/>
      <c r="AQ17" s="26"/>
      <c r="AR17" s="55"/>
    </row>
    <row r="18" spans="1:44" ht="12.75" thickBot="1" x14ac:dyDescent="0.25">
      <c r="A18" s="16"/>
      <c r="B18" s="21"/>
      <c r="C18" s="21">
        <v>37</v>
      </c>
      <c r="D18" s="22">
        <f>TM!B16</f>
        <v>0</v>
      </c>
      <c r="E18" s="23">
        <f>TM!C16</f>
        <v>0</v>
      </c>
      <c r="F18" s="23">
        <f>TM!D16</f>
        <v>0</v>
      </c>
      <c r="G18" s="23">
        <f>TM!E16</f>
        <v>0</v>
      </c>
      <c r="H18" s="23">
        <f>TM!F16</f>
        <v>0</v>
      </c>
      <c r="I18" s="23">
        <f>TM!G16</f>
        <v>0</v>
      </c>
      <c r="J18" s="24">
        <f t="shared" si="6"/>
        <v>0</v>
      </c>
      <c r="L18" s="22">
        <f>Test!B16</f>
        <v>0</v>
      </c>
      <c r="M18" s="23">
        <f>Test!C16</f>
        <v>0</v>
      </c>
      <c r="N18" s="23">
        <f>Test!D16</f>
        <v>0</v>
      </c>
      <c r="O18" s="23">
        <f>Test!E16</f>
        <v>0</v>
      </c>
      <c r="P18" s="23">
        <f>Test!F16</f>
        <v>0</v>
      </c>
      <c r="Q18" s="23">
        <f>Test!G16</f>
        <v>0</v>
      </c>
      <c r="R18" s="24">
        <f t="shared" si="7"/>
        <v>0</v>
      </c>
      <c r="S18" s="18" t="e">
        <f t="shared" si="8"/>
        <v>#DIV/0!</v>
      </c>
      <c r="T18" s="18" t="e">
        <f t="shared" si="9"/>
        <v>#DIV/0!</v>
      </c>
      <c r="U18" s="60"/>
      <c r="V18" s="44"/>
      <c r="W18" s="56"/>
      <c r="X18" s="57"/>
      <c r="Y18" s="44"/>
      <c r="Z18" s="56"/>
      <c r="AA18" s="57"/>
      <c r="AB18" s="20"/>
      <c r="AC18" s="22">
        <f>BMS!B16</f>
        <v>0</v>
      </c>
      <c r="AD18" s="23">
        <f>BMS!C16</f>
        <v>0</v>
      </c>
      <c r="AE18" s="23">
        <f>BMS!D16</f>
        <v>0</v>
      </c>
      <c r="AF18" s="23">
        <f>BMS!E16</f>
        <v>0</v>
      </c>
      <c r="AG18" s="23">
        <f>BMS!F16</f>
        <v>0</v>
      </c>
      <c r="AH18" s="23">
        <f>BMS!G16</f>
        <v>0</v>
      </c>
      <c r="AI18" s="24">
        <f t="shared" si="10"/>
        <v>0</v>
      </c>
      <c r="AJ18" s="18" t="e">
        <f t="shared" si="11"/>
        <v>#DIV/0!</v>
      </c>
      <c r="AK18" s="18" t="e">
        <f t="shared" si="12"/>
        <v>#DIV/0!</v>
      </c>
      <c r="AL18" s="20"/>
      <c r="AM18" s="44"/>
      <c r="AN18" s="56"/>
      <c r="AO18" s="57"/>
      <c r="AP18" s="44"/>
      <c r="AQ18" s="56"/>
      <c r="AR18" s="57"/>
    </row>
    <row r="19" spans="1:44" x14ac:dyDescent="0.2">
      <c r="A19" s="16"/>
      <c r="B19" s="16" t="s">
        <v>424</v>
      </c>
      <c r="C19" s="11">
        <v>22</v>
      </c>
      <c r="D19" s="12">
        <f>TM!B17</f>
        <v>0</v>
      </c>
      <c r="E19" s="13">
        <f>TM!C17</f>
        <v>0</v>
      </c>
      <c r="F19" s="13">
        <f>TM!D17</f>
        <v>0</v>
      </c>
      <c r="G19" s="13">
        <f>TM!E17</f>
        <v>0</v>
      </c>
      <c r="H19" s="13">
        <f>TM!F17</f>
        <v>0</v>
      </c>
      <c r="I19" s="13">
        <f>TM!G17</f>
        <v>0</v>
      </c>
      <c r="J19" s="14">
        <f t="shared" si="6"/>
        <v>0</v>
      </c>
      <c r="L19" s="12">
        <f>Test!B17</f>
        <v>0</v>
      </c>
      <c r="M19" s="13">
        <f>Test!C17</f>
        <v>0</v>
      </c>
      <c r="N19" s="13">
        <f>Test!D17</f>
        <v>0</v>
      </c>
      <c r="O19" s="13">
        <f>Test!E17</f>
        <v>0</v>
      </c>
      <c r="P19" s="13">
        <f>Test!F17</f>
        <v>0</v>
      </c>
      <c r="Q19" s="13">
        <f>Test!G17</f>
        <v>0</v>
      </c>
      <c r="R19" s="14">
        <f t="shared" si="7"/>
        <v>0</v>
      </c>
      <c r="S19" s="18" t="e">
        <f t="shared" si="8"/>
        <v>#DIV/0!</v>
      </c>
      <c r="T19" s="18" t="e">
        <f t="shared" si="9"/>
        <v>#DIV/0!</v>
      </c>
      <c r="U19" s="60"/>
      <c r="V19" s="42" t="e">
        <f>bdrate($D19:$D22,E19:E22,$L19:$L22,M19:M22)</f>
        <v>#VALUE!</v>
      </c>
      <c r="W19" s="47" t="e">
        <f>bdrate($D19:$D22,F19:F22,$L19:$L22,N19:N22)</f>
        <v>#VALUE!</v>
      </c>
      <c r="X19" s="47" t="e">
        <f>bdrate($D19:$D22,G19:G22,$L19:$L22,O19:O22)</f>
        <v>#VALUE!</v>
      </c>
      <c r="Y19" s="45" t="e">
        <f>bdrateOld($D19:$D22,E19:E22,$L19:$L22,M19:M22)</f>
        <v>#VALUE!</v>
      </c>
      <c r="Z19" s="49" t="e">
        <f>bdrateOld($D19:$D22,F19:F22,$L19:$L22,N19:N22)</f>
        <v>#VALUE!</v>
      </c>
      <c r="AA19" s="50" t="e">
        <f>bdrateOld($D19:$D22,G19:G22,$L19:$L22,O19:O22)</f>
        <v>#VALUE!</v>
      </c>
      <c r="AB19" s="20"/>
      <c r="AC19" s="12">
        <f>BMS!B17</f>
        <v>0</v>
      </c>
      <c r="AD19" s="13">
        <f>BMS!C17</f>
        <v>0</v>
      </c>
      <c r="AE19" s="13">
        <f>BMS!D17</f>
        <v>0</v>
      </c>
      <c r="AF19" s="13">
        <f>BMS!E17</f>
        <v>0</v>
      </c>
      <c r="AG19" s="13">
        <f>BMS!F17</f>
        <v>0</v>
      </c>
      <c r="AH19" s="13">
        <f>BMS!G17</f>
        <v>0</v>
      </c>
      <c r="AI19" s="14">
        <f t="shared" si="10"/>
        <v>0</v>
      </c>
      <c r="AJ19" s="18" t="e">
        <f t="shared" si="11"/>
        <v>#DIV/0!</v>
      </c>
      <c r="AK19" s="18" t="e">
        <f t="shared" si="12"/>
        <v>#DIV/0!</v>
      </c>
      <c r="AL19" s="20"/>
      <c r="AM19" s="42" t="e">
        <f>bdrate($AC19:$AC22,AD19:AD22,$L19:$L22, M19:M22)</f>
        <v>#VALUE!</v>
      </c>
      <c r="AN19" s="47" t="e">
        <f>bdrate($AC19:$AC22,AE19:AE22,$L19:$L22, N19:N22)</f>
        <v>#VALUE!</v>
      </c>
      <c r="AO19" s="48" t="e">
        <f>bdrate($AC19:$AC22,AF19:AF22,$L19:$L22, O19:O22)</f>
        <v>#VALUE!</v>
      </c>
      <c r="AP19" s="42" t="e">
        <f>bdrateOld($AC19:$AC22,AD19:AD22,$L19:$L22, M19:M22)</f>
        <v>#VALUE!</v>
      </c>
      <c r="AQ19" s="47" t="e">
        <f>bdrateOld($AC19:$AC22,AE19:AE22,$L19:$L22, N19:N22)</f>
        <v>#VALUE!</v>
      </c>
      <c r="AR19" s="48" t="e">
        <f>bdrateOld($AC19:$AC22,AF19:AF22,$L19:$L22, O19:O22)</f>
        <v>#VALUE!</v>
      </c>
    </row>
    <row r="20" spans="1:44" x14ac:dyDescent="0.2">
      <c r="A20" s="16"/>
      <c r="B20" s="16"/>
      <c r="C20" s="16">
        <v>27</v>
      </c>
      <c r="D20" s="17">
        <f>TM!B18</f>
        <v>0</v>
      </c>
      <c r="E20" s="18">
        <f>TM!C18</f>
        <v>0</v>
      </c>
      <c r="F20" s="18">
        <f>TM!D18</f>
        <v>0</v>
      </c>
      <c r="G20" s="18">
        <f>TM!E18</f>
        <v>0</v>
      </c>
      <c r="H20" s="18">
        <f>TM!F18</f>
        <v>0</v>
      </c>
      <c r="I20" s="18">
        <f>TM!G18</f>
        <v>0</v>
      </c>
      <c r="J20" s="19">
        <f t="shared" si="6"/>
        <v>0</v>
      </c>
      <c r="L20" s="17">
        <f>Test!B18</f>
        <v>0</v>
      </c>
      <c r="M20" s="18">
        <f>Test!C18</f>
        <v>0</v>
      </c>
      <c r="N20" s="18">
        <f>Test!D18</f>
        <v>0</v>
      </c>
      <c r="O20" s="18">
        <f>Test!E18</f>
        <v>0</v>
      </c>
      <c r="P20" s="18">
        <f>Test!F18</f>
        <v>0</v>
      </c>
      <c r="Q20" s="18">
        <f>Test!G18</f>
        <v>0</v>
      </c>
      <c r="R20" s="19">
        <f t="shared" si="7"/>
        <v>0</v>
      </c>
      <c r="S20" s="18" t="e">
        <f t="shared" si="8"/>
        <v>#DIV/0!</v>
      </c>
      <c r="T20" s="18" t="e">
        <f t="shared" si="9"/>
        <v>#DIV/0!</v>
      </c>
      <c r="U20" s="60"/>
      <c r="V20" s="43"/>
      <c r="W20" s="26"/>
      <c r="X20" s="26"/>
      <c r="Y20" s="43"/>
      <c r="Z20" s="26"/>
      <c r="AA20" s="55"/>
      <c r="AB20" s="20"/>
      <c r="AC20" s="17">
        <f>BMS!B18</f>
        <v>0</v>
      </c>
      <c r="AD20" s="18">
        <f>BMS!C18</f>
        <v>0</v>
      </c>
      <c r="AE20" s="18">
        <f>BMS!D18</f>
        <v>0</v>
      </c>
      <c r="AF20" s="18">
        <f>BMS!E18</f>
        <v>0</v>
      </c>
      <c r="AG20" s="18">
        <f>BMS!F18</f>
        <v>0</v>
      </c>
      <c r="AH20" s="18">
        <f>BMS!G18</f>
        <v>0</v>
      </c>
      <c r="AI20" s="19">
        <f t="shared" si="10"/>
        <v>0</v>
      </c>
      <c r="AJ20" s="18" t="e">
        <f t="shared" si="11"/>
        <v>#DIV/0!</v>
      </c>
      <c r="AK20" s="18" t="e">
        <f t="shared" si="12"/>
        <v>#DIV/0!</v>
      </c>
      <c r="AL20" s="20"/>
      <c r="AM20" s="43"/>
      <c r="AN20" s="26"/>
      <c r="AO20" s="55"/>
      <c r="AP20" s="43"/>
      <c r="AQ20" s="26"/>
      <c r="AR20" s="55"/>
    </row>
    <row r="21" spans="1:44" x14ac:dyDescent="0.2">
      <c r="A21" s="16"/>
      <c r="B21" s="16"/>
      <c r="C21" s="16">
        <v>32</v>
      </c>
      <c r="D21" s="17">
        <f>TM!B19</f>
        <v>0</v>
      </c>
      <c r="E21" s="18">
        <f>TM!C19</f>
        <v>0</v>
      </c>
      <c r="F21" s="18">
        <f>TM!D19</f>
        <v>0</v>
      </c>
      <c r="G21" s="18">
        <f>TM!E19</f>
        <v>0</v>
      </c>
      <c r="H21" s="18">
        <f>TM!F19</f>
        <v>0</v>
      </c>
      <c r="I21" s="18">
        <f>TM!G19</f>
        <v>0</v>
      </c>
      <c r="J21" s="19">
        <f t="shared" si="6"/>
        <v>0</v>
      </c>
      <c r="L21" s="17">
        <f>Test!B19</f>
        <v>0</v>
      </c>
      <c r="M21" s="18">
        <f>Test!C19</f>
        <v>0</v>
      </c>
      <c r="N21" s="18">
        <f>Test!D19</f>
        <v>0</v>
      </c>
      <c r="O21" s="18">
        <f>Test!E19</f>
        <v>0</v>
      </c>
      <c r="P21" s="18">
        <f>Test!F19</f>
        <v>0</v>
      </c>
      <c r="Q21" s="18">
        <f>Test!G19</f>
        <v>0</v>
      </c>
      <c r="R21" s="19">
        <f t="shared" si="7"/>
        <v>0</v>
      </c>
      <c r="S21" s="18" t="e">
        <f t="shared" si="8"/>
        <v>#DIV/0!</v>
      </c>
      <c r="T21" s="18" t="e">
        <f t="shared" si="9"/>
        <v>#DIV/0!</v>
      </c>
      <c r="U21" s="60"/>
      <c r="V21" s="43"/>
      <c r="W21" s="26"/>
      <c r="X21" s="26"/>
      <c r="Y21" s="43"/>
      <c r="Z21" s="26"/>
      <c r="AA21" s="55"/>
      <c r="AB21" s="20"/>
      <c r="AC21" s="17">
        <f>BMS!B19</f>
        <v>0</v>
      </c>
      <c r="AD21" s="18">
        <f>BMS!C19</f>
        <v>0</v>
      </c>
      <c r="AE21" s="18">
        <f>BMS!D19</f>
        <v>0</v>
      </c>
      <c r="AF21" s="18">
        <f>BMS!E19</f>
        <v>0</v>
      </c>
      <c r="AG21" s="18">
        <f>BMS!F19</f>
        <v>0</v>
      </c>
      <c r="AH21" s="18">
        <f>BMS!G19</f>
        <v>0</v>
      </c>
      <c r="AI21" s="19">
        <f t="shared" si="10"/>
        <v>0</v>
      </c>
      <c r="AJ21" s="18" t="e">
        <f t="shared" si="11"/>
        <v>#DIV/0!</v>
      </c>
      <c r="AK21" s="18" t="e">
        <f t="shared" si="12"/>
        <v>#DIV/0!</v>
      </c>
      <c r="AL21" s="20"/>
      <c r="AM21" s="43"/>
      <c r="AN21" s="26"/>
      <c r="AO21" s="55"/>
      <c r="AP21" s="43"/>
      <c r="AQ21" s="26"/>
      <c r="AR21" s="55"/>
    </row>
    <row r="22" spans="1:44" ht="12.75" thickBot="1" x14ac:dyDescent="0.25">
      <c r="A22" s="16"/>
      <c r="B22" s="21"/>
      <c r="C22" s="21">
        <v>37</v>
      </c>
      <c r="D22" s="22">
        <f>TM!B20</f>
        <v>0</v>
      </c>
      <c r="E22" s="23">
        <f>TM!C20</f>
        <v>0</v>
      </c>
      <c r="F22" s="23">
        <f>TM!D20</f>
        <v>0</v>
      </c>
      <c r="G22" s="23">
        <f>TM!E20</f>
        <v>0</v>
      </c>
      <c r="H22" s="23">
        <f>TM!F20</f>
        <v>0</v>
      </c>
      <c r="I22" s="23">
        <f>TM!G20</f>
        <v>0</v>
      </c>
      <c r="J22" s="24">
        <f t="shared" si="6"/>
        <v>0</v>
      </c>
      <c r="L22" s="22">
        <f>Test!B20</f>
        <v>0</v>
      </c>
      <c r="M22" s="23">
        <f>Test!C20</f>
        <v>0</v>
      </c>
      <c r="N22" s="23">
        <f>Test!D20</f>
        <v>0</v>
      </c>
      <c r="O22" s="23">
        <f>Test!E20</f>
        <v>0</v>
      </c>
      <c r="P22" s="23">
        <f>Test!F20</f>
        <v>0</v>
      </c>
      <c r="Q22" s="23">
        <f>Test!G20</f>
        <v>0</v>
      </c>
      <c r="R22" s="24">
        <f t="shared" si="7"/>
        <v>0</v>
      </c>
      <c r="S22" s="18" t="e">
        <f t="shared" si="8"/>
        <v>#DIV/0!</v>
      </c>
      <c r="T22" s="18" t="e">
        <f t="shared" si="9"/>
        <v>#DIV/0!</v>
      </c>
      <c r="U22" s="60"/>
      <c r="V22" s="44"/>
      <c r="W22" s="56"/>
      <c r="X22" s="56"/>
      <c r="Y22" s="44"/>
      <c r="Z22" s="56"/>
      <c r="AA22" s="57"/>
      <c r="AB22" s="20"/>
      <c r="AC22" s="22">
        <f>BMS!B20</f>
        <v>0</v>
      </c>
      <c r="AD22" s="23">
        <f>BMS!C20</f>
        <v>0</v>
      </c>
      <c r="AE22" s="23">
        <f>BMS!D20</f>
        <v>0</v>
      </c>
      <c r="AF22" s="23">
        <f>BMS!E20</f>
        <v>0</v>
      </c>
      <c r="AG22" s="23">
        <f>BMS!F20</f>
        <v>0</v>
      </c>
      <c r="AH22" s="23">
        <f>BMS!G20</f>
        <v>0</v>
      </c>
      <c r="AI22" s="24">
        <f t="shared" si="10"/>
        <v>0</v>
      </c>
      <c r="AJ22" s="18" t="e">
        <f t="shared" si="11"/>
        <v>#DIV/0!</v>
      </c>
      <c r="AK22" s="18" t="e">
        <f t="shared" si="12"/>
        <v>#DIV/0!</v>
      </c>
      <c r="AL22" s="20"/>
      <c r="AM22" s="44"/>
      <c r="AN22" s="56"/>
      <c r="AO22" s="57"/>
      <c r="AP22" s="44"/>
      <c r="AQ22" s="56"/>
      <c r="AR22" s="57"/>
    </row>
    <row r="23" spans="1:44" x14ac:dyDescent="0.2">
      <c r="A23" s="36"/>
      <c r="B23" s="16" t="s">
        <v>425</v>
      </c>
      <c r="C23" s="35">
        <v>22</v>
      </c>
      <c r="D23" s="12">
        <f>TM!B21</f>
        <v>0</v>
      </c>
      <c r="E23" s="13">
        <f>TM!C21</f>
        <v>0</v>
      </c>
      <c r="F23" s="13">
        <f>TM!D21</f>
        <v>0</v>
      </c>
      <c r="G23" s="13">
        <f>TM!E21</f>
        <v>0</v>
      </c>
      <c r="H23" s="13">
        <f>TM!F21</f>
        <v>0</v>
      </c>
      <c r="I23" s="13">
        <f>TM!G21</f>
        <v>0</v>
      </c>
      <c r="J23" s="14">
        <f t="shared" si="6"/>
        <v>0</v>
      </c>
      <c r="L23" s="12">
        <f>Test!B21</f>
        <v>0</v>
      </c>
      <c r="M23" s="13">
        <f>Test!C21</f>
        <v>0</v>
      </c>
      <c r="N23" s="13">
        <f>Test!D21</f>
        <v>0</v>
      </c>
      <c r="O23" s="13">
        <f>Test!E21</f>
        <v>0</v>
      </c>
      <c r="P23" s="13">
        <f>Test!F21</f>
        <v>0</v>
      </c>
      <c r="Q23" s="13">
        <f>Test!G21</f>
        <v>0</v>
      </c>
      <c r="R23" s="14">
        <f t="shared" si="7"/>
        <v>0</v>
      </c>
      <c r="S23" s="18" t="e">
        <f t="shared" si="8"/>
        <v>#DIV/0!</v>
      </c>
      <c r="T23" s="18" t="e">
        <f t="shared" si="9"/>
        <v>#DIV/0!</v>
      </c>
      <c r="U23" s="60"/>
      <c r="V23" s="42" t="e">
        <f>bdrate($D23:$D26,E23:E26,$L23:$L26,M23:M26)</f>
        <v>#VALUE!</v>
      </c>
      <c r="W23" s="47" t="e">
        <f>bdrate($D23:$D26,F23:F26,$L23:$L26,N23:N26)</f>
        <v>#VALUE!</v>
      </c>
      <c r="X23" s="47" t="e">
        <f>bdrate($D23:$D26,G23:G26,$L23:$L26,O23:O26)</f>
        <v>#VALUE!</v>
      </c>
      <c r="Y23" s="45" t="e">
        <f>bdrateOld($D23:$D26,E23:E26,$L23:$L26,M23:M26)</f>
        <v>#VALUE!</v>
      </c>
      <c r="Z23" s="49" t="e">
        <f>bdrateOld($D23:$D26,F23:F26,$L23:$L26,N23:N26)</f>
        <v>#VALUE!</v>
      </c>
      <c r="AA23" s="50" t="e">
        <f>bdrateOld($D23:$D26,G23:G26,$L23:$L26,O23:O26)</f>
        <v>#VALUE!</v>
      </c>
      <c r="AB23" s="20"/>
      <c r="AC23" s="12">
        <f>BMS!B21</f>
        <v>0</v>
      </c>
      <c r="AD23" s="13">
        <f>BMS!C21</f>
        <v>0</v>
      </c>
      <c r="AE23" s="13">
        <f>BMS!D21</f>
        <v>0</v>
      </c>
      <c r="AF23" s="13">
        <f>BMS!E21</f>
        <v>0</v>
      </c>
      <c r="AG23" s="13">
        <f>BMS!F21</f>
        <v>0</v>
      </c>
      <c r="AH23" s="13">
        <f>BMS!G21</f>
        <v>0</v>
      </c>
      <c r="AI23" s="14">
        <f t="shared" si="10"/>
        <v>0</v>
      </c>
      <c r="AJ23" s="18" t="e">
        <f t="shared" si="11"/>
        <v>#DIV/0!</v>
      </c>
      <c r="AK23" s="18" t="e">
        <f t="shared" si="12"/>
        <v>#DIV/0!</v>
      </c>
      <c r="AL23" s="20"/>
      <c r="AM23" s="42" t="e">
        <f>bdrate($AC23:$AC26,AD23:AD26,$L23:$L26, M23:M26)</f>
        <v>#VALUE!</v>
      </c>
      <c r="AN23" s="47" t="e">
        <f>bdrate($AC23:$AC26,AE23:AE26,$L23:$L26, N23:N26)</f>
        <v>#VALUE!</v>
      </c>
      <c r="AO23" s="48" t="e">
        <f>bdrate($AC23:$AC26,AF23:AF26,$L23:$L26, O23:O26)</f>
        <v>#VALUE!</v>
      </c>
      <c r="AP23" s="42" t="e">
        <f>bdrateOld($AC23:$AC26,AD23:AD26,$L23:$L26, M23:M26)</f>
        <v>#VALUE!</v>
      </c>
      <c r="AQ23" s="47" t="e">
        <f>bdrateOld($AC23:$AC26,AE23:AE26,$L23:$L26, N23:N26)</f>
        <v>#VALUE!</v>
      </c>
      <c r="AR23" s="48" t="e">
        <f>bdrateOld($AC23:$AC26,AF23:AF26,$L23:$L26, O23:O26)</f>
        <v>#VALUE!</v>
      </c>
    </row>
    <row r="24" spans="1:44" x14ac:dyDescent="0.2">
      <c r="A24" s="36"/>
      <c r="B24" s="16"/>
      <c r="C24" s="36">
        <v>27</v>
      </c>
      <c r="D24" s="17">
        <f>TM!B22</f>
        <v>0</v>
      </c>
      <c r="E24" s="18">
        <f>TM!C22</f>
        <v>0</v>
      </c>
      <c r="F24" s="18">
        <f>TM!D22</f>
        <v>0</v>
      </c>
      <c r="G24" s="18">
        <f>TM!E22</f>
        <v>0</v>
      </c>
      <c r="H24" s="18">
        <f>TM!F22</f>
        <v>0</v>
      </c>
      <c r="I24" s="18">
        <f>TM!G22</f>
        <v>0</v>
      </c>
      <c r="J24" s="19">
        <f t="shared" si="6"/>
        <v>0</v>
      </c>
      <c r="L24" s="17">
        <f>Test!B22</f>
        <v>0</v>
      </c>
      <c r="M24" s="18">
        <f>Test!C22</f>
        <v>0</v>
      </c>
      <c r="N24" s="18">
        <f>Test!D22</f>
        <v>0</v>
      </c>
      <c r="O24" s="18">
        <f>Test!E22</f>
        <v>0</v>
      </c>
      <c r="P24" s="18">
        <f>Test!F22</f>
        <v>0</v>
      </c>
      <c r="Q24" s="18">
        <f>Test!G22</f>
        <v>0</v>
      </c>
      <c r="R24" s="19">
        <f t="shared" si="7"/>
        <v>0</v>
      </c>
      <c r="S24" s="18" t="e">
        <f t="shared" si="8"/>
        <v>#DIV/0!</v>
      </c>
      <c r="T24" s="18" t="e">
        <f t="shared" si="9"/>
        <v>#DIV/0!</v>
      </c>
      <c r="U24" s="60"/>
      <c r="V24" s="43"/>
      <c r="W24" s="26"/>
      <c r="X24" s="26"/>
      <c r="Y24" s="43"/>
      <c r="Z24" s="26"/>
      <c r="AA24" s="55"/>
      <c r="AB24" s="20"/>
      <c r="AC24" s="17">
        <f>BMS!B22</f>
        <v>0</v>
      </c>
      <c r="AD24" s="18">
        <f>BMS!C22</f>
        <v>0</v>
      </c>
      <c r="AE24" s="18">
        <f>BMS!D22</f>
        <v>0</v>
      </c>
      <c r="AF24" s="18">
        <f>BMS!E22</f>
        <v>0</v>
      </c>
      <c r="AG24" s="18">
        <f>BMS!F22</f>
        <v>0</v>
      </c>
      <c r="AH24" s="18">
        <f>BMS!G22</f>
        <v>0</v>
      </c>
      <c r="AI24" s="19">
        <f t="shared" si="10"/>
        <v>0</v>
      </c>
      <c r="AJ24" s="18" t="e">
        <f t="shared" si="11"/>
        <v>#DIV/0!</v>
      </c>
      <c r="AK24" s="18" t="e">
        <f t="shared" si="12"/>
        <v>#DIV/0!</v>
      </c>
      <c r="AL24" s="20"/>
      <c r="AM24" s="43"/>
      <c r="AN24" s="26"/>
      <c r="AO24" s="55"/>
      <c r="AP24" s="43"/>
      <c r="AQ24" s="26"/>
      <c r="AR24" s="55"/>
    </row>
    <row r="25" spans="1:44" x14ac:dyDescent="0.2">
      <c r="A25" s="36"/>
      <c r="B25" s="36"/>
      <c r="C25" s="36">
        <v>32</v>
      </c>
      <c r="D25" s="17">
        <f>TM!B23</f>
        <v>0</v>
      </c>
      <c r="E25" s="18">
        <f>TM!C23</f>
        <v>0</v>
      </c>
      <c r="F25" s="18">
        <f>TM!D23</f>
        <v>0</v>
      </c>
      <c r="G25" s="18">
        <f>TM!E23</f>
        <v>0</v>
      </c>
      <c r="H25" s="18">
        <f>TM!F23</f>
        <v>0</v>
      </c>
      <c r="I25" s="18">
        <f>TM!G23</f>
        <v>0</v>
      </c>
      <c r="J25" s="19">
        <f t="shared" si="6"/>
        <v>0</v>
      </c>
      <c r="L25" s="17">
        <f>Test!B23</f>
        <v>0</v>
      </c>
      <c r="M25" s="18">
        <f>Test!C23</f>
        <v>0</v>
      </c>
      <c r="N25" s="18">
        <f>Test!D23</f>
        <v>0</v>
      </c>
      <c r="O25" s="18">
        <f>Test!E23</f>
        <v>0</v>
      </c>
      <c r="P25" s="18">
        <f>Test!F23</f>
        <v>0</v>
      </c>
      <c r="Q25" s="18">
        <f>Test!G23</f>
        <v>0</v>
      </c>
      <c r="R25" s="19">
        <f t="shared" si="7"/>
        <v>0</v>
      </c>
      <c r="S25" s="18" t="e">
        <f t="shared" si="8"/>
        <v>#DIV/0!</v>
      </c>
      <c r="T25" s="18" t="e">
        <f t="shared" si="9"/>
        <v>#DIV/0!</v>
      </c>
      <c r="U25" s="60"/>
      <c r="V25" s="43"/>
      <c r="W25" s="26"/>
      <c r="X25" s="26"/>
      <c r="Y25" s="43"/>
      <c r="Z25" s="26"/>
      <c r="AA25" s="55"/>
      <c r="AB25" s="20"/>
      <c r="AC25" s="17">
        <f>BMS!B23</f>
        <v>0</v>
      </c>
      <c r="AD25" s="18">
        <f>BMS!C23</f>
        <v>0</v>
      </c>
      <c r="AE25" s="18">
        <f>BMS!D23</f>
        <v>0</v>
      </c>
      <c r="AF25" s="18">
        <f>BMS!E23</f>
        <v>0</v>
      </c>
      <c r="AG25" s="18">
        <f>BMS!F23</f>
        <v>0</v>
      </c>
      <c r="AH25" s="18">
        <f>BMS!G23</f>
        <v>0</v>
      </c>
      <c r="AI25" s="19">
        <f t="shared" si="10"/>
        <v>0</v>
      </c>
      <c r="AJ25" s="18" t="e">
        <f t="shared" si="11"/>
        <v>#DIV/0!</v>
      </c>
      <c r="AK25" s="18" t="e">
        <f t="shared" si="12"/>
        <v>#DIV/0!</v>
      </c>
      <c r="AL25" s="20"/>
      <c r="AM25" s="43"/>
      <c r="AN25" s="26"/>
      <c r="AO25" s="55"/>
      <c r="AP25" s="43"/>
      <c r="AQ25" s="26"/>
      <c r="AR25" s="55"/>
    </row>
    <row r="26" spans="1:44" ht="12.75" thickBot="1" x14ac:dyDescent="0.25">
      <c r="A26" s="36"/>
      <c r="B26" s="37"/>
      <c r="C26" s="37">
        <v>37</v>
      </c>
      <c r="D26" s="22">
        <f>TM!B24</f>
        <v>0</v>
      </c>
      <c r="E26" s="23">
        <f>TM!C24</f>
        <v>0</v>
      </c>
      <c r="F26" s="23">
        <f>TM!D24</f>
        <v>0</v>
      </c>
      <c r="G26" s="23">
        <f>TM!E24</f>
        <v>0</v>
      </c>
      <c r="H26" s="23">
        <f>TM!F24</f>
        <v>0</v>
      </c>
      <c r="I26" s="23">
        <f>TM!G24</f>
        <v>0</v>
      </c>
      <c r="J26" s="24">
        <f t="shared" si="6"/>
        <v>0</v>
      </c>
      <c r="L26" s="22">
        <f>Test!B24</f>
        <v>0</v>
      </c>
      <c r="M26" s="23">
        <f>Test!C24</f>
        <v>0</v>
      </c>
      <c r="N26" s="23">
        <f>Test!D24</f>
        <v>0</v>
      </c>
      <c r="O26" s="23">
        <f>Test!E24</f>
        <v>0</v>
      </c>
      <c r="P26" s="23">
        <f>Test!F24</f>
        <v>0</v>
      </c>
      <c r="Q26" s="23">
        <f>Test!G24</f>
        <v>0</v>
      </c>
      <c r="R26" s="24">
        <f t="shared" si="7"/>
        <v>0</v>
      </c>
      <c r="S26" s="18" t="e">
        <f t="shared" si="8"/>
        <v>#DIV/0!</v>
      </c>
      <c r="T26" s="18" t="e">
        <f t="shared" si="9"/>
        <v>#DIV/0!</v>
      </c>
      <c r="U26" s="60"/>
      <c r="V26" s="44"/>
      <c r="W26" s="56"/>
      <c r="X26" s="56"/>
      <c r="Y26" s="44"/>
      <c r="Z26" s="56"/>
      <c r="AA26" s="57"/>
      <c r="AB26" s="20"/>
      <c r="AC26" s="22">
        <f>BMS!B24</f>
        <v>0</v>
      </c>
      <c r="AD26" s="23">
        <f>BMS!C24</f>
        <v>0</v>
      </c>
      <c r="AE26" s="23">
        <f>BMS!D24</f>
        <v>0</v>
      </c>
      <c r="AF26" s="23">
        <f>BMS!E24</f>
        <v>0</v>
      </c>
      <c r="AG26" s="23">
        <f>BMS!F24</f>
        <v>0</v>
      </c>
      <c r="AH26" s="23">
        <f>BMS!G24</f>
        <v>0</v>
      </c>
      <c r="AI26" s="24">
        <f t="shared" si="10"/>
        <v>0</v>
      </c>
      <c r="AJ26" s="18" t="e">
        <f t="shared" si="11"/>
        <v>#DIV/0!</v>
      </c>
      <c r="AK26" s="18" t="e">
        <f t="shared" si="12"/>
        <v>#DIV/0!</v>
      </c>
      <c r="AL26" s="20"/>
      <c r="AM26" s="44"/>
      <c r="AN26" s="56"/>
      <c r="AO26" s="57"/>
      <c r="AP26" s="44"/>
      <c r="AQ26" s="56"/>
      <c r="AR26" s="57"/>
    </row>
    <row r="27" spans="1:44" x14ac:dyDescent="0.2">
      <c r="A27" s="11" t="s">
        <v>1</v>
      </c>
      <c r="B27" s="11" t="s">
        <v>427</v>
      </c>
      <c r="C27" s="11">
        <v>22</v>
      </c>
      <c r="D27" s="12">
        <f>TM!B25</f>
        <v>0</v>
      </c>
      <c r="E27" s="13">
        <f>TM!C25</f>
        <v>0</v>
      </c>
      <c r="F27" s="13">
        <f>TM!D25</f>
        <v>0</v>
      </c>
      <c r="G27" s="13">
        <f>TM!E25</f>
        <v>0</v>
      </c>
      <c r="H27" s="13">
        <f>TM!F25</f>
        <v>0</v>
      </c>
      <c r="I27" s="13">
        <f>TM!G25</f>
        <v>0</v>
      </c>
      <c r="J27" s="14">
        <f>H27/3600</f>
        <v>0</v>
      </c>
      <c r="L27" s="12">
        <f>Test!B25</f>
        <v>0</v>
      </c>
      <c r="M27" s="13">
        <f>Test!C25</f>
        <v>0</v>
      </c>
      <c r="N27" s="13">
        <f>Test!D25</f>
        <v>0</v>
      </c>
      <c r="O27" s="13">
        <f>Test!E25</f>
        <v>0</v>
      </c>
      <c r="P27" s="13">
        <f>Test!F25</f>
        <v>0</v>
      </c>
      <c r="Q27" s="13">
        <f>Test!G25</f>
        <v>0</v>
      </c>
      <c r="R27" s="14">
        <f>P27/3600</f>
        <v>0</v>
      </c>
      <c r="S27" s="13" t="e">
        <f>P27/H27</f>
        <v>#DIV/0!</v>
      </c>
      <c r="T27" s="13" t="e">
        <f>Q27/I27</f>
        <v>#DIV/0!</v>
      </c>
      <c r="U27" s="59"/>
      <c r="V27" s="42" t="e">
        <f>bdrate($D27:$D30,E27:E30,$L27:$L30,M27:M30)</f>
        <v>#VALUE!</v>
      </c>
      <c r="W27" s="47" t="e">
        <f>bdrate($D27:$D30,F27:F30,$L27:$L30,N27:N30)</f>
        <v>#VALUE!</v>
      </c>
      <c r="X27" s="48" t="e">
        <f>bdrate($D27:$D30,G27:G30,$L27:$L30,O27:O30)</f>
        <v>#VALUE!</v>
      </c>
      <c r="Y27" s="42" t="e">
        <f>bdrateOld($D27:$D30,E27:E30,$L27:$L30,M27:M30)</f>
        <v>#VALUE!</v>
      </c>
      <c r="Z27" s="47" t="e">
        <f>bdrateOld($D27:$D30,F27:F30,$L27:$L30,N27:N30)</f>
        <v>#VALUE!</v>
      </c>
      <c r="AA27" s="48" t="e">
        <f>bdrateOld($D27:$D30,G27:G30,$L27:$L30,O27:O30)</f>
        <v>#VALUE!</v>
      </c>
      <c r="AB27" s="54"/>
      <c r="AC27" s="12">
        <f>BMS!B25</f>
        <v>0</v>
      </c>
      <c r="AD27" s="13">
        <f>BMS!C25</f>
        <v>0</v>
      </c>
      <c r="AE27" s="13">
        <f>BMS!D25</f>
        <v>0</v>
      </c>
      <c r="AF27" s="13">
        <f>BMS!E25</f>
        <v>0</v>
      </c>
      <c r="AG27" s="13">
        <f>BMS!F25</f>
        <v>0</v>
      </c>
      <c r="AH27" s="13">
        <f>BMS!G25</f>
        <v>0</v>
      </c>
      <c r="AI27" s="14">
        <f>AG27/3600</f>
        <v>0</v>
      </c>
      <c r="AJ27" s="13" t="e">
        <f>R27/AI27</f>
        <v>#DIV/0!</v>
      </c>
      <c r="AK27" s="13" t="e">
        <f>Q27/AH27</f>
        <v>#DIV/0!</v>
      </c>
      <c r="AL27" s="54"/>
      <c r="AM27" s="42" t="e">
        <f>bdrate($AC27:$AC30,AD27:AD30,$L27:$L30, M27:M30)</f>
        <v>#VALUE!</v>
      </c>
      <c r="AN27" s="47" t="e">
        <f>bdrate($AC27:$AC30,AE27:AE30,$L27:$L30, N27:N30)</f>
        <v>#VALUE!</v>
      </c>
      <c r="AO27" s="48" t="e">
        <f>bdrate($AC27:$AC30,AF27:AF30,$L27:$L30, O27:O30)</f>
        <v>#VALUE!</v>
      </c>
      <c r="AP27" s="42" t="e">
        <f>bdrateOld($AC27:$AC30,AD27:AD30,$L27:$L30, M27:M30)</f>
        <v>#VALUE!</v>
      </c>
      <c r="AQ27" s="47" t="e">
        <f>bdrateOld($AC27:$AC30,AE27:AE30,$L27:$L30, N27:N30)</f>
        <v>#VALUE!</v>
      </c>
      <c r="AR27" s="48" t="e">
        <f>bdrateOld($AC27:$AC30,AF27:AF30,$L27:$L30, O27:O30)</f>
        <v>#VALUE!</v>
      </c>
    </row>
    <row r="28" spans="1:44" x14ac:dyDescent="0.2">
      <c r="A28" s="16" t="s">
        <v>49</v>
      </c>
      <c r="B28" s="16"/>
      <c r="C28" s="16">
        <v>27</v>
      </c>
      <c r="D28" s="17">
        <f>TM!B26</f>
        <v>0</v>
      </c>
      <c r="E28" s="18">
        <f>TM!C26</f>
        <v>0</v>
      </c>
      <c r="F28" s="18">
        <f>TM!D26</f>
        <v>0</v>
      </c>
      <c r="G28" s="18">
        <f>TM!E26</f>
        <v>0</v>
      </c>
      <c r="H28" s="18">
        <f>TM!F26</f>
        <v>0</v>
      </c>
      <c r="I28" s="18">
        <f>TM!G26</f>
        <v>0</v>
      </c>
      <c r="J28" s="19">
        <f t="shared" ref="J28:J46" si="13">H28/3600</f>
        <v>0</v>
      </c>
      <c r="L28" s="17">
        <f>Test!B26</f>
        <v>0</v>
      </c>
      <c r="M28" s="18">
        <f>Test!C26</f>
        <v>0</v>
      </c>
      <c r="N28" s="18">
        <f>Test!D26</f>
        <v>0</v>
      </c>
      <c r="O28" s="18">
        <f>Test!E26</f>
        <v>0</v>
      </c>
      <c r="P28" s="18">
        <f>Test!F26</f>
        <v>0</v>
      </c>
      <c r="Q28" s="18">
        <f>Test!G26</f>
        <v>0</v>
      </c>
      <c r="R28" s="19">
        <f t="shared" ref="R28:R46" si="14">P28/3600</f>
        <v>0</v>
      </c>
      <c r="S28" s="18" t="e">
        <f t="shared" ref="S28:S46" si="15">P28/H28</f>
        <v>#DIV/0!</v>
      </c>
      <c r="T28" s="18" t="e">
        <f t="shared" ref="T28:T46" si="16">Q28/I28</f>
        <v>#DIV/0!</v>
      </c>
      <c r="U28" s="60"/>
      <c r="V28" s="43"/>
      <c r="W28" s="26"/>
      <c r="X28" s="55"/>
      <c r="Y28" s="43"/>
      <c r="Z28" s="26"/>
      <c r="AA28" s="55"/>
      <c r="AB28" s="20"/>
      <c r="AC28" s="17">
        <f>BMS!B26</f>
        <v>0</v>
      </c>
      <c r="AD28" s="18">
        <f>BMS!C26</f>
        <v>0</v>
      </c>
      <c r="AE28" s="18">
        <f>BMS!D26</f>
        <v>0</v>
      </c>
      <c r="AF28" s="18">
        <f>BMS!E26</f>
        <v>0</v>
      </c>
      <c r="AG28" s="18">
        <f>BMS!F26</f>
        <v>0</v>
      </c>
      <c r="AH28" s="18">
        <f>BMS!G26</f>
        <v>0</v>
      </c>
      <c r="AI28" s="19">
        <f t="shared" ref="AI28:AI46" si="17">AG28/3600</f>
        <v>0</v>
      </c>
      <c r="AJ28" s="18" t="e">
        <f t="shared" ref="AJ28:AJ46" si="18">R28/AI28</f>
        <v>#DIV/0!</v>
      </c>
      <c r="AK28" s="18" t="e">
        <f t="shared" ref="AK28:AK46" si="19">Q28/AH28</f>
        <v>#DIV/0!</v>
      </c>
      <c r="AL28" s="20"/>
      <c r="AM28" s="43"/>
      <c r="AN28" s="26"/>
      <c r="AO28" s="55"/>
      <c r="AP28" s="43"/>
      <c r="AQ28" s="26"/>
      <c r="AR28" s="55"/>
    </row>
    <row r="29" spans="1:44" x14ac:dyDescent="0.2">
      <c r="A29" s="16"/>
      <c r="B29" s="16"/>
      <c r="C29" s="16">
        <v>32</v>
      </c>
      <c r="D29" s="17">
        <f>TM!B27</f>
        <v>0</v>
      </c>
      <c r="E29" s="18">
        <f>TM!C27</f>
        <v>0</v>
      </c>
      <c r="F29" s="18">
        <f>TM!D27</f>
        <v>0</v>
      </c>
      <c r="G29" s="18">
        <f>TM!E27</f>
        <v>0</v>
      </c>
      <c r="H29" s="18">
        <f>TM!F27</f>
        <v>0</v>
      </c>
      <c r="I29" s="18">
        <f>TM!G27</f>
        <v>0</v>
      </c>
      <c r="J29" s="19">
        <f t="shared" si="13"/>
        <v>0</v>
      </c>
      <c r="L29" s="17">
        <f>Test!B27</f>
        <v>0</v>
      </c>
      <c r="M29" s="18">
        <f>Test!C27</f>
        <v>0</v>
      </c>
      <c r="N29" s="18">
        <f>Test!D27</f>
        <v>0</v>
      </c>
      <c r="O29" s="18">
        <f>Test!E27</f>
        <v>0</v>
      </c>
      <c r="P29" s="18">
        <f>Test!F27</f>
        <v>0</v>
      </c>
      <c r="Q29" s="18">
        <f>Test!G27</f>
        <v>0</v>
      </c>
      <c r="R29" s="19">
        <f t="shared" si="14"/>
        <v>0</v>
      </c>
      <c r="S29" s="18" t="e">
        <f t="shared" si="15"/>
        <v>#DIV/0!</v>
      </c>
      <c r="T29" s="18" t="e">
        <f t="shared" si="16"/>
        <v>#DIV/0!</v>
      </c>
      <c r="U29" s="60"/>
      <c r="V29" s="43"/>
      <c r="W29" s="26"/>
      <c r="X29" s="55"/>
      <c r="Y29" s="43"/>
      <c r="Z29" s="26"/>
      <c r="AA29" s="55"/>
      <c r="AB29" s="20"/>
      <c r="AC29" s="17">
        <f>BMS!B27</f>
        <v>0</v>
      </c>
      <c r="AD29" s="18">
        <f>BMS!C27</f>
        <v>0</v>
      </c>
      <c r="AE29" s="18">
        <f>BMS!D27</f>
        <v>0</v>
      </c>
      <c r="AF29" s="18">
        <f>BMS!E27</f>
        <v>0</v>
      </c>
      <c r="AG29" s="18">
        <f>BMS!F27</f>
        <v>0</v>
      </c>
      <c r="AH29" s="18">
        <f>BMS!G27</f>
        <v>0</v>
      </c>
      <c r="AI29" s="19">
        <f t="shared" si="17"/>
        <v>0</v>
      </c>
      <c r="AJ29" s="18" t="e">
        <f t="shared" si="18"/>
        <v>#DIV/0!</v>
      </c>
      <c r="AK29" s="18" t="e">
        <f t="shared" si="19"/>
        <v>#DIV/0!</v>
      </c>
      <c r="AL29" s="20"/>
      <c r="AM29" s="43"/>
      <c r="AN29" s="26"/>
      <c r="AO29" s="55"/>
      <c r="AP29" s="43"/>
      <c r="AQ29" s="26"/>
      <c r="AR29" s="55"/>
    </row>
    <row r="30" spans="1:44" ht="12.75" thickBot="1" x14ac:dyDescent="0.25">
      <c r="A30" s="16"/>
      <c r="B30" s="21"/>
      <c r="C30" s="21">
        <v>37</v>
      </c>
      <c r="D30" s="22">
        <f>TM!B28</f>
        <v>0</v>
      </c>
      <c r="E30" s="23">
        <f>TM!C28</f>
        <v>0</v>
      </c>
      <c r="F30" s="23">
        <f>TM!D28</f>
        <v>0</v>
      </c>
      <c r="G30" s="23">
        <f>TM!E28</f>
        <v>0</v>
      </c>
      <c r="H30" s="23">
        <f>TM!F28</f>
        <v>0</v>
      </c>
      <c r="I30" s="23">
        <f>TM!G28</f>
        <v>0</v>
      </c>
      <c r="J30" s="24">
        <f t="shared" si="13"/>
        <v>0</v>
      </c>
      <c r="L30" s="22">
        <f>Test!B28</f>
        <v>0</v>
      </c>
      <c r="M30" s="23">
        <f>Test!C28</f>
        <v>0</v>
      </c>
      <c r="N30" s="23">
        <f>Test!D28</f>
        <v>0</v>
      </c>
      <c r="O30" s="23">
        <f>Test!E28</f>
        <v>0</v>
      </c>
      <c r="P30" s="23">
        <f>Test!F28</f>
        <v>0</v>
      </c>
      <c r="Q30" s="23">
        <f>Test!G28</f>
        <v>0</v>
      </c>
      <c r="R30" s="24">
        <f t="shared" si="14"/>
        <v>0</v>
      </c>
      <c r="S30" s="18" t="e">
        <f t="shared" si="15"/>
        <v>#DIV/0!</v>
      </c>
      <c r="T30" s="18" t="e">
        <f t="shared" si="16"/>
        <v>#DIV/0!</v>
      </c>
      <c r="U30" s="60"/>
      <c r="V30" s="44"/>
      <c r="W30" s="56"/>
      <c r="X30" s="57"/>
      <c r="Y30" s="44"/>
      <c r="Z30" s="56"/>
      <c r="AA30" s="57"/>
      <c r="AB30" s="20"/>
      <c r="AC30" s="22">
        <f>BMS!B28</f>
        <v>0</v>
      </c>
      <c r="AD30" s="23">
        <f>BMS!C28</f>
        <v>0</v>
      </c>
      <c r="AE30" s="23">
        <f>BMS!D28</f>
        <v>0</v>
      </c>
      <c r="AF30" s="23">
        <f>BMS!E28</f>
        <v>0</v>
      </c>
      <c r="AG30" s="23">
        <f>BMS!F28</f>
        <v>0</v>
      </c>
      <c r="AH30" s="23">
        <f>BMS!G28</f>
        <v>0</v>
      </c>
      <c r="AI30" s="24">
        <f t="shared" si="17"/>
        <v>0</v>
      </c>
      <c r="AJ30" s="18" t="e">
        <f t="shared" si="18"/>
        <v>#DIV/0!</v>
      </c>
      <c r="AK30" s="18" t="e">
        <f t="shared" si="19"/>
        <v>#DIV/0!</v>
      </c>
      <c r="AL30" s="20"/>
      <c r="AM30" s="44"/>
      <c r="AN30" s="56"/>
      <c r="AO30" s="57"/>
      <c r="AP30" s="44"/>
      <c r="AQ30" s="56"/>
      <c r="AR30" s="57"/>
    </row>
    <row r="31" spans="1:44" x14ac:dyDescent="0.2">
      <c r="A31" s="16"/>
      <c r="B31" s="11" t="s">
        <v>426</v>
      </c>
      <c r="C31" s="11">
        <v>22</v>
      </c>
      <c r="D31" s="12">
        <f>TM!B29</f>
        <v>0</v>
      </c>
      <c r="E31" s="13">
        <f>TM!C29</f>
        <v>0</v>
      </c>
      <c r="F31" s="13">
        <f>TM!D29</f>
        <v>0</v>
      </c>
      <c r="G31" s="13">
        <f>TM!E29</f>
        <v>0</v>
      </c>
      <c r="H31" s="13">
        <f>TM!F29</f>
        <v>0</v>
      </c>
      <c r="I31" s="13">
        <f>TM!G29</f>
        <v>0</v>
      </c>
      <c r="J31" s="14">
        <f t="shared" si="13"/>
        <v>0</v>
      </c>
      <c r="L31" s="12">
        <f>Test!B29</f>
        <v>0</v>
      </c>
      <c r="M31" s="13">
        <f>Test!C29</f>
        <v>0</v>
      </c>
      <c r="N31" s="13">
        <f>Test!D29</f>
        <v>0</v>
      </c>
      <c r="O31" s="13">
        <f>Test!E29</f>
        <v>0</v>
      </c>
      <c r="P31" s="13">
        <f>Test!F29</f>
        <v>0</v>
      </c>
      <c r="Q31" s="13">
        <f>Test!G29</f>
        <v>0</v>
      </c>
      <c r="R31" s="14">
        <f t="shared" si="14"/>
        <v>0</v>
      </c>
      <c r="S31" s="18" t="e">
        <f t="shared" si="15"/>
        <v>#DIV/0!</v>
      </c>
      <c r="T31" s="18" t="e">
        <f t="shared" si="16"/>
        <v>#DIV/0!</v>
      </c>
      <c r="U31" s="60"/>
      <c r="V31" s="42" t="e">
        <f>bdrate($D31:$D34,E31:E34,$L31:$L34,M31:M34)</f>
        <v>#VALUE!</v>
      </c>
      <c r="W31" s="47" t="e">
        <f>bdrate($D31:$D34,F31:F34,$L31:$L34,N31:N34)</f>
        <v>#VALUE!</v>
      </c>
      <c r="X31" s="47" t="e">
        <f>bdrate($D31:$D34,G31:G34,$L31:$L34,O31:O34)</f>
        <v>#VALUE!</v>
      </c>
      <c r="Y31" s="45" t="e">
        <f>bdrateOld($D31:$D34,E31:E34,$L31:$L34,M31:M34)</f>
        <v>#VALUE!</v>
      </c>
      <c r="Z31" s="49" t="e">
        <f>bdrateOld($D31:$D34,F31:F34,$L31:$L34,N31:N34)</f>
        <v>#VALUE!</v>
      </c>
      <c r="AA31" s="50" t="e">
        <f>bdrateOld($D31:$D34,G31:G34,$L31:$L34,O31:O34)</f>
        <v>#VALUE!</v>
      </c>
      <c r="AB31" s="20"/>
      <c r="AC31" s="12">
        <f>BMS!B29</f>
        <v>0</v>
      </c>
      <c r="AD31" s="13">
        <f>BMS!C29</f>
        <v>0</v>
      </c>
      <c r="AE31" s="13">
        <f>BMS!D29</f>
        <v>0</v>
      </c>
      <c r="AF31" s="13">
        <f>BMS!E29</f>
        <v>0</v>
      </c>
      <c r="AG31" s="13">
        <f>BMS!F29</f>
        <v>0</v>
      </c>
      <c r="AH31" s="13">
        <f>BMS!G29</f>
        <v>0</v>
      </c>
      <c r="AI31" s="14">
        <f t="shared" si="17"/>
        <v>0</v>
      </c>
      <c r="AJ31" s="18" t="e">
        <f t="shared" si="18"/>
        <v>#DIV/0!</v>
      </c>
      <c r="AK31" s="18" t="e">
        <f t="shared" si="19"/>
        <v>#DIV/0!</v>
      </c>
      <c r="AL31" s="20"/>
      <c r="AM31" s="42" t="e">
        <f>bdrate($AC31:$AC34,AD31:AD34,$L31:$L34, M31:M34)</f>
        <v>#VALUE!</v>
      </c>
      <c r="AN31" s="47" t="e">
        <f>bdrate($AC31:$AC34,AE31:AE34,$L31:$L34, N31:N34)</f>
        <v>#VALUE!</v>
      </c>
      <c r="AO31" s="48" t="e">
        <f>bdrate($AC31:$AC34,AF31:AF34,$L31:$L34, O31:O34)</f>
        <v>#VALUE!</v>
      </c>
      <c r="AP31" s="42" t="e">
        <f>bdrateOld($AC31:$AC34,AD31:AD34,$L31:$L34, M31:M34)</f>
        <v>#VALUE!</v>
      </c>
      <c r="AQ31" s="47" t="e">
        <f>bdrateOld($AC31:$AC34,AE31:AE34,$L31:$L34, N31:N34)</f>
        <v>#VALUE!</v>
      </c>
      <c r="AR31" s="48" t="e">
        <f>bdrateOld($AC31:$AC34,AF31:AF34,$L31:$L34, O31:O34)</f>
        <v>#VALUE!</v>
      </c>
    </row>
    <row r="32" spans="1:44" x14ac:dyDescent="0.2">
      <c r="A32" s="16"/>
      <c r="B32" s="16"/>
      <c r="C32" s="16">
        <v>27</v>
      </c>
      <c r="D32" s="17">
        <f>TM!B30</f>
        <v>0</v>
      </c>
      <c r="E32" s="18">
        <f>TM!C30</f>
        <v>0</v>
      </c>
      <c r="F32" s="18">
        <f>TM!D30</f>
        <v>0</v>
      </c>
      <c r="G32" s="18">
        <f>TM!E30</f>
        <v>0</v>
      </c>
      <c r="H32" s="18">
        <f>TM!F30</f>
        <v>0</v>
      </c>
      <c r="I32" s="18">
        <f>TM!G30</f>
        <v>0</v>
      </c>
      <c r="J32" s="19">
        <f t="shared" si="13"/>
        <v>0</v>
      </c>
      <c r="L32" s="17">
        <f>Test!B30</f>
        <v>0</v>
      </c>
      <c r="M32" s="18">
        <f>Test!C30</f>
        <v>0</v>
      </c>
      <c r="N32" s="18">
        <f>Test!D30</f>
        <v>0</v>
      </c>
      <c r="O32" s="18">
        <f>Test!E30</f>
        <v>0</v>
      </c>
      <c r="P32" s="18">
        <f>Test!F30</f>
        <v>0</v>
      </c>
      <c r="Q32" s="18">
        <f>Test!G30</f>
        <v>0</v>
      </c>
      <c r="R32" s="19">
        <f t="shared" si="14"/>
        <v>0</v>
      </c>
      <c r="S32" s="18" t="e">
        <f t="shared" si="15"/>
        <v>#DIV/0!</v>
      </c>
      <c r="T32" s="18" t="e">
        <f t="shared" si="16"/>
        <v>#DIV/0!</v>
      </c>
      <c r="U32" s="60"/>
      <c r="V32" s="43"/>
      <c r="W32" s="26"/>
      <c r="X32" s="26"/>
      <c r="Y32" s="43"/>
      <c r="Z32" s="26"/>
      <c r="AA32" s="55"/>
      <c r="AB32" s="20"/>
      <c r="AC32" s="17">
        <f>BMS!B30</f>
        <v>0</v>
      </c>
      <c r="AD32" s="18">
        <f>BMS!C30</f>
        <v>0</v>
      </c>
      <c r="AE32" s="18">
        <f>BMS!D30</f>
        <v>0</v>
      </c>
      <c r="AF32" s="18">
        <f>BMS!E30</f>
        <v>0</v>
      </c>
      <c r="AG32" s="18">
        <f>BMS!F30</f>
        <v>0</v>
      </c>
      <c r="AH32" s="18">
        <f>BMS!G30</f>
        <v>0</v>
      </c>
      <c r="AI32" s="19">
        <f t="shared" si="17"/>
        <v>0</v>
      </c>
      <c r="AJ32" s="18" t="e">
        <f t="shared" si="18"/>
        <v>#DIV/0!</v>
      </c>
      <c r="AK32" s="18" t="e">
        <f t="shared" si="19"/>
        <v>#DIV/0!</v>
      </c>
      <c r="AL32" s="20"/>
      <c r="AM32" s="43"/>
      <c r="AN32" s="26"/>
      <c r="AO32" s="55"/>
      <c r="AP32" s="43"/>
      <c r="AQ32" s="26"/>
      <c r="AR32" s="55"/>
    </row>
    <row r="33" spans="1:44" x14ac:dyDescent="0.2">
      <c r="A33" s="16"/>
      <c r="B33" s="16"/>
      <c r="C33" s="16">
        <v>32</v>
      </c>
      <c r="D33" s="17">
        <f>TM!B31</f>
        <v>0</v>
      </c>
      <c r="E33" s="18">
        <f>TM!C31</f>
        <v>0</v>
      </c>
      <c r="F33" s="18">
        <f>TM!D31</f>
        <v>0</v>
      </c>
      <c r="G33" s="18">
        <f>TM!E31</f>
        <v>0</v>
      </c>
      <c r="H33" s="18">
        <f>TM!F31</f>
        <v>0</v>
      </c>
      <c r="I33" s="18">
        <f>TM!G31</f>
        <v>0</v>
      </c>
      <c r="J33" s="19">
        <f t="shared" si="13"/>
        <v>0</v>
      </c>
      <c r="L33" s="17">
        <f>Test!B31</f>
        <v>0</v>
      </c>
      <c r="M33" s="18">
        <f>Test!C31</f>
        <v>0</v>
      </c>
      <c r="N33" s="18">
        <f>Test!D31</f>
        <v>0</v>
      </c>
      <c r="O33" s="18">
        <f>Test!E31</f>
        <v>0</v>
      </c>
      <c r="P33" s="18">
        <f>Test!F31</f>
        <v>0</v>
      </c>
      <c r="Q33" s="18">
        <f>Test!G31</f>
        <v>0</v>
      </c>
      <c r="R33" s="19">
        <f t="shared" si="14"/>
        <v>0</v>
      </c>
      <c r="S33" s="18" t="e">
        <f t="shared" si="15"/>
        <v>#DIV/0!</v>
      </c>
      <c r="T33" s="18" t="e">
        <f t="shared" si="16"/>
        <v>#DIV/0!</v>
      </c>
      <c r="U33" s="60"/>
      <c r="V33" s="43"/>
      <c r="W33" s="26"/>
      <c r="X33" s="26"/>
      <c r="Y33" s="43"/>
      <c r="Z33" s="26"/>
      <c r="AA33" s="55"/>
      <c r="AB33" s="20"/>
      <c r="AC33" s="17">
        <f>BMS!B31</f>
        <v>0</v>
      </c>
      <c r="AD33" s="18">
        <f>BMS!C31</f>
        <v>0</v>
      </c>
      <c r="AE33" s="18">
        <f>BMS!D31</f>
        <v>0</v>
      </c>
      <c r="AF33" s="18">
        <f>BMS!E31</f>
        <v>0</v>
      </c>
      <c r="AG33" s="18">
        <f>BMS!F31</f>
        <v>0</v>
      </c>
      <c r="AH33" s="18">
        <f>BMS!G31</f>
        <v>0</v>
      </c>
      <c r="AI33" s="19">
        <f t="shared" si="17"/>
        <v>0</v>
      </c>
      <c r="AJ33" s="18" t="e">
        <f t="shared" si="18"/>
        <v>#DIV/0!</v>
      </c>
      <c r="AK33" s="18" t="e">
        <f t="shared" si="19"/>
        <v>#DIV/0!</v>
      </c>
      <c r="AL33" s="20"/>
      <c r="AM33" s="43"/>
      <c r="AN33" s="26"/>
      <c r="AO33" s="55"/>
      <c r="AP33" s="43"/>
      <c r="AQ33" s="26"/>
      <c r="AR33" s="55"/>
    </row>
    <row r="34" spans="1:44" ht="12.75" thickBot="1" x14ac:dyDescent="0.25">
      <c r="A34" s="16"/>
      <c r="B34" s="21"/>
      <c r="C34" s="21">
        <v>37</v>
      </c>
      <c r="D34" s="22">
        <f>TM!B32</f>
        <v>0</v>
      </c>
      <c r="E34" s="23">
        <f>TM!C32</f>
        <v>0</v>
      </c>
      <c r="F34" s="23">
        <f>TM!D32</f>
        <v>0</v>
      </c>
      <c r="G34" s="23">
        <f>TM!E32</f>
        <v>0</v>
      </c>
      <c r="H34" s="23">
        <f>TM!F32</f>
        <v>0</v>
      </c>
      <c r="I34" s="23">
        <f>TM!G32</f>
        <v>0</v>
      </c>
      <c r="J34" s="24">
        <f t="shared" si="13"/>
        <v>0</v>
      </c>
      <c r="L34" s="22">
        <f>Test!B32</f>
        <v>0</v>
      </c>
      <c r="M34" s="23">
        <f>Test!C32</f>
        <v>0</v>
      </c>
      <c r="N34" s="23">
        <f>Test!D32</f>
        <v>0</v>
      </c>
      <c r="O34" s="23">
        <f>Test!E32</f>
        <v>0</v>
      </c>
      <c r="P34" s="23">
        <f>Test!F32</f>
        <v>0</v>
      </c>
      <c r="Q34" s="23">
        <f>Test!G32</f>
        <v>0</v>
      </c>
      <c r="R34" s="24">
        <f t="shared" si="14"/>
        <v>0</v>
      </c>
      <c r="S34" s="18" t="e">
        <f t="shared" si="15"/>
        <v>#DIV/0!</v>
      </c>
      <c r="T34" s="18" t="e">
        <f t="shared" si="16"/>
        <v>#DIV/0!</v>
      </c>
      <c r="U34" s="60"/>
      <c r="V34" s="44"/>
      <c r="W34" s="56"/>
      <c r="X34" s="56"/>
      <c r="Y34" s="44"/>
      <c r="Z34" s="56"/>
      <c r="AA34" s="57"/>
      <c r="AB34" s="20"/>
      <c r="AC34" s="22">
        <f>BMS!B32</f>
        <v>0</v>
      </c>
      <c r="AD34" s="23">
        <f>BMS!C32</f>
        <v>0</v>
      </c>
      <c r="AE34" s="23">
        <f>BMS!D32</f>
        <v>0</v>
      </c>
      <c r="AF34" s="23">
        <f>BMS!E32</f>
        <v>0</v>
      </c>
      <c r="AG34" s="23">
        <f>BMS!F32</f>
        <v>0</v>
      </c>
      <c r="AH34" s="23">
        <f>BMS!G32</f>
        <v>0</v>
      </c>
      <c r="AI34" s="24">
        <f t="shared" si="17"/>
        <v>0</v>
      </c>
      <c r="AJ34" s="18" t="e">
        <f t="shared" si="18"/>
        <v>#DIV/0!</v>
      </c>
      <c r="AK34" s="18" t="e">
        <f t="shared" si="19"/>
        <v>#DIV/0!</v>
      </c>
      <c r="AL34" s="20"/>
      <c r="AM34" s="44"/>
      <c r="AN34" s="56"/>
      <c r="AO34" s="57"/>
      <c r="AP34" s="44"/>
      <c r="AQ34" s="56"/>
      <c r="AR34" s="57"/>
    </row>
    <row r="35" spans="1:44" x14ac:dyDescent="0.2">
      <c r="A35" s="16"/>
      <c r="B35" s="11" t="s">
        <v>2</v>
      </c>
      <c r="C35" s="11">
        <v>22</v>
      </c>
      <c r="D35" s="12">
        <f>TM!B33</f>
        <v>0</v>
      </c>
      <c r="E35" s="13">
        <f>TM!C33</f>
        <v>0</v>
      </c>
      <c r="F35" s="13">
        <f>TM!D33</f>
        <v>0</v>
      </c>
      <c r="G35" s="13">
        <f>TM!E33</f>
        <v>0</v>
      </c>
      <c r="H35" s="13">
        <f>TM!F33</f>
        <v>0</v>
      </c>
      <c r="I35" s="13">
        <f>TM!G33</f>
        <v>0</v>
      </c>
      <c r="J35" s="14">
        <f t="shared" si="13"/>
        <v>0</v>
      </c>
      <c r="L35" s="12">
        <f>Test!B33</f>
        <v>0</v>
      </c>
      <c r="M35" s="13">
        <f>Test!C33</f>
        <v>0</v>
      </c>
      <c r="N35" s="13">
        <f>Test!D33</f>
        <v>0</v>
      </c>
      <c r="O35" s="13">
        <f>Test!E33</f>
        <v>0</v>
      </c>
      <c r="P35" s="13">
        <f>Test!F33</f>
        <v>0</v>
      </c>
      <c r="Q35" s="13">
        <f>Test!G33</f>
        <v>0</v>
      </c>
      <c r="R35" s="14">
        <f t="shared" si="14"/>
        <v>0</v>
      </c>
      <c r="S35" s="18" t="e">
        <f t="shared" si="15"/>
        <v>#DIV/0!</v>
      </c>
      <c r="T35" s="18" t="e">
        <f t="shared" si="16"/>
        <v>#DIV/0!</v>
      </c>
      <c r="U35" s="60"/>
      <c r="V35" s="42" t="e">
        <f>bdrate($D35:$D38,E35:E38,$L35:$L38,M35:M38)</f>
        <v>#VALUE!</v>
      </c>
      <c r="W35" s="47" t="e">
        <f>bdrate($D35:$D38,F35:F38,$L35:$L38,N35:N38)</f>
        <v>#VALUE!</v>
      </c>
      <c r="X35" s="47" t="e">
        <f>bdrate($D35:$D38,G35:G38,$L35:$L38,O35:O38)</f>
        <v>#VALUE!</v>
      </c>
      <c r="Y35" s="45" t="e">
        <f>bdrateOld($D35:$D38,E35:E38,$L35:$L38,M35:M38)</f>
        <v>#VALUE!</v>
      </c>
      <c r="Z35" s="49" t="e">
        <f>bdrateOld($D35:$D38,F35:F38,$L35:$L38,N35:N38)</f>
        <v>#VALUE!</v>
      </c>
      <c r="AA35" s="50" t="e">
        <f>bdrateOld($D35:$D38,G35:G38,$L35:$L38,O35:O38)</f>
        <v>#VALUE!</v>
      </c>
      <c r="AB35" s="20"/>
      <c r="AC35" s="12">
        <f>BMS!B33</f>
        <v>0</v>
      </c>
      <c r="AD35" s="13">
        <f>BMS!C33</f>
        <v>0</v>
      </c>
      <c r="AE35" s="13">
        <f>BMS!D33</f>
        <v>0</v>
      </c>
      <c r="AF35" s="13">
        <f>BMS!E33</f>
        <v>0</v>
      </c>
      <c r="AG35" s="13">
        <f>BMS!F33</f>
        <v>0</v>
      </c>
      <c r="AH35" s="13">
        <f>BMS!G33</f>
        <v>0</v>
      </c>
      <c r="AI35" s="14">
        <f t="shared" si="17"/>
        <v>0</v>
      </c>
      <c r="AJ35" s="18" t="e">
        <f t="shared" si="18"/>
        <v>#DIV/0!</v>
      </c>
      <c r="AK35" s="18" t="e">
        <f t="shared" si="19"/>
        <v>#DIV/0!</v>
      </c>
      <c r="AL35" s="20"/>
      <c r="AM35" s="42" t="e">
        <f>bdrate($AC35:$AC38,AD35:AD38,$L35:$L38, M35:M38)</f>
        <v>#VALUE!</v>
      </c>
      <c r="AN35" s="47" t="e">
        <f>bdrate($AC35:$AC38,AE35:AE38,$L35:$L38, N35:N38)</f>
        <v>#VALUE!</v>
      </c>
      <c r="AO35" s="48" t="e">
        <f>bdrate($AC35:$AC38,AF35:AF38,$L35:$L38, O35:O38)</f>
        <v>#VALUE!</v>
      </c>
      <c r="AP35" s="42" t="e">
        <f>bdrateOld($AC35:$AC38,AD35:AD38,$L35:$L38, M35:M38)</f>
        <v>#VALUE!</v>
      </c>
      <c r="AQ35" s="47" t="e">
        <f>bdrateOld($AC35:$AC38,AE35:AE38,$L35:$L38, N35:N38)</f>
        <v>#VALUE!</v>
      </c>
      <c r="AR35" s="48" t="e">
        <f>bdrateOld($AC35:$AC38,AF35:AF38,$L35:$L38, O35:O38)</f>
        <v>#VALUE!</v>
      </c>
    </row>
    <row r="36" spans="1:44" x14ac:dyDescent="0.2">
      <c r="A36" s="16"/>
      <c r="B36" s="16"/>
      <c r="C36" s="16">
        <v>27</v>
      </c>
      <c r="D36" s="17">
        <f>TM!B34</f>
        <v>0</v>
      </c>
      <c r="E36" s="18">
        <f>TM!C34</f>
        <v>0</v>
      </c>
      <c r="F36" s="18">
        <f>TM!D34</f>
        <v>0</v>
      </c>
      <c r="G36" s="18">
        <f>TM!E34</f>
        <v>0</v>
      </c>
      <c r="H36" s="18">
        <f>TM!F34</f>
        <v>0</v>
      </c>
      <c r="I36" s="18">
        <f>TM!G34</f>
        <v>0</v>
      </c>
      <c r="J36" s="19">
        <f t="shared" si="13"/>
        <v>0</v>
      </c>
      <c r="L36" s="17">
        <f>Test!B34</f>
        <v>0</v>
      </c>
      <c r="M36" s="18">
        <f>Test!C34</f>
        <v>0</v>
      </c>
      <c r="N36" s="18">
        <f>Test!D34</f>
        <v>0</v>
      </c>
      <c r="O36" s="18">
        <f>Test!E34</f>
        <v>0</v>
      </c>
      <c r="P36" s="18">
        <f>Test!F34</f>
        <v>0</v>
      </c>
      <c r="Q36" s="18">
        <f>Test!G34</f>
        <v>0</v>
      </c>
      <c r="R36" s="19">
        <f t="shared" si="14"/>
        <v>0</v>
      </c>
      <c r="S36" s="18" t="e">
        <f t="shared" si="15"/>
        <v>#DIV/0!</v>
      </c>
      <c r="T36" s="18" t="e">
        <f t="shared" si="16"/>
        <v>#DIV/0!</v>
      </c>
      <c r="U36" s="60"/>
      <c r="V36" s="43"/>
      <c r="W36" s="26"/>
      <c r="X36" s="26"/>
      <c r="Y36" s="43"/>
      <c r="Z36" s="26"/>
      <c r="AA36" s="55"/>
      <c r="AB36" s="20"/>
      <c r="AC36" s="17">
        <f>BMS!B34</f>
        <v>0</v>
      </c>
      <c r="AD36" s="18">
        <f>BMS!C34</f>
        <v>0</v>
      </c>
      <c r="AE36" s="18">
        <f>BMS!D34</f>
        <v>0</v>
      </c>
      <c r="AF36" s="18">
        <f>BMS!E34</f>
        <v>0</v>
      </c>
      <c r="AG36" s="18">
        <f>BMS!F34</f>
        <v>0</v>
      </c>
      <c r="AH36" s="18">
        <f>BMS!G34</f>
        <v>0</v>
      </c>
      <c r="AI36" s="19">
        <f t="shared" si="17"/>
        <v>0</v>
      </c>
      <c r="AJ36" s="18" t="e">
        <f t="shared" si="18"/>
        <v>#DIV/0!</v>
      </c>
      <c r="AK36" s="18" t="e">
        <f t="shared" si="19"/>
        <v>#DIV/0!</v>
      </c>
      <c r="AL36" s="20"/>
      <c r="AM36" s="43"/>
      <c r="AN36" s="26"/>
      <c r="AO36" s="55"/>
      <c r="AP36" s="43"/>
      <c r="AQ36" s="26"/>
      <c r="AR36" s="55"/>
    </row>
    <row r="37" spans="1:44" x14ac:dyDescent="0.2">
      <c r="A37" s="16"/>
      <c r="B37" s="16"/>
      <c r="C37" s="16">
        <v>32</v>
      </c>
      <c r="D37" s="17">
        <f>TM!B35</f>
        <v>0</v>
      </c>
      <c r="E37" s="18">
        <f>TM!C35</f>
        <v>0</v>
      </c>
      <c r="F37" s="18">
        <f>TM!D35</f>
        <v>0</v>
      </c>
      <c r="G37" s="18">
        <f>TM!E35</f>
        <v>0</v>
      </c>
      <c r="H37" s="18">
        <f>TM!F35</f>
        <v>0</v>
      </c>
      <c r="I37" s="18">
        <f>TM!G35</f>
        <v>0</v>
      </c>
      <c r="J37" s="19">
        <f t="shared" si="13"/>
        <v>0</v>
      </c>
      <c r="L37" s="17">
        <f>Test!B35</f>
        <v>0</v>
      </c>
      <c r="M37" s="18">
        <f>Test!C35</f>
        <v>0</v>
      </c>
      <c r="N37" s="18">
        <f>Test!D35</f>
        <v>0</v>
      </c>
      <c r="O37" s="18">
        <f>Test!E35</f>
        <v>0</v>
      </c>
      <c r="P37" s="18">
        <f>Test!F35</f>
        <v>0</v>
      </c>
      <c r="Q37" s="18">
        <f>Test!G35</f>
        <v>0</v>
      </c>
      <c r="R37" s="19">
        <f t="shared" si="14"/>
        <v>0</v>
      </c>
      <c r="S37" s="18" t="e">
        <f t="shared" si="15"/>
        <v>#DIV/0!</v>
      </c>
      <c r="T37" s="18" t="e">
        <f t="shared" si="16"/>
        <v>#DIV/0!</v>
      </c>
      <c r="U37" s="60"/>
      <c r="V37" s="43"/>
      <c r="W37" s="26"/>
      <c r="X37" s="26"/>
      <c r="Y37" s="43"/>
      <c r="Z37" s="26"/>
      <c r="AA37" s="55"/>
      <c r="AB37" s="20"/>
      <c r="AC37" s="17">
        <f>BMS!B35</f>
        <v>0</v>
      </c>
      <c r="AD37" s="18">
        <f>BMS!C35</f>
        <v>0</v>
      </c>
      <c r="AE37" s="18">
        <f>BMS!D35</f>
        <v>0</v>
      </c>
      <c r="AF37" s="18">
        <f>BMS!E35</f>
        <v>0</v>
      </c>
      <c r="AG37" s="18">
        <f>BMS!F35</f>
        <v>0</v>
      </c>
      <c r="AH37" s="18">
        <f>BMS!G35</f>
        <v>0</v>
      </c>
      <c r="AI37" s="19">
        <f t="shared" si="17"/>
        <v>0</v>
      </c>
      <c r="AJ37" s="18" t="e">
        <f t="shared" si="18"/>
        <v>#DIV/0!</v>
      </c>
      <c r="AK37" s="18" t="e">
        <f t="shared" si="19"/>
        <v>#DIV/0!</v>
      </c>
      <c r="AL37" s="20"/>
      <c r="AM37" s="43"/>
      <c r="AN37" s="26"/>
      <c r="AO37" s="55"/>
      <c r="AP37" s="43"/>
      <c r="AQ37" s="26"/>
      <c r="AR37" s="55"/>
    </row>
    <row r="38" spans="1:44" ht="12.75" thickBot="1" x14ac:dyDescent="0.25">
      <c r="A38" s="16"/>
      <c r="B38" s="21"/>
      <c r="C38" s="21">
        <v>37</v>
      </c>
      <c r="D38" s="22">
        <f>TM!B36</f>
        <v>0</v>
      </c>
      <c r="E38" s="23">
        <f>TM!C36</f>
        <v>0</v>
      </c>
      <c r="F38" s="23">
        <f>TM!D36</f>
        <v>0</v>
      </c>
      <c r="G38" s="23">
        <f>TM!E36</f>
        <v>0</v>
      </c>
      <c r="H38" s="23">
        <f>TM!F36</f>
        <v>0</v>
      </c>
      <c r="I38" s="23">
        <f>TM!G36</f>
        <v>0</v>
      </c>
      <c r="J38" s="24">
        <f t="shared" si="13"/>
        <v>0</v>
      </c>
      <c r="L38" s="22">
        <f>Test!B36</f>
        <v>0</v>
      </c>
      <c r="M38" s="23">
        <f>Test!C36</f>
        <v>0</v>
      </c>
      <c r="N38" s="23">
        <f>Test!D36</f>
        <v>0</v>
      </c>
      <c r="O38" s="23">
        <f>Test!E36</f>
        <v>0</v>
      </c>
      <c r="P38" s="23">
        <f>Test!F36</f>
        <v>0</v>
      </c>
      <c r="Q38" s="23">
        <f>Test!G36</f>
        <v>0</v>
      </c>
      <c r="R38" s="24">
        <f t="shared" si="14"/>
        <v>0</v>
      </c>
      <c r="S38" s="18" t="e">
        <f t="shared" si="15"/>
        <v>#DIV/0!</v>
      </c>
      <c r="T38" s="18" t="e">
        <f t="shared" si="16"/>
        <v>#DIV/0!</v>
      </c>
      <c r="U38" s="60"/>
      <c r="V38" s="44"/>
      <c r="W38" s="56"/>
      <c r="X38" s="56"/>
      <c r="Y38" s="44"/>
      <c r="Z38" s="56"/>
      <c r="AA38" s="57"/>
      <c r="AB38" s="20"/>
      <c r="AC38" s="22">
        <f>BMS!B36</f>
        <v>0</v>
      </c>
      <c r="AD38" s="23">
        <f>BMS!C36</f>
        <v>0</v>
      </c>
      <c r="AE38" s="23">
        <f>BMS!D36</f>
        <v>0</v>
      </c>
      <c r="AF38" s="23">
        <f>BMS!E36</f>
        <v>0</v>
      </c>
      <c r="AG38" s="23">
        <f>BMS!F36</f>
        <v>0</v>
      </c>
      <c r="AH38" s="23">
        <f>BMS!G36</f>
        <v>0</v>
      </c>
      <c r="AI38" s="24">
        <f t="shared" si="17"/>
        <v>0</v>
      </c>
      <c r="AJ38" s="18" t="e">
        <f t="shared" si="18"/>
        <v>#DIV/0!</v>
      </c>
      <c r="AK38" s="18" t="e">
        <f t="shared" si="19"/>
        <v>#DIV/0!</v>
      </c>
      <c r="AL38" s="20"/>
      <c r="AM38" s="44"/>
      <c r="AN38" s="56"/>
      <c r="AO38" s="57"/>
      <c r="AP38" s="44"/>
      <c r="AQ38" s="56"/>
      <c r="AR38" s="57"/>
    </row>
    <row r="39" spans="1:44" x14ac:dyDescent="0.2">
      <c r="A39" s="16"/>
      <c r="B39" s="11" t="s">
        <v>3</v>
      </c>
      <c r="C39" s="11">
        <v>22</v>
      </c>
      <c r="D39" s="12">
        <f>TM!B37</f>
        <v>0</v>
      </c>
      <c r="E39" s="13">
        <f>TM!C37</f>
        <v>0</v>
      </c>
      <c r="F39" s="13">
        <f>TM!D37</f>
        <v>0</v>
      </c>
      <c r="G39" s="13">
        <f>TM!E37</f>
        <v>0</v>
      </c>
      <c r="H39" s="13">
        <f>TM!F37</f>
        <v>0</v>
      </c>
      <c r="I39" s="13">
        <f>TM!G37</f>
        <v>0</v>
      </c>
      <c r="J39" s="14">
        <f t="shared" si="13"/>
        <v>0</v>
      </c>
      <c r="L39" s="12">
        <f>Test!B37</f>
        <v>0</v>
      </c>
      <c r="M39" s="13">
        <f>Test!C37</f>
        <v>0</v>
      </c>
      <c r="N39" s="13">
        <f>Test!D37</f>
        <v>0</v>
      </c>
      <c r="O39" s="13">
        <f>Test!E37</f>
        <v>0</v>
      </c>
      <c r="P39" s="13">
        <f>Test!F37</f>
        <v>0</v>
      </c>
      <c r="Q39" s="13">
        <f>Test!G37</f>
        <v>0</v>
      </c>
      <c r="R39" s="14">
        <f t="shared" si="14"/>
        <v>0</v>
      </c>
      <c r="S39" s="18" t="e">
        <f t="shared" si="15"/>
        <v>#DIV/0!</v>
      </c>
      <c r="T39" s="18" t="e">
        <f t="shared" si="16"/>
        <v>#DIV/0!</v>
      </c>
      <c r="U39" s="60"/>
      <c r="V39" s="42" t="e">
        <f>bdrate($D39:$D42,E39:E42,$L39:$L42,M39:M42)</f>
        <v>#VALUE!</v>
      </c>
      <c r="W39" s="47" t="e">
        <f>bdrate($D39:$D42,F39:F42,$L39:$L42,N39:N42)</f>
        <v>#VALUE!</v>
      </c>
      <c r="X39" s="47" t="e">
        <f>bdrate($D39:$D42,G39:G42,$L39:$L42,O39:O42)</f>
        <v>#VALUE!</v>
      </c>
      <c r="Y39" s="45" t="e">
        <f>bdrateOld($D39:$D42,E39:E42,$L39:$L42,M39:M42)</f>
        <v>#VALUE!</v>
      </c>
      <c r="Z39" s="49" t="e">
        <f>bdrateOld($D39:$D42,F39:F42,$L39:$L42,N39:N42)</f>
        <v>#VALUE!</v>
      </c>
      <c r="AA39" s="50" t="e">
        <f>bdrateOld($D39:$D42,G39:G42,$L39:$L42,O39:O42)</f>
        <v>#VALUE!</v>
      </c>
      <c r="AB39" s="20"/>
      <c r="AC39" s="12">
        <f>BMS!B37</f>
        <v>0</v>
      </c>
      <c r="AD39" s="13">
        <f>BMS!C37</f>
        <v>0</v>
      </c>
      <c r="AE39" s="13">
        <f>BMS!D37</f>
        <v>0</v>
      </c>
      <c r="AF39" s="13">
        <f>BMS!E37</f>
        <v>0</v>
      </c>
      <c r="AG39" s="13">
        <f>BMS!F37</f>
        <v>0</v>
      </c>
      <c r="AH39" s="13">
        <f>BMS!G37</f>
        <v>0</v>
      </c>
      <c r="AI39" s="14">
        <f t="shared" si="17"/>
        <v>0</v>
      </c>
      <c r="AJ39" s="18" t="e">
        <f t="shared" si="18"/>
        <v>#DIV/0!</v>
      </c>
      <c r="AK39" s="18" t="e">
        <f t="shared" si="19"/>
        <v>#DIV/0!</v>
      </c>
      <c r="AL39" s="20"/>
      <c r="AM39" s="42" t="e">
        <f>bdrate($AC39:$AC42,AD39:AD42,$L39:$L42, M39:M42)</f>
        <v>#VALUE!</v>
      </c>
      <c r="AN39" s="47" t="e">
        <f>bdrate($AC39:$AC42,AE39:AE42,$L39:$L42, N39:N42)</f>
        <v>#VALUE!</v>
      </c>
      <c r="AO39" s="48" t="e">
        <f>bdrate($AC39:$AC42,AF39:AF42,$L39:$L42, O39:O42)</f>
        <v>#VALUE!</v>
      </c>
      <c r="AP39" s="42" t="e">
        <f>bdrateOld($AC39:$AC42,AD39:AD42,$L39:$L42, M39:M42)</f>
        <v>#VALUE!</v>
      </c>
      <c r="AQ39" s="47" t="e">
        <f>bdrateOld($AC39:$AC42,AE39:AE42,$L39:$L42, N39:N42)</f>
        <v>#VALUE!</v>
      </c>
      <c r="AR39" s="48" t="e">
        <f>bdrateOld($AC39:$AC42,AF39:AF42,$L39:$L42, O39:O42)</f>
        <v>#VALUE!</v>
      </c>
    </row>
    <row r="40" spans="1:44" x14ac:dyDescent="0.2">
      <c r="A40" s="16"/>
      <c r="B40" s="16"/>
      <c r="C40" s="16">
        <v>27</v>
      </c>
      <c r="D40" s="17">
        <f>TM!B38</f>
        <v>0</v>
      </c>
      <c r="E40" s="18">
        <f>TM!C38</f>
        <v>0</v>
      </c>
      <c r="F40" s="18">
        <f>TM!D38</f>
        <v>0</v>
      </c>
      <c r="G40" s="18">
        <f>TM!E38</f>
        <v>0</v>
      </c>
      <c r="H40" s="18">
        <f>TM!F38</f>
        <v>0</v>
      </c>
      <c r="I40" s="18">
        <f>TM!G38</f>
        <v>0</v>
      </c>
      <c r="J40" s="19">
        <f t="shared" si="13"/>
        <v>0</v>
      </c>
      <c r="L40" s="17">
        <f>Test!B38</f>
        <v>0</v>
      </c>
      <c r="M40" s="18">
        <f>Test!C38</f>
        <v>0</v>
      </c>
      <c r="N40" s="18">
        <f>Test!D38</f>
        <v>0</v>
      </c>
      <c r="O40" s="18">
        <f>Test!E38</f>
        <v>0</v>
      </c>
      <c r="P40" s="18">
        <f>Test!F38</f>
        <v>0</v>
      </c>
      <c r="Q40" s="18">
        <f>Test!G38</f>
        <v>0</v>
      </c>
      <c r="R40" s="19">
        <f t="shared" si="14"/>
        <v>0</v>
      </c>
      <c r="S40" s="18" t="e">
        <f t="shared" si="15"/>
        <v>#DIV/0!</v>
      </c>
      <c r="T40" s="18" t="e">
        <f t="shared" si="16"/>
        <v>#DIV/0!</v>
      </c>
      <c r="U40" s="60"/>
      <c r="V40" s="43"/>
      <c r="W40" s="26"/>
      <c r="X40" s="26"/>
      <c r="Y40" s="43"/>
      <c r="Z40" s="26"/>
      <c r="AA40" s="55"/>
      <c r="AB40" s="20"/>
      <c r="AC40" s="17">
        <f>BMS!B38</f>
        <v>0</v>
      </c>
      <c r="AD40" s="18">
        <f>BMS!C38</f>
        <v>0</v>
      </c>
      <c r="AE40" s="18">
        <f>BMS!D38</f>
        <v>0</v>
      </c>
      <c r="AF40" s="18">
        <f>BMS!E38</f>
        <v>0</v>
      </c>
      <c r="AG40" s="18">
        <f>BMS!F38</f>
        <v>0</v>
      </c>
      <c r="AH40" s="18">
        <f>BMS!G38</f>
        <v>0</v>
      </c>
      <c r="AI40" s="19">
        <f t="shared" si="17"/>
        <v>0</v>
      </c>
      <c r="AJ40" s="18" t="e">
        <f t="shared" si="18"/>
        <v>#DIV/0!</v>
      </c>
      <c r="AK40" s="18" t="e">
        <f t="shared" si="19"/>
        <v>#DIV/0!</v>
      </c>
      <c r="AL40" s="20"/>
      <c r="AM40" s="43"/>
      <c r="AN40" s="26"/>
      <c r="AO40" s="55"/>
      <c r="AP40" s="43"/>
      <c r="AQ40" s="26"/>
      <c r="AR40" s="55"/>
    </row>
    <row r="41" spans="1:44" x14ac:dyDescent="0.2">
      <c r="A41" s="16"/>
      <c r="B41" s="16"/>
      <c r="C41" s="16">
        <v>32</v>
      </c>
      <c r="D41" s="17">
        <f>TM!B39</f>
        <v>0</v>
      </c>
      <c r="E41" s="18">
        <f>TM!C39</f>
        <v>0</v>
      </c>
      <c r="F41" s="18">
        <f>TM!D39</f>
        <v>0</v>
      </c>
      <c r="G41" s="18">
        <f>TM!E39</f>
        <v>0</v>
      </c>
      <c r="H41" s="18">
        <f>TM!F39</f>
        <v>0</v>
      </c>
      <c r="I41" s="18">
        <f>TM!G39</f>
        <v>0</v>
      </c>
      <c r="J41" s="19">
        <f t="shared" si="13"/>
        <v>0</v>
      </c>
      <c r="L41" s="17">
        <f>Test!B39</f>
        <v>0</v>
      </c>
      <c r="M41" s="18">
        <f>Test!C39</f>
        <v>0</v>
      </c>
      <c r="N41" s="18">
        <f>Test!D39</f>
        <v>0</v>
      </c>
      <c r="O41" s="18">
        <f>Test!E39</f>
        <v>0</v>
      </c>
      <c r="P41" s="18">
        <f>Test!F39</f>
        <v>0</v>
      </c>
      <c r="Q41" s="18">
        <f>Test!G39</f>
        <v>0</v>
      </c>
      <c r="R41" s="19">
        <f t="shared" si="14"/>
        <v>0</v>
      </c>
      <c r="S41" s="18" t="e">
        <f t="shared" si="15"/>
        <v>#DIV/0!</v>
      </c>
      <c r="T41" s="18" t="e">
        <f t="shared" si="16"/>
        <v>#DIV/0!</v>
      </c>
      <c r="U41" s="60"/>
      <c r="V41" s="43"/>
      <c r="W41" s="26"/>
      <c r="X41" s="26"/>
      <c r="Y41" s="43"/>
      <c r="Z41" s="26"/>
      <c r="AA41" s="55"/>
      <c r="AB41" s="20"/>
      <c r="AC41" s="17">
        <f>BMS!B39</f>
        <v>0</v>
      </c>
      <c r="AD41" s="18">
        <f>BMS!C39</f>
        <v>0</v>
      </c>
      <c r="AE41" s="18">
        <f>BMS!D39</f>
        <v>0</v>
      </c>
      <c r="AF41" s="18">
        <f>BMS!E39</f>
        <v>0</v>
      </c>
      <c r="AG41" s="18">
        <f>BMS!F39</f>
        <v>0</v>
      </c>
      <c r="AH41" s="18">
        <f>BMS!G39</f>
        <v>0</v>
      </c>
      <c r="AI41" s="19">
        <f t="shared" si="17"/>
        <v>0</v>
      </c>
      <c r="AJ41" s="18" t="e">
        <f t="shared" si="18"/>
        <v>#DIV/0!</v>
      </c>
      <c r="AK41" s="18" t="e">
        <f t="shared" si="19"/>
        <v>#DIV/0!</v>
      </c>
      <c r="AL41" s="20"/>
      <c r="AM41" s="43"/>
      <c r="AN41" s="26"/>
      <c r="AO41" s="55"/>
      <c r="AP41" s="43"/>
      <c r="AQ41" s="26"/>
      <c r="AR41" s="55"/>
    </row>
    <row r="42" spans="1:44" ht="12.75" thickBot="1" x14ac:dyDescent="0.25">
      <c r="A42" s="16"/>
      <c r="B42" s="21"/>
      <c r="C42" s="21">
        <v>37</v>
      </c>
      <c r="D42" s="22">
        <f>TM!B40</f>
        <v>0</v>
      </c>
      <c r="E42" s="23">
        <f>TM!C40</f>
        <v>0</v>
      </c>
      <c r="F42" s="23">
        <f>TM!D40</f>
        <v>0</v>
      </c>
      <c r="G42" s="23">
        <f>TM!E40</f>
        <v>0</v>
      </c>
      <c r="H42" s="23">
        <f>TM!F40</f>
        <v>0</v>
      </c>
      <c r="I42" s="23">
        <f>TM!G40</f>
        <v>0</v>
      </c>
      <c r="J42" s="24">
        <f t="shared" si="13"/>
        <v>0</v>
      </c>
      <c r="L42" s="22">
        <f>Test!B40</f>
        <v>0</v>
      </c>
      <c r="M42" s="23">
        <f>Test!C40</f>
        <v>0</v>
      </c>
      <c r="N42" s="23">
        <f>Test!D40</f>
        <v>0</v>
      </c>
      <c r="O42" s="23">
        <f>Test!E40</f>
        <v>0</v>
      </c>
      <c r="P42" s="23">
        <f>Test!F40</f>
        <v>0</v>
      </c>
      <c r="Q42" s="23">
        <f>Test!G40</f>
        <v>0</v>
      </c>
      <c r="R42" s="24">
        <f t="shared" si="14"/>
        <v>0</v>
      </c>
      <c r="S42" s="18" t="e">
        <f t="shared" si="15"/>
        <v>#DIV/0!</v>
      </c>
      <c r="T42" s="18" t="e">
        <f t="shared" si="16"/>
        <v>#DIV/0!</v>
      </c>
      <c r="U42" s="60"/>
      <c r="V42" s="44"/>
      <c r="W42" s="56"/>
      <c r="X42" s="56"/>
      <c r="Y42" s="44"/>
      <c r="Z42" s="56"/>
      <c r="AA42" s="57"/>
      <c r="AB42" s="20"/>
      <c r="AC42" s="22">
        <f>BMS!B40</f>
        <v>0</v>
      </c>
      <c r="AD42" s="23">
        <f>BMS!C40</f>
        <v>0</v>
      </c>
      <c r="AE42" s="23">
        <f>BMS!D40</f>
        <v>0</v>
      </c>
      <c r="AF42" s="23">
        <f>BMS!E40</f>
        <v>0</v>
      </c>
      <c r="AG42" s="23">
        <f>BMS!F40</f>
        <v>0</v>
      </c>
      <c r="AH42" s="23">
        <f>BMS!G40</f>
        <v>0</v>
      </c>
      <c r="AI42" s="24">
        <f t="shared" si="17"/>
        <v>0</v>
      </c>
      <c r="AJ42" s="18" t="e">
        <f t="shared" si="18"/>
        <v>#DIV/0!</v>
      </c>
      <c r="AK42" s="18" t="e">
        <f t="shared" si="19"/>
        <v>#DIV/0!</v>
      </c>
      <c r="AL42" s="20"/>
      <c r="AM42" s="44"/>
      <c r="AN42" s="56"/>
      <c r="AO42" s="57"/>
      <c r="AP42" s="44"/>
      <c r="AQ42" s="56"/>
      <c r="AR42" s="57"/>
    </row>
    <row r="43" spans="1:44" x14ac:dyDescent="0.2">
      <c r="A43" s="16"/>
      <c r="B43" s="11" t="s">
        <v>4</v>
      </c>
      <c r="C43" s="11">
        <v>22</v>
      </c>
      <c r="D43" s="12">
        <f>TM!B41</f>
        <v>0</v>
      </c>
      <c r="E43" s="13">
        <f>TM!C41</f>
        <v>0</v>
      </c>
      <c r="F43" s="13">
        <f>TM!D41</f>
        <v>0</v>
      </c>
      <c r="G43" s="13">
        <f>TM!E41</f>
        <v>0</v>
      </c>
      <c r="H43" s="13">
        <f>TM!F41</f>
        <v>0</v>
      </c>
      <c r="I43" s="13">
        <f>TM!G41</f>
        <v>0</v>
      </c>
      <c r="J43" s="14">
        <f t="shared" si="13"/>
        <v>0</v>
      </c>
      <c r="L43" s="12">
        <f>Test!B41</f>
        <v>0</v>
      </c>
      <c r="M43" s="13">
        <f>Test!C41</f>
        <v>0</v>
      </c>
      <c r="N43" s="13">
        <f>Test!D41</f>
        <v>0</v>
      </c>
      <c r="O43" s="13">
        <f>Test!E41</f>
        <v>0</v>
      </c>
      <c r="P43" s="13">
        <f>Test!F41</f>
        <v>0</v>
      </c>
      <c r="Q43" s="13">
        <f>Test!G41</f>
        <v>0</v>
      </c>
      <c r="R43" s="14">
        <f t="shared" si="14"/>
        <v>0</v>
      </c>
      <c r="S43" s="18" t="e">
        <f t="shared" si="15"/>
        <v>#DIV/0!</v>
      </c>
      <c r="T43" s="18" t="e">
        <f t="shared" si="16"/>
        <v>#DIV/0!</v>
      </c>
      <c r="U43" s="60"/>
      <c r="V43" s="42" t="e">
        <f>bdrate($D43:$D46,E43:E46,$L43:$L46,M43:M46)</f>
        <v>#VALUE!</v>
      </c>
      <c r="W43" s="47" t="e">
        <f>bdrate($D43:$D46,F43:F46,$L43:$L46,N43:N46)</f>
        <v>#VALUE!</v>
      </c>
      <c r="X43" s="47" t="e">
        <f>bdrate($D43:$D46,G43:G46,$L43:$L46,O43:O46)</f>
        <v>#VALUE!</v>
      </c>
      <c r="Y43" s="45" t="e">
        <f>bdrateOld($D43:$D46,E43:E46,$L43:$L46,M43:M46)</f>
        <v>#VALUE!</v>
      </c>
      <c r="Z43" s="49" t="e">
        <f>bdrateOld($D43:$D46,F43:F46,$L43:$L46,N43:N46)</f>
        <v>#VALUE!</v>
      </c>
      <c r="AA43" s="50" t="e">
        <f>bdrateOld($D43:$D46,G43:G46,$L43:$L46,O43:O46)</f>
        <v>#VALUE!</v>
      </c>
      <c r="AB43" s="20"/>
      <c r="AC43" s="12">
        <f>BMS!B41</f>
        <v>0</v>
      </c>
      <c r="AD43" s="13">
        <f>BMS!C41</f>
        <v>0</v>
      </c>
      <c r="AE43" s="13">
        <f>BMS!D41</f>
        <v>0</v>
      </c>
      <c r="AF43" s="13">
        <f>BMS!E41</f>
        <v>0</v>
      </c>
      <c r="AG43" s="13">
        <f>BMS!F41</f>
        <v>0</v>
      </c>
      <c r="AH43" s="13">
        <f>BMS!G41</f>
        <v>0</v>
      </c>
      <c r="AI43" s="14">
        <f t="shared" si="17"/>
        <v>0</v>
      </c>
      <c r="AJ43" s="18" t="e">
        <f t="shared" si="18"/>
        <v>#DIV/0!</v>
      </c>
      <c r="AK43" s="18" t="e">
        <f t="shared" si="19"/>
        <v>#DIV/0!</v>
      </c>
      <c r="AL43" s="20"/>
      <c r="AM43" s="42" t="e">
        <f>bdrate($AC43:$AC46,AD43:AD46,$L43:$L46, M43:M46)</f>
        <v>#VALUE!</v>
      </c>
      <c r="AN43" s="47" t="e">
        <f>bdrate($AC43:$AC46,AE43:AE46,$L43:$L46, N43:N46)</f>
        <v>#VALUE!</v>
      </c>
      <c r="AO43" s="48" t="e">
        <f>bdrate($AC43:$AC46,AF43:AF46,$L43:$L46, O43:O46)</f>
        <v>#VALUE!</v>
      </c>
      <c r="AP43" s="42" t="e">
        <f>bdrateOld($AC43:$AC46,AD43:AD46,$L43:$L46, M43:M46)</f>
        <v>#VALUE!</v>
      </c>
      <c r="AQ43" s="47" t="e">
        <f>bdrateOld($AC43:$AC46,AE43:AE46,$L43:$L46, N43:N46)</f>
        <v>#VALUE!</v>
      </c>
      <c r="AR43" s="48" t="e">
        <f>bdrateOld($AC43:$AC46,AF43:AF46,$L43:$L46, O43:O46)</f>
        <v>#VALUE!</v>
      </c>
    </row>
    <row r="44" spans="1:44" x14ac:dyDescent="0.2">
      <c r="A44" s="16"/>
      <c r="B44" s="16"/>
      <c r="C44" s="16">
        <v>27</v>
      </c>
      <c r="D44" s="17">
        <f>TM!B42</f>
        <v>0</v>
      </c>
      <c r="E44" s="18">
        <f>TM!C42</f>
        <v>0</v>
      </c>
      <c r="F44" s="18">
        <f>TM!D42</f>
        <v>0</v>
      </c>
      <c r="G44" s="18">
        <f>TM!E42</f>
        <v>0</v>
      </c>
      <c r="H44" s="18">
        <f>TM!F42</f>
        <v>0</v>
      </c>
      <c r="I44" s="18">
        <f>TM!G42</f>
        <v>0</v>
      </c>
      <c r="J44" s="19">
        <f t="shared" si="13"/>
        <v>0</v>
      </c>
      <c r="L44" s="17">
        <f>Test!B42</f>
        <v>0</v>
      </c>
      <c r="M44" s="18">
        <f>Test!C42</f>
        <v>0</v>
      </c>
      <c r="N44" s="18">
        <f>Test!D42</f>
        <v>0</v>
      </c>
      <c r="O44" s="18">
        <f>Test!E42</f>
        <v>0</v>
      </c>
      <c r="P44" s="18">
        <f>Test!F42</f>
        <v>0</v>
      </c>
      <c r="Q44" s="18">
        <f>Test!G42</f>
        <v>0</v>
      </c>
      <c r="R44" s="19">
        <f t="shared" si="14"/>
        <v>0</v>
      </c>
      <c r="S44" s="18" t="e">
        <f t="shared" si="15"/>
        <v>#DIV/0!</v>
      </c>
      <c r="T44" s="18" t="e">
        <f t="shared" si="16"/>
        <v>#DIV/0!</v>
      </c>
      <c r="U44" s="60"/>
      <c r="V44" s="43"/>
      <c r="W44" s="26"/>
      <c r="X44" s="26"/>
      <c r="Y44" s="43"/>
      <c r="Z44" s="26"/>
      <c r="AA44" s="55"/>
      <c r="AB44" s="20"/>
      <c r="AC44" s="17">
        <f>BMS!B42</f>
        <v>0</v>
      </c>
      <c r="AD44" s="18">
        <f>BMS!C42</f>
        <v>0</v>
      </c>
      <c r="AE44" s="18">
        <f>BMS!D42</f>
        <v>0</v>
      </c>
      <c r="AF44" s="18">
        <f>BMS!E42</f>
        <v>0</v>
      </c>
      <c r="AG44" s="18">
        <f>BMS!F42</f>
        <v>0</v>
      </c>
      <c r="AH44" s="18">
        <f>BMS!G42</f>
        <v>0</v>
      </c>
      <c r="AI44" s="19">
        <f t="shared" si="17"/>
        <v>0</v>
      </c>
      <c r="AJ44" s="18" t="e">
        <f t="shared" si="18"/>
        <v>#DIV/0!</v>
      </c>
      <c r="AK44" s="18" t="e">
        <f t="shared" si="19"/>
        <v>#DIV/0!</v>
      </c>
      <c r="AL44" s="20"/>
      <c r="AM44" s="43"/>
      <c r="AN44" s="26"/>
      <c r="AO44" s="55"/>
      <c r="AP44" s="43"/>
      <c r="AQ44" s="26"/>
      <c r="AR44" s="55"/>
    </row>
    <row r="45" spans="1:44" x14ac:dyDescent="0.2">
      <c r="A45" s="16"/>
      <c r="B45" s="16"/>
      <c r="C45" s="16">
        <v>32</v>
      </c>
      <c r="D45" s="17">
        <f>TM!B43</f>
        <v>0</v>
      </c>
      <c r="E45" s="18">
        <f>TM!C43</f>
        <v>0</v>
      </c>
      <c r="F45" s="18">
        <f>TM!D43</f>
        <v>0</v>
      </c>
      <c r="G45" s="18">
        <f>TM!E43</f>
        <v>0</v>
      </c>
      <c r="H45" s="18">
        <f>TM!F43</f>
        <v>0</v>
      </c>
      <c r="I45" s="18">
        <f>TM!G43</f>
        <v>0</v>
      </c>
      <c r="J45" s="19">
        <f t="shared" si="13"/>
        <v>0</v>
      </c>
      <c r="L45" s="17">
        <f>Test!B43</f>
        <v>0</v>
      </c>
      <c r="M45" s="18">
        <f>Test!C43</f>
        <v>0</v>
      </c>
      <c r="N45" s="18">
        <f>Test!D43</f>
        <v>0</v>
      </c>
      <c r="O45" s="18">
        <f>Test!E43</f>
        <v>0</v>
      </c>
      <c r="P45" s="18">
        <f>Test!F43</f>
        <v>0</v>
      </c>
      <c r="Q45" s="18">
        <f>Test!G43</f>
        <v>0</v>
      </c>
      <c r="R45" s="19">
        <f t="shared" si="14"/>
        <v>0</v>
      </c>
      <c r="S45" s="18" t="e">
        <f t="shared" si="15"/>
        <v>#DIV/0!</v>
      </c>
      <c r="T45" s="18" t="e">
        <f t="shared" si="16"/>
        <v>#DIV/0!</v>
      </c>
      <c r="U45" s="60"/>
      <c r="V45" s="43"/>
      <c r="W45" s="26"/>
      <c r="X45" s="26"/>
      <c r="Y45" s="43"/>
      <c r="Z45" s="26"/>
      <c r="AA45" s="55"/>
      <c r="AB45" s="20"/>
      <c r="AC45" s="17">
        <f>BMS!B43</f>
        <v>0</v>
      </c>
      <c r="AD45" s="18">
        <f>BMS!C43</f>
        <v>0</v>
      </c>
      <c r="AE45" s="18">
        <f>BMS!D43</f>
        <v>0</v>
      </c>
      <c r="AF45" s="18">
        <f>BMS!E43</f>
        <v>0</v>
      </c>
      <c r="AG45" s="18">
        <f>BMS!F43</f>
        <v>0</v>
      </c>
      <c r="AH45" s="18">
        <f>BMS!G43</f>
        <v>0</v>
      </c>
      <c r="AI45" s="19">
        <f t="shared" si="17"/>
        <v>0</v>
      </c>
      <c r="AJ45" s="18" t="e">
        <f t="shared" si="18"/>
        <v>#DIV/0!</v>
      </c>
      <c r="AK45" s="18" t="e">
        <f t="shared" si="19"/>
        <v>#DIV/0!</v>
      </c>
      <c r="AL45" s="20"/>
      <c r="AM45" s="43"/>
      <c r="AN45" s="26"/>
      <c r="AO45" s="55"/>
      <c r="AP45" s="43"/>
      <c r="AQ45" s="26"/>
      <c r="AR45" s="55"/>
    </row>
    <row r="46" spans="1:44" ht="12.75" thickBot="1" x14ac:dyDescent="0.25">
      <c r="A46" s="21"/>
      <c r="B46" s="21"/>
      <c r="C46" s="21">
        <v>37</v>
      </c>
      <c r="D46" s="22">
        <f>TM!B44</f>
        <v>0</v>
      </c>
      <c r="E46" s="23">
        <f>TM!C44</f>
        <v>0</v>
      </c>
      <c r="F46" s="23">
        <f>TM!D44</f>
        <v>0</v>
      </c>
      <c r="G46" s="23">
        <f>TM!E44</f>
        <v>0</v>
      </c>
      <c r="H46" s="23">
        <f>TM!F44</f>
        <v>0</v>
      </c>
      <c r="I46" s="23">
        <f>TM!G44</f>
        <v>0</v>
      </c>
      <c r="J46" s="24">
        <f t="shared" si="13"/>
        <v>0</v>
      </c>
      <c r="L46" s="22">
        <f>Test!B44</f>
        <v>0</v>
      </c>
      <c r="M46" s="23">
        <f>Test!C44</f>
        <v>0</v>
      </c>
      <c r="N46" s="23">
        <f>Test!D44</f>
        <v>0</v>
      </c>
      <c r="O46" s="23">
        <f>Test!E44</f>
        <v>0</v>
      </c>
      <c r="P46" s="23">
        <f>Test!F44</f>
        <v>0</v>
      </c>
      <c r="Q46" s="23">
        <f>Test!G44</f>
        <v>0</v>
      </c>
      <c r="R46" s="24">
        <f t="shared" si="14"/>
        <v>0</v>
      </c>
      <c r="S46" s="18" t="e">
        <f t="shared" si="15"/>
        <v>#DIV/0!</v>
      </c>
      <c r="T46" s="18" t="e">
        <f t="shared" si="16"/>
        <v>#DIV/0!</v>
      </c>
      <c r="U46" s="60"/>
      <c r="V46" s="44"/>
      <c r="W46" s="56"/>
      <c r="X46" s="56"/>
      <c r="Y46" s="44"/>
      <c r="Z46" s="56"/>
      <c r="AA46" s="57"/>
      <c r="AB46" s="20"/>
      <c r="AC46" s="22">
        <f>BMS!B44</f>
        <v>0</v>
      </c>
      <c r="AD46" s="23">
        <f>BMS!C44</f>
        <v>0</v>
      </c>
      <c r="AE46" s="23">
        <f>BMS!D44</f>
        <v>0</v>
      </c>
      <c r="AF46" s="23">
        <f>BMS!E44</f>
        <v>0</v>
      </c>
      <c r="AG46" s="23">
        <f>BMS!F44</f>
        <v>0</v>
      </c>
      <c r="AH46" s="23">
        <f>BMS!G44</f>
        <v>0</v>
      </c>
      <c r="AI46" s="24">
        <f t="shared" si="17"/>
        <v>0</v>
      </c>
      <c r="AJ46" s="18" t="e">
        <f t="shared" si="18"/>
        <v>#DIV/0!</v>
      </c>
      <c r="AK46" s="18" t="e">
        <f t="shared" si="19"/>
        <v>#DIV/0!</v>
      </c>
      <c r="AL46" s="20"/>
      <c r="AM46" s="44"/>
      <c r="AN46" s="56"/>
      <c r="AO46" s="57"/>
      <c r="AP46" s="44"/>
      <c r="AQ46" s="56"/>
      <c r="AR46" s="57"/>
    </row>
    <row r="47" spans="1:44" x14ac:dyDescent="0.2">
      <c r="A47" s="11" t="s">
        <v>5</v>
      </c>
      <c r="B47" s="11" t="s">
        <v>55</v>
      </c>
      <c r="C47" s="11">
        <v>22</v>
      </c>
      <c r="D47" s="12">
        <f>TM!B45</f>
        <v>0</v>
      </c>
      <c r="E47" s="13">
        <f>TM!C45</f>
        <v>0</v>
      </c>
      <c r="F47" s="13">
        <f>TM!D45</f>
        <v>0</v>
      </c>
      <c r="G47" s="13">
        <f>TM!E45</f>
        <v>0</v>
      </c>
      <c r="H47" s="13">
        <f>TM!F45</f>
        <v>0</v>
      </c>
      <c r="I47" s="13">
        <f>TM!G45</f>
        <v>0</v>
      </c>
      <c r="J47" s="14">
        <f>H47/3600</f>
        <v>0</v>
      </c>
      <c r="L47" s="12">
        <f>Test!B45</f>
        <v>0</v>
      </c>
      <c r="M47" s="13">
        <f>Test!C45</f>
        <v>0</v>
      </c>
      <c r="N47" s="13">
        <f>Test!D45</f>
        <v>0</v>
      </c>
      <c r="O47" s="13">
        <f>Test!E45</f>
        <v>0</v>
      </c>
      <c r="P47" s="13">
        <f>Test!F45</f>
        <v>0</v>
      </c>
      <c r="Q47" s="13">
        <f>Test!G45</f>
        <v>0</v>
      </c>
      <c r="R47" s="14">
        <f>P47/3600</f>
        <v>0</v>
      </c>
      <c r="S47" s="13" t="e">
        <f>P47/H47</f>
        <v>#DIV/0!</v>
      </c>
      <c r="T47" s="13" t="e">
        <f>Q47/I47</f>
        <v>#DIV/0!</v>
      </c>
      <c r="U47" s="59"/>
      <c r="V47" s="42" t="e">
        <f>bdrate($D47:$D50,E47:E50,$L47:$L50,M47:M50)</f>
        <v>#VALUE!</v>
      </c>
      <c r="W47" s="47" t="e">
        <f>bdrate($D47:$D50,F47:F50,$L47:$L50,N47:N50)</f>
        <v>#VALUE!</v>
      </c>
      <c r="X47" s="48" t="e">
        <f>bdrate($D47:$D50,G47:G50,$L47:$L50,O47:O50)</f>
        <v>#VALUE!</v>
      </c>
      <c r="Y47" s="42" t="e">
        <f>bdrateOld($D47:$D50,E47:E50,$L47:$L50,M47:M50)</f>
        <v>#VALUE!</v>
      </c>
      <c r="Z47" s="47" t="e">
        <f>bdrateOld($D47:$D50,F47:F50,$L47:$L50,N47:N50)</f>
        <v>#VALUE!</v>
      </c>
      <c r="AA47" s="48" t="e">
        <f>bdrateOld($D47:$D50,G47:G50,$L47:$L50,O47:O50)</f>
        <v>#VALUE!</v>
      </c>
      <c r="AB47" s="54"/>
      <c r="AC47" s="12">
        <f>BMS!B45</f>
        <v>0</v>
      </c>
      <c r="AD47" s="13">
        <f>BMS!C45</f>
        <v>0</v>
      </c>
      <c r="AE47" s="13">
        <f>BMS!D45</f>
        <v>0</v>
      </c>
      <c r="AF47" s="13">
        <f>BMS!E45</f>
        <v>0</v>
      </c>
      <c r="AG47" s="13">
        <f>BMS!F45</f>
        <v>0</v>
      </c>
      <c r="AH47" s="13">
        <f>BMS!G45</f>
        <v>0</v>
      </c>
      <c r="AI47" s="14">
        <f>AG47/3600</f>
        <v>0</v>
      </c>
      <c r="AJ47" s="13" t="e">
        <f>R47/AI47</f>
        <v>#DIV/0!</v>
      </c>
      <c r="AK47" s="13" t="e">
        <f>Q47/AH47</f>
        <v>#DIV/0!</v>
      </c>
      <c r="AL47" s="54"/>
      <c r="AM47" s="42" t="e">
        <f>bdrate($AC47:$AC50,AD47:AD50,$L47:$L50, M47:M50)</f>
        <v>#VALUE!</v>
      </c>
      <c r="AN47" s="47" t="e">
        <f>bdrate($AC47:$AC50,AE47:AE50,$L47:$L50, N47:N50)</f>
        <v>#VALUE!</v>
      </c>
      <c r="AO47" s="48" t="e">
        <f>bdrate($AC47:$AC50,AF47:AF50,$L47:$L50, O47:O50)</f>
        <v>#VALUE!</v>
      </c>
      <c r="AP47" s="42" t="e">
        <f>bdrateOld($AC47:$AC50,AD47:AD50,$L47:$L50, M47:M50)</f>
        <v>#VALUE!</v>
      </c>
      <c r="AQ47" s="47" t="e">
        <f>bdrateOld($AC47:$AC50,AE47:AE50,$L47:$L50, N47:N50)</f>
        <v>#VALUE!</v>
      </c>
      <c r="AR47" s="48" t="e">
        <f>bdrateOld($AC47:$AC50,AF47:AF50,$L47:$L50, O47:O50)</f>
        <v>#VALUE!</v>
      </c>
    </row>
    <row r="48" spans="1:44" x14ac:dyDescent="0.2">
      <c r="A48" s="16" t="s">
        <v>50</v>
      </c>
      <c r="B48" s="16"/>
      <c r="C48" s="16">
        <v>27</v>
      </c>
      <c r="D48" s="17">
        <f>TM!B46</f>
        <v>0</v>
      </c>
      <c r="E48" s="18">
        <f>TM!C46</f>
        <v>0</v>
      </c>
      <c r="F48" s="18">
        <f>TM!D46</f>
        <v>0</v>
      </c>
      <c r="G48" s="18">
        <f>TM!E46</f>
        <v>0</v>
      </c>
      <c r="H48" s="18">
        <f>TM!F46</f>
        <v>0</v>
      </c>
      <c r="I48" s="18">
        <f>TM!G46</f>
        <v>0</v>
      </c>
      <c r="J48" s="19">
        <f t="shared" ref="J48:J62" si="20">H48/3600</f>
        <v>0</v>
      </c>
      <c r="L48" s="17">
        <f>Test!B46</f>
        <v>0</v>
      </c>
      <c r="M48" s="18">
        <f>Test!C46</f>
        <v>0</v>
      </c>
      <c r="N48" s="18">
        <f>Test!D46</f>
        <v>0</v>
      </c>
      <c r="O48" s="18">
        <f>Test!E46</f>
        <v>0</v>
      </c>
      <c r="P48" s="18">
        <f>Test!F46</f>
        <v>0</v>
      </c>
      <c r="Q48" s="18">
        <f>Test!G46</f>
        <v>0</v>
      </c>
      <c r="R48" s="19">
        <f t="shared" ref="R48:R62" si="21">P48/3600</f>
        <v>0</v>
      </c>
      <c r="S48" s="18" t="e">
        <f t="shared" ref="S48:S62" si="22">P48/H48</f>
        <v>#DIV/0!</v>
      </c>
      <c r="T48" s="18" t="e">
        <f t="shared" ref="T48:T62" si="23">Q48/I48</f>
        <v>#DIV/0!</v>
      </c>
      <c r="U48" s="60"/>
      <c r="V48" s="43"/>
      <c r="W48" s="26"/>
      <c r="X48" s="55"/>
      <c r="Y48" s="43"/>
      <c r="Z48" s="26"/>
      <c r="AA48" s="55"/>
      <c r="AB48" s="20"/>
      <c r="AC48" s="17">
        <f>BMS!B46</f>
        <v>0</v>
      </c>
      <c r="AD48" s="18">
        <f>BMS!C46</f>
        <v>0</v>
      </c>
      <c r="AE48" s="18">
        <f>BMS!D46</f>
        <v>0</v>
      </c>
      <c r="AF48" s="18">
        <f>BMS!E46</f>
        <v>0</v>
      </c>
      <c r="AG48" s="18">
        <f>BMS!F46</f>
        <v>0</v>
      </c>
      <c r="AH48" s="18">
        <f>BMS!G46</f>
        <v>0</v>
      </c>
      <c r="AI48" s="19">
        <f t="shared" ref="AI48:AI62" si="24">AG48/3600</f>
        <v>0</v>
      </c>
      <c r="AJ48" s="18" t="e">
        <f t="shared" ref="AJ48:AJ62" si="25">R48/AI48</f>
        <v>#DIV/0!</v>
      </c>
      <c r="AK48" s="18" t="e">
        <f t="shared" ref="AK48:AK62" si="26">Q48/AH48</f>
        <v>#DIV/0!</v>
      </c>
      <c r="AL48" s="20"/>
      <c r="AM48" s="43"/>
      <c r="AN48" s="26"/>
      <c r="AO48" s="55"/>
      <c r="AP48" s="43"/>
      <c r="AQ48" s="26"/>
      <c r="AR48" s="55"/>
    </row>
    <row r="49" spans="1:44" x14ac:dyDescent="0.2">
      <c r="A49" s="16"/>
      <c r="B49" s="16"/>
      <c r="C49" s="16">
        <v>32</v>
      </c>
      <c r="D49" s="17">
        <f>TM!B47</f>
        <v>0</v>
      </c>
      <c r="E49" s="18">
        <f>TM!C47</f>
        <v>0</v>
      </c>
      <c r="F49" s="18">
        <f>TM!D47</f>
        <v>0</v>
      </c>
      <c r="G49" s="18">
        <f>TM!E47</f>
        <v>0</v>
      </c>
      <c r="H49" s="18">
        <f>TM!F47</f>
        <v>0</v>
      </c>
      <c r="I49" s="18">
        <f>TM!G47</f>
        <v>0</v>
      </c>
      <c r="J49" s="19">
        <f t="shared" si="20"/>
        <v>0</v>
      </c>
      <c r="L49" s="17">
        <f>Test!B47</f>
        <v>0</v>
      </c>
      <c r="M49" s="18">
        <f>Test!C47</f>
        <v>0</v>
      </c>
      <c r="N49" s="18">
        <f>Test!D47</f>
        <v>0</v>
      </c>
      <c r="O49" s="18">
        <f>Test!E47</f>
        <v>0</v>
      </c>
      <c r="P49" s="18">
        <f>Test!F47</f>
        <v>0</v>
      </c>
      <c r="Q49" s="18">
        <f>Test!G47</f>
        <v>0</v>
      </c>
      <c r="R49" s="19">
        <f t="shared" si="21"/>
        <v>0</v>
      </c>
      <c r="S49" s="18" t="e">
        <f t="shared" si="22"/>
        <v>#DIV/0!</v>
      </c>
      <c r="T49" s="18" t="e">
        <f t="shared" si="23"/>
        <v>#DIV/0!</v>
      </c>
      <c r="U49" s="60"/>
      <c r="V49" s="43"/>
      <c r="W49" s="26"/>
      <c r="X49" s="55"/>
      <c r="Y49" s="43"/>
      <c r="Z49" s="26"/>
      <c r="AA49" s="55"/>
      <c r="AB49" s="20"/>
      <c r="AC49" s="17">
        <f>BMS!B47</f>
        <v>0</v>
      </c>
      <c r="AD49" s="18">
        <f>BMS!C47</f>
        <v>0</v>
      </c>
      <c r="AE49" s="18">
        <f>BMS!D47</f>
        <v>0</v>
      </c>
      <c r="AF49" s="18">
        <f>BMS!E47</f>
        <v>0</v>
      </c>
      <c r="AG49" s="18">
        <f>BMS!F47</f>
        <v>0</v>
      </c>
      <c r="AH49" s="18">
        <f>BMS!G47</f>
        <v>0</v>
      </c>
      <c r="AI49" s="19">
        <f t="shared" si="24"/>
        <v>0</v>
      </c>
      <c r="AJ49" s="18" t="e">
        <f t="shared" si="25"/>
        <v>#DIV/0!</v>
      </c>
      <c r="AK49" s="18" t="e">
        <f t="shared" si="26"/>
        <v>#DIV/0!</v>
      </c>
      <c r="AL49" s="20"/>
      <c r="AM49" s="43"/>
      <c r="AN49" s="26"/>
      <c r="AO49" s="55"/>
      <c r="AP49" s="43"/>
      <c r="AQ49" s="26"/>
      <c r="AR49" s="55"/>
    </row>
    <row r="50" spans="1:44" ht="12.75" thickBot="1" x14ac:dyDescent="0.25">
      <c r="A50" s="16"/>
      <c r="B50" s="21"/>
      <c r="C50" s="21">
        <v>37</v>
      </c>
      <c r="D50" s="22">
        <f>TM!B48</f>
        <v>0</v>
      </c>
      <c r="E50" s="23">
        <f>TM!C48</f>
        <v>0</v>
      </c>
      <c r="F50" s="23">
        <f>TM!D48</f>
        <v>0</v>
      </c>
      <c r="G50" s="23">
        <f>TM!E48</f>
        <v>0</v>
      </c>
      <c r="H50" s="23">
        <f>TM!F48</f>
        <v>0</v>
      </c>
      <c r="I50" s="23">
        <f>TM!G48</f>
        <v>0</v>
      </c>
      <c r="J50" s="24">
        <f t="shared" si="20"/>
        <v>0</v>
      </c>
      <c r="L50" s="22">
        <f>Test!B48</f>
        <v>0</v>
      </c>
      <c r="M50" s="23">
        <f>Test!C48</f>
        <v>0</v>
      </c>
      <c r="N50" s="23">
        <f>Test!D48</f>
        <v>0</v>
      </c>
      <c r="O50" s="23">
        <f>Test!E48</f>
        <v>0</v>
      </c>
      <c r="P50" s="23">
        <f>Test!F48</f>
        <v>0</v>
      </c>
      <c r="Q50" s="23">
        <f>Test!G48</f>
        <v>0</v>
      </c>
      <c r="R50" s="24">
        <f t="shared" si="21"/>
        <v>0</v>
      </c>
      <c r="S50" s="18" t="e">
        <f t="shared" si="22"/>
        <v>#DIV/0!</v>
      </c>
      <c r="T50" s="18" t="e">
        <f t="shared" si="23"/>
        <v>#DIV/0!</v>
      </c>
      <c r="U50" s="60"/>
      <c r="V50" s="44"/>
      <c r="W50" s="56"/>
      <c r="X50" s="57"/>
      <c r="Y50" s="44"/>
      <c r="Z50" s="56"/>
      <c r="AA50" s="57"/>
      <c r="AB50" s="20"/>
      <c r="AC50" s="22">
        <f>BMS!B48</f>
        <v>0</v>
      </c>
      <c r="AD50" s="23">
        <f>BMS!C48</f>
        <v>0</v>
      </c>
      <c r="AE50" s="23">
        <f>BMS!D48</f>
        <v>0</v>
      </c>
      <c r="AF50" s="23">
        <f>BMS!E48</f>
        <v>0</v>
      </c>
      <c r="AG50" s="23">
        <f>BMS!F48</f>
        <v>0</v>
      </c>
      <c r="AH50" s="23">
        <f>BMS!G48</f>
        <v>0</v>
      </c>
      <c r="AI50" s="24">
        <f t="shared" si="24"/>
        <v>0</v>
      </c>
      <c r="AJ50" s="18" t="e">
        <f t="shared" si="25"/>
        <v>#DIV/0!</v>
      </c>
      <c r="AK50" s="18" t="e">
        <f t="shared" si="26"/>
        <v>#DIV/0!</v>
      </c>
      <c r="AL50" s="20"/>
      <c r="AM50" s="44"/>
      <c r="AN50" s="56"/>
      <c r="AO50" s="57"/>
      <c r="AP50" s="44"/>
      <c r="AQ50" s="56"/>
      <c r="AR50" s="57"/>
    </row>
    <row r="51" spans="1:44" x14ac:dyDescent="0.2">
      <c r="A51" s="16"/>
      <c r="B51" s="11" t="s">
        <v>39</v>
      </c>
      <c r="C51" s="11">
        <v>22</v>
      </c>
      <c r="D51" s="12">
        <f>TM!B49</f>
        <v>0</v>
      </c>
      <c r="E51" s="13">
        <f>TM!C49</f>
        <v>0</v>
      </c>
      <c r="F51" s="13">
        <f>TM!D49</f>
        <v>0</v>
      </c>
      <c r="G51" s="13">
        <f>TM!E49</f>
        <v>0</v>
      </c>
      <c r="H51" s="13">
        <f>TM!F49</f>
        <v>0</v>
      </c>
      <c r="I51" s="13">
        <f>TM!G49</f>
        <v>0</v>
      </c>
      <c r="J51" s="14">
        <f t="shared" si="20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21"/>
        <v>0</v>
      </c>
      <c r="S51" s="18" t="e">
        <f t="shared" si="22"/>
        <v>#DIV/0!</v>
      </c>
      <c r="T51" s="18" t="e">
        <f t="shared" si="23"/>
        <v>#DIV/0!</v>
      </c>
      <c r="U51" s="60"/>
      <c r="V51" s="42" t="e">
        <f>bdrate($D51:$D54,E51:E54,$L51:$L54,M51:M54)</f>
        <v>#VALUE!</v>
      </c>
      <c r="W51" s="47" t="e">
        <f>bdrate($D51:$D54,F51:F54,$L51:$L54,N51:N54)</f>
        <v>#VALUE!</v>
      </c>
      <c r="X51" s="47" t="e">
        <f>bdrate($D51:$D54,G51:G54,$L51:$L54,O51:O54)</f>
        <v>#VALUE!</v>
      </c>
      <c r="Y51" s="45" t="e">
        <f>bdrateOld($D51:$D54,E51:E54,$L51:$L54,M51:M54)</f>
        <v>#VALUE!</v>
      </c>
      <c r="Z51" s="49" t="e">
        <f>bdrateOld($D51:$D54,F51:F54,$L51:$L54,N51:N54)</f>
        <v>#VALUE!</v>
      </c>
      <c r="AA51" s="50" t="e">
        <f>bdrateOld($D51:$D54,G51:G54,$L51:$L54,O51:O54)</f>
        <v>#VALUE!</v>
      </c>
      <c r="AB51" s="20"/>
      <c r="AC51" s="12">
        <f>BMS!B49</f>
        <v>0</v>
      </c>
      <c r="AD51" s="13">
        <f>BMS!C49</f>
        <v>0</v>
      </c>
      <c r="AE51" s="13">
        <f>BMS!D49</f>
        <v>0</v>
      </c>
      <c r="AF51" s="13">
        <f>BMS!E49</f>
        <v>0</v>
      </c>
      <c r="AG51" s="13">
        <f>BMS!F49</f>
        <v>0</v>
      </c>
      <c r="AH51" s="13">
        <f>BMS!G49</f>
        <v>0</v>
      </c>
      <c r="AI51" s="14">
        <f t="shared" si="24"/>
        <v>0</v>
      </c>
      <c r="AJ51" s="18" t="e">
        <f t="shared" si="25"/>
        <v>#DIV/0!</v>
      </c>
      <c r="AK51" s="18" t="e">
        <f t="shared" si="26"/>
        <v>#DIV/0!</v>
      </c>
      <c r="AL51" s="20"/>
      <c r="AM51" s="42" t="e">
        <f>bdrate($AC51:$AC54,AD51:AD54,$L51:$L54, M51:M54)</f>
        <v>#VALUE!</v>
      </c>
      <c r="AN51" s="47" t="e">
        <f>bdrate($AC51:$AC54,AE51:AE54,$L51:$L54, N51:N54)</f>
        <v>#VALUE!</v>
      </c>
      <c r="AO51" s="48" t="e">
        <f>bdrate($AC51:$AC54,AF51:AF54,$L51:$L54, O51:O54)</f>
        <v>#VALUE!</v>
      </c>
      <c r="AP51" s="42" t="e">
        <f>bdrateOld($AC51:$AC54,AD51:AD54,$L51:$L54, M51:M54)</f>
        <v>#VALUE!</v>
      </c>
      <c r="AQ51" s="47" t="e">
        <f>bdrateOld($AC51:$AC54,AE51:AE54,$L51:$L54, N51:N54)</f>
        <v>#VALUE!</v>
      </c>
      <c r="AR51" s="48" t="e">
        <f>bdrateOld($AC51:$AC54,AF51:AF54,$L51:$L54, O51:O54)</f>
        <v>#VALUE!</v>
      </c>
    </row>
    <row r="52" spans="1:44" x14ac:dyDescent="0.2">
      <c r="A52" s="16"/>
      <c r="B52" s="16"/>
      <c r="C52" s="16">
        <v>27</v>
      </c>
      <c r="D52" s="17">
        <f>TM!B50</f>
        <v>0</v>
      </c>
      <c r="E52" s="18">
        <f>TM!C50</f>
        <v>0</v>
      </c>
      <c r="F52" s="18">
        <f>TM!D50</f>
        <v>0</v>
      </c>
      <c r="G52" s="18">
        <f>TM!E50</f>
        <v>0</v>
      </c>
      <c r="H52" s="18">
        <f>TM!F50</f>
        <v>0</v>
      </c>
      <c r="I52" s="18">
        <f>TM!G50</f>
        <v>0</v>
      </c>
      <c r="J52" s="19">
        <f t="shared" si="20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21"/>
        <v>0</v>
      </c>
      <c r="S52" s="18" t="e">
        <f t="shared" si="22"/>
        <v>#DIV/0!</v>
      </c>
      <c r="T52" s="18" t="e">
        <f t="shared" si="23"/>
        <v>#DIV/0!</v>
      </c>
      <c r="U52" s="60"/>
      <c r="V52" s="43"/>
      <c r="W52" s="26"/>
      <c r="X52" s="26"/>
      <c r="Y52" s="43"/>
      <c r="Z52" s="26"/>
      <c r="AA52" s="55"/>
      <c r="AB52" s="20"/>
      <c r="AC52" s="17">
        <f>BMS!B50</f>
        <v>0</v>
      </c>
      <c r="AD52" s="18">
        <f>BMS!C50</f>
        <v>0</v>
      </c>
      <c r="AE52" s="18">
        <f>BMS!D50</f>
        <v>0</v>
      </c>
      <c r="AF52" s="18">
        <f>BMS!E50</f>
        <v>0</v>
      </c>
      <c r="AG52" s="18">
        <f>BMS!F50</f>
        <v>0</v>
      </c>
      <c r="AH52" s="18">
        <f>BMS!G50</f>
        <v>0</v>
      </c>
      <c r="AI52" s="19">
        <f t="shared" si="24"/>
        <v>0</v>
      </c>
      <c r="AJ52" s="18" t="e">
        <f t="shared" si="25"/>
        <v>#DIV/0!</v>
      </c>
      <c r="AK52" s="18" t="e">
        <f t="shared" si="26"/>
        <v>#DIV/0!</v>
      </c>
      <c r="AL52" s="20"/>
      <c r="AM52" s="43"/>
      <c r="AN52" s="26"/>
      <c r="AO52" s="55"/>
      <c r="AP52" s="43"/>
      <c r="AQ52" s="26"/>
      <c r="AR52" s="55"/>
    </row>
    <row r="53" spans="1:44" x14ac:dyDescent="0.2">
      <c r="A53" s="16"/>
      <c r="B53" s="16"/>
      <c r="C53" s="16">
        <v>32</v>
      </c>
      <c r="D53" s="17">
        <f>TM!B51</f>
        <v>0</v>
      </c>
      <c r="E53" s="18">
        <f>TM!C51</f>
        <v>0</v>
      </c>
      <c r="F53" s="18">
        <f>TM!D51</f>
        <v>0</v>
      </c>
      <c r="G53" s="18">
        <f>TM!E51</f>
        <v>0</v>
      </c>
      <c r="H53" s="18">
        <f>TM!F51</f>
        <v>0</v>
      </c>
      <c r="I53" s="18">
        <f>TM!G51</f>
        <v>0</v>
      </c>
      <c r="J53" s="19">
        <f t="shared" si="20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21"/>
        <v>0</v>
      </c>
      <c r="S53" s="18" t="e">
        <f t="shared" si="22"/>
        <v>#DIV/0!</v>
      </c>
      <c r="T53" s="18" t="e">
        <f t="shared" si="23"/>
        <v>#DIV/0!</v>
      </c>
      <c r="U53" s="60"/>
      <c r="V53" s="43"/>
      <c r="W53" s="26"/>
      <c r="X53" s="26"/>
      <c r="Y53" s="43"/>
      <c r="Z53" s="26"/>
      <c r="AA53" s="55"/>
      <c r="AB53" s="20"/>
      <c r="AC53" s="17">
        <f>BMS!B51</f>
        <v>0</v>
      </c>
      <c r="AD53" s="18">
        <f>BMS!C51</f>
        <v>0</v>
      </c>
      <c r="AE53" s="18">
        <f>BMS!D51</f>
        <v>0</v>
      </c>
      <c r="AF53" s="18">
        <f>BMS!E51</f>
        <v>0</v>
      </c>
      <c r="AG53" s="18">
        <f>BMS!F51</f>
        <v>0</v>
      </c>
      <c r="AH53" s="18">
        <f>BMS!G51</f>
        <v>0</v>
      </c>
      <c r="AI53" s="19">
        <f t="shared" si="24"/>
        <v>0</v>
      </c>
      <c r="AJ53" s="18" t="e">
        <f t="shared" si="25"/>
        <v>#DIV/0!</v>
      </c>
      <c r="AK53" s="18" t="e">
        <f t="shared" si="26"/>
        <v>#DIV/0!</v>
      </c>
      <c r="AL53" s="20"/>
      <c r="AM53" s="43"/>
      <c r="AN53" s="26"/>
      <c r="AO53" s="55"/>
      <c r="AP53" s="43"/>
      <c r="AQ53" s="26"/>
      <c r="AR53" s="55"/>
    </row>
    <row r="54" spans="1:44" ht="12.75" thickBot="1" x14ac:dyDescent="0.25">
      <c r="A54" s="16"/>
      <c r="B54" s="21"/>
      <c r="C54" s="21">
        <v>37</v>
      </c>
      <c r="D54" s="22">
        <f>TM!B52</f>
        <v>0</v>
      </c>
      <c r="E54" s="23">
        <f>TM!C52</f>
        <v>0</v>
      </c>
      <c r="F54" s="23">
        <f>TM!D52</f>
        <v>0</v>
      </c>
      <c r="G54" s="23">
        <f>TM!E52</f>
        <v>0</v>
      </c>
      <c r="H54" s="23">
        <f>TM!F52</f>
        <v>0</v>
      </c>
      <c r="I54" s="23">
        <f>TM!G52</f>
        <v>0</v>
      </c>
      <c r="J54" s="24">
        <f t="shared" si="20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21"/>
        <v>0</v>
      </c>
      <c r="S54" s="18" t="e">
        <f t="shared" si="22"/>
        <v>#DIV/0!</v>
      </c>
      <c r="T54" s="18" t="e">
        <f t="shared" si="23"/>
        <v>#DIV/0!</v>
      </c>
      <c r="U54" s="60"/>
      <c r="V54" s="44"/>
      <c r="W54" s="56"/>
      <c r="X54" s="56"/>
      <c r="Y54" s="44"/>
      <c r="Z54" s="56"/>
      <c r="AA54" s="57"/>
      <c r="AB54" s="20"/>
      <c r="AC54" s="22">
        <f>BMS!B52</f>
        <v>0</v>
      </c>
      <c r="AD54" s="23">
        <f>BMS!C52</f>
        <v>0</v>
      </c>
      <c r="AE54" s="23">
        <f>BMS!D52</f>
        <v>0</v>
      </c>
      <c r="AF54" s="23">
        <f>BMS!E52</f>
        <v>0</v>
      </c>
      <c r="AG54" s="23">
        <f>BMS!F52</f>
        <v>0</v>
      </c>
      <c r="AH54" s="23">
        <f>BMS!G52</f>
        <v>0</v>
      </c>
      <c r="AI54" s="24">
        <f t="shared" si="24"/>
        <v>0</v>
      </c>
      <c r="AJ54" s="18" t="e">
        <f t="shared" si="25"/>
        <v>#DIV/0!</v>
      </c>
      <c r="AK54" s="18" t="e">
        <f t="shared" si="26"/>
        <v>#DIV/0!</v>
      </c>
      <c r="AL54" s="20"/>
      <c r="AM54" s="44"/>
      <c r="AN54" s="56"/>
      <c r="AO54" s="57"/>
      <c r="AP54" s="44"/>
      <c r="AQ54" s="56"/>
      <c r="AR54" s="57"/>
    </row>
    <row r="55" spans="1:44" x14ac:dyDescent="0.2">
      <c r="A55" s="16"/>
      <c r="B55" s="11" t="s">
        <v>56</v>
      </c>
      <c r="C55" s="11">
        <v>22</v>
      </c>
      <c r="D55" s="12">
        <f>TM!B53</f>
        <v>0</v>
      </c>
      <c r="E55" s="13">
        <f>TM!C53</f>
        <v>0</v>
      </c>
      <c r="F55" s="13">
        <f>TM!D53</f>
        <v>0</v>
      </c>
      <c r="G55" s="13">
        <f>TM!E53</f>
        <v>0</v>
      </c>
      <c r="H55" s="13">
        <f>TM!F53</f>
        <v>0</v>
      </c>
      <c r="I55" s="13">
        <f>TM!G53</f>
        <v>0</v>
      </c>
      <c r="J55" s="14">
        <f t="shared" si="20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21"/>
        <v>0</v>
      </c>
      <c r="S55" s="18" t="e">
        <f t="shared" si="22"/>
        <v>#DIV/0!</v>
      </c>
      <c r="T55" s="18" t="e">
        <f t="shared" si="23"/>
        <v>#DIV/0!</v>
      </c>
      <c r="U55" s="60"/>
      <c r="V55" s="42" t="e">
        <f>bdrate($D55:$D58,E55:E58,$L55:$L58,M55:M58)</f>
        <v>#VALUE!</v>
      </c>
      <c r="W55" s="47" t="e">
        <f>bdrate($D55:$D58,F55:F58,$L55:$L58,N55:N58)</f>
        <v>#VALUE!</v>
      </c>
      <c r="X55" s="47" t="e">
        <f>bdrate($D55:$D58,G55:G58,$L55:$L58,O55:O58)</f>
        <v>#VALUE!</v>
      </c>
      <c r="Y55" s="45" t="e">
        <f>bdrateOld($D55:$D58,E55:E58,$L55:$L58,M55:M58)</f>
        <v>#VALUE!</v>
      </c>
      <c r="Z55" s="49" t="e">
        <f>bdrateOld($D55:$D58,F55:F58,$L55:$L58,N55:N58)</f>
        <v>#VALUE!</v>
      </c>
      <c r="AA55" s="50" t="e">
        <f>bdrateOld($D55:$D58,G55:G58,$L55:$L58,O55:O58)</f>
        <v>#VALUE!</v>
      </c>
      <c r="AB55" s="20"/>
      <c r="AC55" s="12">
        <f>BMS!B53</f>
        <v>0</v>
      </c>
      <c r="AD55" s="13">
        <f>BMS!C53</f>
        <v>0</v>
      </c>
      <c r="AE55" s="13">
        <f>BMS!D53</f>
        <v>0</v>
      </c>
      <c r="AF55" s="13">
        <f>BMS!E53</f>
        <v>0</v>
      </c>
      <c r="AG55" s="13">
        <f>BMS!F53</f>
        <v>0</v>
      </c>
      <c r="AH55" s="13">
        <f>BMS!G53</f>
        <v>0</v>
      </c>
      <c r="AI55" s="14">
        <f t="shared" si="24"/>
        <v>0</v>
      </c>
      <c r="AJ55" s="18" t="e">
        <f t="shared" si="25"/>
        <v>#DIV/0!</v>
      </c>
      <c r="AK55" s="18" t="e">
        <f t="shared" si="26"/>
        <v>#DIV/0!</v>
      </c>
      <c r="AL55" s="20"/>
      <c r="AM55" s="42" t="e">
        <f>bdrate($AC55:$AC58,AD55:AD58,$L55:$L58, M55:M58)</f>
        <v>#VALUE!</v>
      </c>
      <c r="AN55" s="47" t="e">
        <f>bdrate($AC55:$AC58,AE55:AE58,$L55:$L58, N55:N58)</f>
        <v>#VALUE!</v>
      </c>
      <c r="AO55" s="48" t="e">
        <f>bdrate($AC55:$AC58,AF55:AF58,$L55:$L58, O55:O58)</f>
        <v>#VALUE!</v>
      </c>
      <c r="AP55" s="42" t="e">
        <f>bdrateOld($AC55:$AC58,AD55:AD58,$L55:$L58, M55:M58)</f>
        <v>#VALUE!</v>
      </c>
      <c r="AQ55" s="47" t="e">
        <f>bdrateOld($AC55:$AC58,AE55:AE58,$L55:$L58, N55:N58)</f>
        <v>#VALUE!</v>
      </c>
      <c r="AR55" s="48" t="e">
        <f>bdrateOld($AC55:$AC58,AF55:AF58,$L55:$L58, O55:O58)</f>
        <v>#VALUE!</v>
      </c>
    </row>
    <row r="56" spans="1:44" x14ac:dyDescent="0.2">
      <c r="A56" s="16"/>
      <c r="B56" s="16"/>
      <c r="C56" s="16">
        <v>27</v>
      </c>
      <c r="D56" s="17">
        <f>TM!B54</f>
        <v>0</v>
      </c>
      <c r="E56" s="18">
        <f>TM!C54</f>
        <v>0</v>
      </c>
      <c r="F56" s="18">
        <f>TM!D54</f>
        <v>0</v>
      </c>
      <c r="G56" s="18">
        <f>TM!E54</f>
        <v>0</v>
      </c>
      <c r="H56" s="18">
        <f>TM!F54</f>
        <v>0</v>
      </c>
      <c r="I56" s="18">
        <f>TM!G54</f>
        <v>0</v>
      </c>
      <c r="J56" s="19">
        <f t="shared" si="20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21"/>
        <v>0</v>
      </c>
      <c r="S56" s="18" t="e">
        <f t="shared" si="22"/>
        <v>#DIV/0!</v>
      </c>
      <c r="T56" s="18" t="e">
        <f t="shared" si="23"/>
        <v>#DIV/0!</v>
      </c>
      <c r="U56" s="60"/>
      <c r="V56" s="43"/>
      <c r="W56" s="26"/>
      <c r="X56" s="26"/>
      <c r="Y56" s="43"/>
      <c r="Z56" s="26"/>
      <c r="AA56" s="55"/>
      <c r="AB56" s="20"/>
      <c r="AC56" s="17">
        <f>BMS!B54</f>
        <v>0</v>
      </c>
      <c r="AD56" s="18">
        <f>BMS!C54</f>
        <v>0</v>
      </c>
      <c r="AE56" s="18">
        <f>BMS!D54</f>
        <v>0</v>
      </c>
      <c r="AF56" s="18">
        <f>BMS!E54</f>
        <v>0</v>
      </c>
      <c r="AG56" s="18">
        <f>BMS!F54</f>
        <v>0</v>
      </c>
      <c r="AH56" s="18">
        <f>BMS!G54</f>
        <v>0</v>
      </c>
      <c r="AI56" s="19">
        <f t="shared" si="24"/>
        <v>0</v>
      </c>
      <c r="AJ56" s="18" t="e">
        <f t="shared" si="25"/>
        <v>#DIV/0!</v>
      </c>
      <c r="AK56" s="18" t="e">
        <f t="shared" si="26"/>
        <v>#DIV/0!</v>
      </c>
      <c r="AL56" s="20"/>
      <c r="AM56" s="43"/>
      <c r="AN56" s="26"/>
      <c r="AO56" s="55"/>
      <c r="AP56" s="43"/>
      <c r="AQ56" s="26"/>
      <c r="AR56" s="55"/>
    </row>
    <row r="57" spans="1:44" x14ac:dyDescent="0.2">
      <c r="A57" s="16"/>
      <c r="B57" s="16"/>
      <c r="C57" s="16">
        <v>32</v>
      </c>
      <c r="D57" s="17">
        <f>TM!B55</f>
        <v>0</v>
      </c>
      <c r="E57" s="18">
        <f>TM!C55</f>
        <v>0</v>
      </c>
      <c r="F57" s="18">
        <f>TM!D55</f>
        <v>0</v>
      </c>
      <c r="G57" s="18">
        <f>TM!E55</f>
        <v>0</v>
      </c>
      <c r="H57" s="18">
        <f>TM!F55</f>
        <v>0</v>
      </c>
      <c r="I57" s="18">
        <f>TM!G55</f>
        <v>0</v>
      </c>
      <c r="J57" s="19">
        <f t="shared" si="20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21"/>
        <v>0</v>
      </c>
      <c r="S57" s="18" t="e">
        <f t="shared" si="22"/>
        <v>#DIV/0!</v>
      </c>
      <c r="T57" s="18" t="e">
        <f t="shared" si="23"/>
        <v>#DIV/0!</v>
      </c>
      <c r="U57" s="60"/>
      <c r="V57" s="43"/>
      <c r="W57" s="26"/>
      <c r="X57" s="26"/>
      <c r="Y57" s="43"/>
      <c r="Z57" s="26"/>
      <c r="AA57" s="55"/>
      <c r="AB57" s="20"/>
      <c r="AC57" s="17">
        <f>BMS!B55</f>
        <v>0</v>
      </c>
      <c r="AD57" s="18">
        <f>BMS!C55</f>
        <v>0</v>
      </c>
      <c r="AE57" s="18">
        <f>BMS!D55</f>
        <v>0</v>
      </c>
      <c r="AF57" s="18">
        <f>BMS!E55</f>
        <v>0</v>
      </c>
      <c r="AG57" s="18">
        <f>BMS!F55</f>
        <v>0</v>
      </c>
      <c r="AH57" s="18">
        <f>BMS!G55</f>
        <v>0</v>
      </c>
      <c r="AI57" s="19">
        <f t="shared" si="24"/>
        <v>0</v>
      </c>
      <c r="AJ57" s="18" t="e">
        <f t="shared" si="25"/>
        <v>#DIV/0!</v>
      </c>
      <c r="AK57" s="18" t="e">
        <f t="shared" si="26"/>
        <v>#DIV/0!</v>
      </c>
      <c r="AL57" s="20"/>
      <c r="AM57" s="43"/>
      <c r="AN57" s="26"/>
      <c r="AO57" s="55"/>
      <c r="AP57" s="43"/>
      <c r="AQ57" s="26"/>
      <c r="AR57" s="55"/>
    </row>
    <row r="58" spans="1:44" ht="12.75" thickBot="1" x14ac:dyDescent="0.25">
      <c r="A58" s="16"/>
      <c r="B58" s="21"/>
      <c r="C58" s="21">
        <v>37</v>
      </c>
      <c r="D58" s="22">
        <f>TM!B56</f>
        <v>0</v>
      </c>
      <c r="E58" s="23">
        <f>TM!C56</f>
        <v>0</v>
      </c>
      <c r="F58" s="23">
        <f>TM!D56</f>
        <v>0</v>
      </c>
      <c r="G58" s="23">
        <f>TM!E56</f>
        <v>0</v>
      </c>
      <c r="H58" s="23">
        <f>TM!F56</f>
        <v>0</v>
      </c>
      <c r="I58" s="23">
        <f>TM!G56</f>
        <v>0</v>
      </c>
      <c r="J58" s="24">
        <f t="shared" si="20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21"/>
        <v>0</v>
      </c>
      <c r="S58" s="18" t="e">
        <f t="shared" si="22"/>
        <v>#DIV/0!</v>
      </c>
      <c r="T58" s="18" t="e">
        <f t="shared" si="23"/>
        <v>#DIV/0!</v>
      </c>
      <c r="U58" s="60"/>
      <c r="V58" s="44"/>
      <c r="W58" s="56"/>
      <c r="X58" s="56"/>
      <c r="Y58" s="44"/>
      <c r="Z58" s="56"/>
      <c r="AA58" s="57"/>
      <c r="AB58" s="20"/>
      <c r="AC58" s="22">
        <f>BMS!B56</f>
        <v>0</v>
      </c>
      <c r="AD58" s="23">
        <f>BMS!C56</f>
        <v>0</v>
      </c>
      <c r="AE58" s="23">
        <f>BMS!D56</f>
        <v>0</v>
      </c>
      <c r="AF58" s="23">
        <f>BMS!E56</f>
        <v>0</v>
      </c>
      <c r="AG58" s="23">
        <f>BMS!F56</f>
        <v>0</v>
      </c>
      <c r="AH58" s="23">
        <f>BMS!G56</f>
        <v>0</v>
      </c>
      <c r="AI58" s="24">
        <f t="shared" si="24"/>
        <v>0</v>
      </c>
      <c r="AJ58" s="18" t="e">
        <f t="shared" si="25"/>
        <v>#DIV/0!</v>
      </c>
      <c r="AK58" s="18" t="e">
        <f t="shared" si="26"/>
        <v>#DIV/0!</v>
      </c>
      <c r="AL58" s="20"/>
      <c r="AM58" s="44"/>
      <c r="AN58" s="56"/>
      <c r="AO58" s="57"/>
      <c r="AP58" s="44"/>
      <c r="AQ58" s="56"/>
      <c r="AR58" s="57"/>
    </row>
    <row r="59" spans="1:44" x14ac:dyDescent="0.2">
      <c r="A59" s="16"/>
      <c r="B59" s="11" t="s">
        <v>57</v>
      </c>
      <c r="C59" s="11">
        <v>22</v>
      </c>
      <c r="D59" s="12">
        <f>TM!B57</f>
        <v>0</v>
      </c>
      <c r="E59" s="13">
        <f>TM!C57</f>
        <v>0</v>
      </c>
      <c r="F59" s="13">
        <f>TM!D57</f>
        <v>0</v>
      </c>
      <c r="G59" s="13">
        <f>TM!E57</f>
        <v>0</v>
      </c>
      <c r="H59" s="13">
        <f>TM!F57</f>
        <v>0</v>
      </c>
      <c r="I59" s="13">
        <f>TM!G57</f>
        <v>0</v>
      </c>
      <c r="J59" s="14">
        <f t="shared" si="20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4">
        <f t="shared" si="21"/>
        <v>0</v>
      </c>
      <c r="S59" s="18" t="e">
        <f t="shared" si="22"/>
        <v>#DIV/0!</v>
      </c>
      <c r="T59" s="18" t="e">
        <f t="shared" si="23"/>
        <v>#DIV/0!</v>
      </c>
      <c r="U59" s="60"/>
      <c r="V59" s="42" t="e">
        <f>bdrate($D59:$D62,E59:E62,$L59:$L62,M59:M62)</f>
        <v>#VALUE!</v>
      </c>
      <c r="W59" s="47" t="e">
        <f>bdrate($D59:$D62,F59:F62,$L59:$L62,N59:N62)</f>
        <v>#VALUE!</v>
      </c>
      <c r="X59" s="47" t="e">
        <f>bdrate($D59:$D62,G59:G62,$L59:$L62,O59:O62)</f>
        <v>#VALUE!</v>
      </c>
      <c r="Y59" s="45" t="e">
        <f>bdrateOld($D59:$D62,E59:E62,$L59:$L62,M59:M62)</f>
        <v>#VALUE!</v>
      </c>
      <c r="Z59" s="49" t="e">
        <f>bdrateOld($D59:$D62,F59:F62,$L59:$L62,N59:N62)</f>
        <v>#VALUE!</v>
      </c>
      <c r="AA59" s="50" t="e">
        <f>bdrateOld($D59:$D62,G59:G62,$L59:$L62,O59:O62)</f>
        <v>#VALUE!</v>
      </c>
      <c r="AB59" s="20"/>
      <c r="AC59" s="12">
        <f>BMS!B57</f>
        <v>0</v>
      </c>
      <c r="AD59" s="13">
        <f>BMS!C57</f>
        <v>0</v>
      </c>
      <c r="AE59" s="13">
        <f>BMS!D57</f>
        <v>0</v>
      </c>
      <c r="AF59" s="13">
        <f>BMS!E57</f>
        <v>0</v>
      </c>
      <c r="AG59" s="13">
        <f>BMS!F57</f>
        <v>0</v>
      </c>
      <c r="AH59" s="13">
        <f>BMS!G57</f>
        <v>0</v>
      </c>
      <c r="AI59" s="14">
        <f t="shared" si="24"/>
        <v>0</v>
      </c>
      <c r="AJ59" s="18" t="e">
        <f t="shared" si="25"/>
        <v>#DIV/0!</v>
      </c>
      <c r="AK59" s="18" t="e">
        <f t="shared" si="26"/>
        <v>#DIV/0!</v>
      </c>
      <c r="AL59" s="20"/>
      <c r="AM59" s="42" t="e">
        <f>bdrate($AC59:$AC62,AD59:AD62,$L59:$L62, M59:M62)</f>
        <v>#VALUE!</v>
      </c>
      <c r="AN59" s="47" t="e">
        <f>bdrate($AC59:$AC62,AE59:AE62,$L59:$L62, N59:N62)</f>
        <v>#VALUE!</v>
      </c>
      <c r="AO59" s="48" t="e">
        <f>bdrate($AC59:$AC62,AF59:AF62,$L59:$L62, O59:O62)</f>
        <v>#VALUE!</v>
      </c>
      <c r="AP59" s="42" t="e">
        <f>bdrateOld($AC59:$AC62,AD59:AD62,$L59:$L62, M59:M62)</f>
        <v>#VALUE!</v>
      </c>
      <c r="AQ59" s="47" t="e">
        <f>bdrateOld($AC59:$AC62,AE59:AE62,$L59:$L62, N59:N62)</f>
        <v>#VALUE!</v>
      </c>
      <c r="AR59" s="48" t="e">
        <f>bdrateOld($AC59:$AC62,AF59:AF62,$L59:$L62, O59:O62)</f>
        <v>#VALUE!</v>
      </c>
    </row>
    <row r="60" spans="1:44" x14ac:dyDescent="0.2">
      <c r="A60" s="16"/>
      <c r="B60" s="16"/>
      <c r="C60" s="16">
        <v>27</v>
      </c>
      <c r="D60" s="17">
        <f>TM!B58</f>
        <v>0</v>
      </c>
      <c r="E60" s="18">
        <f>TM!C58</f>
        <v>0</v>
      </c>
      <c r="F60" s="18">
        <f>TM!D58</f>
        <v>0</v>
      </c>
      <c r="G60" s="18">
        <f>TM!E58</f>
        <v>0</v>
      </c>
      <c r="H60" s="18">
        <f>TM!F58</f>
        <v>0</v>
      </c>
      <c r="I60" s="18">
        <f>TM!G58</f>
        <v>0</v>
      </c>
      <c r="J60" s="19">
        <f t="shared" si="20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9">
        <f t="shared" si="21"/>
        <v>0</v>
      </c>
      <c r="S60" s="18" t="e">
        <f t="shared" si="22"/>
        <v>#DIV/0!</v>
      </c>
      <c r="T60" s="18" t="e">
        <f t="shared" si="23"/>
        <v>#DIV/0!</v>
      </c>
      <c r="U60" s="60"/>
      <c r="V60" s="43"/>
      <c r="W60" s="26"/>
      <c r="X60" s="26"/>
      <c r="Y60" s="43"/>
      <c r="Z60" s="26"/>
      <c r="AA60" s="55"/>
      <c r="AB60" s="20"/>
      <c r="AC60" s="17">
        <f>BMS!B58</f>
        <v>0</v>
      </c>
      <c r="AD60" s="18">
        <f>BMS!C58</f>
        <v>0</v>
      </c>
      <c r="AE60" s="18">
        <f>BMS!D58</f>
        <v>0</v>
      </c>
      <c r="AF60" s="18">
        <f>BMS!E58</f>
        <v>0</v>
      </c>
      <c r="AG60" s="18">
        <f>BMS!F58</f>
        <v>0</v>
      </c>
      <c r="AH60" s="18">
        <f>BMS!G58</f>
        <v>0</v>
      </c>
      <c r="AI60" s="19">
        <f t="shared" si="24"/>
        <v>0</v>
      </c>
      <c r="AJ60" s="18" t="e">
        <f t="shared" si="25"/>
        <v>#DIV/0!</v>
      </c>
      <c r="AK60" s="18" t="e">
        <f t="shared" si="26"/>
        <v>#DIV/0!</v>
      </c>
      <c r="AL60" s="20"/>
      <c r="AM60" s="43"/>
      <c r="AN60" s="26"/>
      <c r="AO60" s="55"/>
      <c r="AP60" s="43"/>
      <c r="AQ60" s="26"/>
      <c r="AR60" s="55"/>
    </row>
    <row r="61" spans="1:44" x14ac:dyDescent="0.2">
      <c r="A61" s="16"/>
      <c r="B61" s="16"/>
      <c r="C61" s="16">
        <v>32</v>
      </c>
      <c r="D61" s="17">
        <f>TM!B59</f>
        <v>0</v>
      </c>
      <c r="E61" s="18">
        <f>TM!C59</f>
        <v>0</v>
      </c>
      <c r="F61" s="18">
        <f>TM!D59</f>
        <v>0</v>
      </c>
      <c r="G61" s="18">
        <f>TM!E59</f>
        <v>0</v>
      </c>
      <c r="H61" s="18">
        <f>TM!F59</f>
        <v>0</v>
      </c>
      <c r="I61" s="18">
        <f>TM!G59</f>
        <v>0</v>
      </c>
      <c r="J61" s="19">
        <f t="shared" si="20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9">
        <f t="shared" si="21"/>
        <v>0</v>
      </c>
      <c r="S61" s="18" t="e">
        <f t="shared" si="22"/>
        <v>#DIV/0!</v>
      </c>
      <c r="T61" s="18" t="e">
        <f t="shared" si="23"/>
        <v>#DIV/0!</v>
      </c>
      <c r="U61" s="60"/>
      <c r="V61" s="43"/>
      <c r="W61" s="26"/>
      <c r="X61" s="26"/>
      <c r="Y61" s="43"/>
      <c r="Z61" s="26"/>
      <c r="AA61" s="55"/>
      <c r="AB61" s="20"/>
      <c r="AC61" s="17">
        <f>BMS!B59</f>
        <v>0</v>
      </c>
      <c r="AD61" s="18">
        <f>BMS!C59</f>
        <v>0</v>
      </c>
      <c r="AE61" s="18">
        <f>BMS!D59</f>
        <v>0</v>
      </c>
      <c r="AF61" s="18">
        <f>BMS!E59</f>
        <v>0</v>
      </c>
      <c r="AG61" s="18">
        <f>BMS!F59</f>
        <v>0</v>
      </c>
      <c r="AH61" s="18">
        <f>BMS!G59</f>
        <v>0</v>
      </c>
      <c r="AI61" s="19">
        <f t="shared" si="24"/>
        <v>0</v>
      </c>
      <c r="AJ61" s="18" t="e">
        <f t="shared" si="25"/>
        <v>#DIV/0!</v>
      </c>
      <c r="AK61" s="18" t="e">
        <f t="shared" si="26"/>
        <v>#DIV/0!</v>
      </c>
      <c r="AL61" s="20"/>
      <c r="AM61" s="43"/>
      <c r="AN61" s="26"/>
      <c r="AO61" s="55"/>
      <c r="AP61" s="43"/>
      <c r="AQ61" s="26"/>
      <c r="AR61" s="55"/>
    </row>
    <row r="62" spans="1:44" ht="12.75" thickBot="1" x14ac:dyDescent="0.25">
      <c r="A62" s="21"/>
      <c r="B62" s="21"/>
      <c r="C62" s="21">
        <v>37</v>
      </c>
      <c r="D62" s="22">
        <f>TM!B60</f>
        <v>0</v>
      </c>
      <c r="E62" s="23">
        <f>TM!C60</f>
        <v>0</v>
      </c>
      <c r="F62" s="23">
        <f>TM!D60</f>
        <v>0</v>
      </c>
      <c r="G62" s="23">
        <f>TM!E60</f>
        <v>0</v>
      </c>
      <c r="H62" s="23">
        <f>TM!F60</f>
        <v>0</v>
      </c>
      <c r="I62" s="23">
        <f>TM!G60</f>
        <v>0</v>
      </c>
      <c r="J62" s="24">
        <f t="shared" si="20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4">
        <f t="shared" si="21"/>
        <v>0</v>
      </c>
      <c r="S62" s="23" t="e">
        <f t="shared" si="22"/>
        <v>#DIV/0!</v>
      </c>
      <c r="T62" s="23" t="e">
        <f t="shared" si="23"/>
        <v>#DIV/0!</v>
      </c>
      <c r="U62" s="61"/>
      <c r="V62" s="44"/>
      <c r="W62" s="56"/>
      <c r="X62" s="56"/>
      <c r="Y62" s="44"/>
      <c r="Z62" s="56"/>
      <c r="AA62" s="57"/>
      <c r="AB62" s="25"/>
      <c r="AC62" s="22">
        <f>BMS!B60</f>
        <v>0</v>
      </c>
      <c r="AD62" s="23">
        <f>BMS!C60</f>
        <v>0</v>
      </c>
      <c r="AE62" s="23">
        <f>BMS!D60</f>
        <v>0</v>
      </c>
      <c r="AF62" s="23">
        <f>BMS!E60</f>
        <v>0</v>
      </c>
      <c r="AG62" s="23">
        <f>BMS!F60</f>
        <v>0</v>
      </c>
      <c r="AH62" s="23">
        <f>BMS!G60</f>
        <v>0</v>
      </c>
      <c r="AI62" s="24">
        <f t="shared" si="24"/>
        <v>0</v>
      </c>
      <c r="AJ62" s="23" t="e">
        <f t="shared" si="25"/>
        <v>#DIV/0!</v>
      </c>
      <c r="AK62" s="23" t="e">
        <f t="shared" si="26"/>
        <v>#DIV/0!</v>
      </c>
      <c r="AL62" s="25"/>
      <c r="AM62" s="44"/>
      <c r="AN62" s="56"/>
      <c r="AO62" s="57"/>
      <c r="AP62" s="44"/>
      <c r="AQ62" s="56"/>
      <c r="AR62" s="57"/>
    </row>
    <row r="63" spans="1:44" x14ac:dyDescent="0.2">
      <c r="A63" s="11" t="s">
        <v>6</v>
      </c>
      <c r="B63" s="11" t="s">
        <v>58</v>
      </c>
      <c r="C63" s="11">
        <f>C59</f>
        <v>22</v>
      </c>
      <c r="D63" s="12">
        <f>TM!B61</f>
        <v>0</v>
      </c>
      <c r="E63" s="13">
        <f>TM!C61</f>
        <v>0</v>
      </c>
      <c r="F63" s="13">
        <f>TM!D61</f>
        <v>0</v>
      </c>
      <c r="G63" s="13">
        <f>TM!E61</f>
        <v>0</v>
      </c>
      <c r="H63" s="13">
        <f>TM!F61</f>
        <v>0</v>
      </c>
      <c r="I63" s="13">
        <f>TM!G61</f>
        <v>0</v>
      </c>
      <c r="J63" s="14">
        <f>H63/3600</f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4">
        <f>P63/3600</f>
        <v>0</v>
      </c>
      <c r="S63" s="13" t="e">
        <f>P63/H63</f>
        <v>#DIV/0!</v>
      </c>
      <c r="T63" s="13" t="e">
        <f>Q63/I63</f>
        <v>#DIV/0!</v>
      </c>
      <c r="U63" s="59"/>
      <c r="V63" s="42" t="e">
        <f>bdrate($D63:$D66,E63:E66,$L63:$L66,M63:M66)</f>
        <v>#VALUE!</v>
      </c>
      <c r="W63" s="47" t="e">
        <f>bdrate($D63:$D66,F63:F66,$L63:$L66,N63:N66)</f>
        <v>#VALUE!</v>
      </c>
      <c r="X63" s="48" t="e">
        <f>bdrate($D63:$D66,G63:G66,$L63:$L66,O63:O66)</f>
        <v>#VALUE!</v>
      </c>
      <c r="Y63" s="42" t="e">
        <f>bdrateOld($D63:$D66,E63:E66,$L63:$L66,M63:M66)</f>
        <v>#VALUE!</v>
      </c>
      <c r="Z63" s="47" t="e">
        <f>bdrateOld($D63:$D66,F63:F66,$L63:$L66,N63:N66)</f>
        <v>#VALUE!</v>
      </c>
      <c r="AA63" s="48" t="e">
        <f>bdrateOld($D63:$D66,G63:G66,$L63:$L66,O63:O66)</f>
        <v>#VALUE!</v>
      </c>
      <c r="AB63" s="54"/>
      <c r="AC63" s="12">
        <f>BMS!B61</f>
        <v>0</v>
      </c>
      <c r="AD63" s="13">
        <f>BMS!C61</f>
        <v>0</v>
      </c>
      <c r="AE63" s="13">
        <f>BMS!D61</f>
        <v>0</v>
      </c>
      <c r="AF63" s="13">
        <f>BMS!E61</f>
        <v>0</v>
      </c>
      <c r="AG63" s="13">
        <f>BMS!F61</f>
        <v>0</v>
      </c>
      <c r="AH63" s="13">
        <f>BMS!G61</f>
        <v>0</v>
      </c>
      <c r="AI63" s="14">
        <f>AG63/3600</f>
        <v>0</v>
      </c>
      <c r="AJ63" s="13" t="e">
        <f>R63/AI63</f>
        <v>#DIV/0!</v>
      </c>
      <c r="AK63" s="13" t="e">
        <f>Q63/AH63</f>
        <v>#DIV/0!</v>
      </c>
      <c r="AL63" s="54"/>
      <c r="AM63" s="42" t="e">
        <f>bdrate($AC63:$AC66,AD63:AD66,$L63:$L66, M63:M66)</f>
        <v>#VALUE!</v>
      </c>
      <c r="AN63" s="47" t="e">
        <f>bdrate($AC63:$AC66,AE63:AE66,$L63:$L66, N63:N66)</f>
        <v>#VALUE!</v>
      </c>
      <c r="AO63" s="48" t="e">
        <f>bdrate($AC63:$AC66,AF63:AF66,$L63:$L66, O63:O66)</f>
        <v>#VALUE!</v>
      </c>
      <c r="AP63" s="42" t="e">
        <f>bdrateOld($AC63:$AC66,AD63:AD66,$L63:$L66, M63:M66)</f>
        <v>#VALUE!</v>
      </c>
      <c r="AQ63" s="47" t="e">
        <f>bdrateOld($AC63:$AC66,AE63:AE66,$L63:$L66, N63:N66)</f>
        <v>#VALUE!</v>
      </c>
      <c r="AR63" s="48" t="e">
        <f>bdrateOld($AC63:$AC66,AF63:AF66,$L63:$L66, O63:O66)</f>
        <v>#VALUE!</v>
      </c>
    </row>
    <row r="64" spans="1:44" x14ac:dyDescent="0.2">
      <c r="A64" s="16" t="s">
        <v>51</v>
      </c>
      <c r="B64" s="16"/>
      <c r="C64" s="16">
        <f>C60</f>
        <v>27</v>
      </c>
      <c r="D64" s="17">
        <f>TM!B62</f>
        <v>0</v>
      </c>
      <c r="E64" s="18">
        <f>TM!C62</f>
        <v>0</v>
      </c>
      <c r="F64" s="18">
        <f>TM!D62</f>
        <v>0</v>
      </c>
      <c r="G64" s="18">
        <f>TM!E62</f>
        <v>0</v>
      </c>
      <c r="H64" s="18">
        <f>TM!F62</f>
        <v>0</v>
      </c>
      <c r="I64" s="18">
        <f>TM!G62</f>
        <v>0</v>
      </c>
      <c r="J64" s="19">
        <f t="shared" ref="J64:J78" si="27">H64/3600</f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9">
        <f t="shared" ref="R64:R78" si="28">P64/3600</f>
        <v>0</v>
      </c>
      <c r="S64" s="18" t="e">
        <f t="shared" ref="S64:S78" si="29">P64/H64</f>
        <v>#DIV/0!</v>
      </c>
      <c r="T64" s="18" t="e">
        <f t="shared" ref="T64:T78" si="30">Q64/I64</f>
        <v>#DIV/0!</v>
      </c>
      <c r="U64" s="60"/>
      <c r="V64" s="43"/>
      <c r="W64" s="26"/>
      <c r="X64" s="55"/>
      <c r="Y64" s="43"/>
      <c r="Z64" s="26"/>
      <c r="AA64" s="55"/>
      <c r="AB64" s="20"/>
      <c r="AC64" s="17">
        <f>BMS!B62</f>
        <v>0</v>
      </c>
      <c r="AD64" s="18">
        <f>BMS!C62</f>
        <v>0</v>
      </c>
      <c r="AE64" s="18">
        <f>BMS!D62</f>
        <v>0</v>
      </c>
      <c r="AF64" s="18">
        <f>BMS!E62</f>
        <v>0</v>
      </c>
      <c r="AG64" s="18">
        <f>BMS!F62</f>
        <v>0</v>
      </c>
      <c r="AH64" s="18">
        <f>BMS!G62</f>
        <v>0</v>
      </c>
      <c r="AI64" s="19">
        <f t="shared" ref="AI64:AI78" si="31">AG64/3600</f>
        <v>0</v>
      </c>
      <c r="AJ64" s="18" t="e">
        <f t="shared" ref="AJ64:AJ78" si="32">R64/AI64</f>
        <v>#DIV/0!</v>
      </c>
      <c r="AK64" s="18" t="e">
        <f t="shared" ref="AK64:AK78" si="33">Q64/AH64</f>
        <v>#DIV/0!</v>
      </c>
      <c r="AL64" s="20"/>
      <c r="AM64" s="43"/>
      <c r="AN64" s="26"/>
      <c r="AO64" s="55"/>
      <c r="AP64" s="43"/>
      <c r="AQ64" s="26"/>
      <c r="AR64" s="55"/>
    </row>
    <row r="65" spans="1:44" x14ac:dyDescent="0.2">
      <c r="A65" s="16"/>
      <c r="B65" s="16"/>
      <c r="C65" s="16">
        <f>C61</f>
        <v>32</v>
      </c>
      <c r="D65" s="17">
        <f>TM!B63</f>
        <v>0</v>
      </c>
      <c r="E65" s="18">
        <f>TM!C63</f>
        <v>0</v>
      </c>
      <c r="F65" s="18">
        <f>TM!D63</f>
        <v>0</v>
      </c>
      <c r="G65" s="18">
        <f>TM!E63</f>
        <v>0</v>
      </c>
      <c r="H65" s="18">
        <f>TM!F63</f>
        <v>0</v>
      </c>
      <c r="I65" s="18">
        <f>TM!G63</f>
        <v>0</v>
      </c>
      <c r="J65" s="19">
        <f t="shared" si="27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9">
        <f t="shared" si="28"/>
        <v>0</v>
      </c>
      <c r="S65" s="18" t="e">
        <f t="shared" si="29"/>
        <v>#DIV/0!</v>
      </c>
      <c r="T65" s="18" t="e">
        <f t="shared" si="30"/>
        <v>#DIV/0!</v>
      </c>
      <c r="U65" s="60"/>
      <c r="V65" s="43"/>
      <c r="W65" s="26"/>
      <c r="X65" s="55"/>
      <c r="Y65" s="43"/>
      <c r="Z65" s="26"/>
      <c r="AA65" s="55"/>
      <c r="AB65" s="20"/>
      <c r="AC65" s="17">
        <f>BMS!B63</f>
        <v>0</v>
      </c>
      <c r="AD65" s="18">
        <f>BMS!C63</f>
        <v>0</v>
      </c>
      <c r="AE65" s="18">
        <f>BMS!D63</f>
        <v>0</v>
      </c>
      <c r="AF65" s="18">
        <f>BMS!E63</f>
        <v>0</v>
      </c>
      <c r="AG65" s="18">
        <f>BMS!F63</f>
        <v>0</v>
      </c>
      <c r="AH65" s="18">
        <f>BMS!G63</f>
        <v>0</v>
      </c>
      <c r="AI65" s="19">
        <f t="shared" si="31"/>
        <v>0</v>
      </c>
      <c r="AJ65" s="18" t="e">
        <f t="shared" si="32"/>
        <v>#DIV/0!</v>
      </c>
      <c r="AK65" s="18" t="e">
        <f t="shared" si="33"/>
        <v>#DIV/0!</v>
      </c>
      <c r="AL65" s="20"/>
      <c r="AM65" s="43"/>
      <c r="AN65" s="26"/>
      <c r="AO65" s="55"/>
      <c r="AP65" s="43"/>
      <c r="AQ65" s="26"/>
      <c r="AR65" s="55"/>
    </row>
    <row r="66" spans="1:44" ht="12.75" thickBot="1" x14ac:dyDescent="0.25">
      <c r="A66" s="16"/>
      <c r="B66" s="21"/>
      <c r="C66" s="21">
        <f>C62</f>
        <v>37</v>
      </c>
      <c r="D66" s="22">
        <f>TM!B64</f>
        <v>0</v>
      </c>
      <c r="E66" s="23">
        <f>TM!C64</f>
        <v>0</v>
      </c>
      <c r="F66" s="23">
        <f>TM!D64</f>
        <v>0</v>
      </c>
      <c r="G66" s="23">
        <f>TM!E64</f>
        <v>0</v>
      </c>
      <c r="H66" s="23">
        <f>TM!F64</f>
        <v>0</v>
      </c>
      <c r="I66" s="23">
        <f>TM!G64</f>
        <v>0</v>
      </c>
      <c r="J66" s="24">
        <f t="shared" si="27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4">
        <f t="shared" si="28"/>
        <v>0</v>
      </c>
      <c r="S66" s="18" t="e">
        <f t="shared" si="29"/>
        <v>#DIV/0!</v>
      </c>
      <c r="T66" s="18" t="e">
        <f t="shared" si="30"/>
        <v>#DIV/0!</v>
      </c>
      <c r="U66" s="60"/>
      <c r="V66" s="44"/>
      <c r="W66" s="56"/>
      <c r="X66" s="57"/>
      <c r="Y66" s="44"/>
      <c r="Z66" s="56"/>
      <c r="AA66" s="57"/>
      <c r="AB66" s="20"/>
      <c r="AC66" s="22">
        <f>BMS!B64</f>
        <v>0</v>
      </c>
      <c r="AD66" s="23">
        <f>BMS!C64</f>
        <v>0</v>
      </c>
      <c r="AE66" s="23">
        <f>BMS!D64</f>
        <v>0</v>
      </c>
      <c r="AF66" s="23">
        <f>BMS!E64</f>
        <v>0</v>
      </c>
      <c r="AG66" s="23">
        <f>BMS!F64</f>
        <v>0</v>
      </c>
      <c r="AH66" s="23">
        <f>BMS!G64</f>
        <v>0</v>
      </c>
      <c r="AI66" s="24">
        <f t="shared" si="31"/>
        <v>0</v>
      </c>
      <c r="AJ66" s="18" t="e">
        <f t="shared" si="32"/>
        <v>#DIV/0!</v>
      </c>
      <c r="AK66" s="18" t="e">
        <f t="shared" si="33"/>
        <v>#DIV/0!</v>
      </c>
      <c r="AL66" s="20"/>
      <c r="AM66" s="44"/>
      <c r="AN66" s="56"/>
      <c r="AO66" s="57"/>
      <c r="AP66" s="44"/>
      <c r="AQ66" s="56"/>
      <c r="AR66" s="57"/>
    </row>
    <row r="67" spans="1:44" x14ac:dyDescent="0.2">
      <c r="A67" s="16"/>
      <c r="B67" s="11" t="s">
        <v>59</v>
      </c>
      <c r="C67" s="11">
        <v>22</v>
      </c>
      <c r="D67" s="12">
        <f>TM!B65</f>
        <v>0</v>
      </c>
      <c r="E67" s="13">
        <f>TM!C65</f>
        <v>0</v>
      </c>
      <c r="F67" s="13">
        <f>TM!D65</f>
        <v>0</v>
      </c>
      <c r="G67" s="13">
        <f>TM!E65</f>
        <v>0</v>
      </c>
      <c r="H67" s="13">
        <f>TM!F65</f>
        <v>0</v>
      </c>
      <c r="I67" s="13">
        <f>TM!G65</f>
        <v>0</v>
      </c>
      <c r="J67" s="14">
        <f t="shared" si="27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4">
        <f t="shared" si="28"/>
        <v>0</v>
      </c>
      <c r="S67" s="18" t="e">
        <f t="shared" si="29"/>
        <v>#DIV/0!</v>
      </c>
      <c r="T67" s="18" t="e">
        <f t="shared" si="30"/>
        <v>#DIV/0!</v>
      </c>
      <c r="U67" s="60"/>
      <c r="V67" s="42" t="e">
        <f>bdrate($D67:$D70,E67:E70,$L67:$L70,M67:M70)</f>
        <v>#VALUE!</v>
      </c>
      <c r="W67" s="47" t="e">
        <f>bdrate($D67:$D70,F67:F70,$L67:$L70,N67:N70)</f>
        <v>#VALUE!</v>
      </c>
      <c r="X67" s="47" t="e">
        <f>bdrate($D67:$D70,G67:G70,$L67:$L70,O67:O70)</f>
        <v>#VALUE!</v>
      </c>
      <c r="Y67" s="45" t="e">
        <f>bdrateOld($D67:$D70,E67:E70,$L67:$L70,M67:M70)</f>
        <v>#VALUE!</v>
      </c>
      <c r="Z67" s="49" t="e">
        <f>bdrateOld($D67:$D70,F67:F70,$L67:$L70,N67:N70)</f>
        <v>#VALUE!</v>
      </c>
      <c r="AA67" s="50" t="e">
        <f>bdrateOld($D67:$D70,G67:G70,$L67:$L70,O67:O70)</f>
        <v>#VALUE!</v>
      </c>
      <c r="AB67" s="20"/>
      <c r="AC67" s="12">
        <f>BMS!B65</f>
        <v>0</v>
      </c>
      <c r="AD67" s="13">
        <f>BMS!C65</f>
        <v>0</v>
      </c>
      <c r="AE67" s="13">
        <f>BMS!D65</f>
        <v>0</v>
      </c>
      <c r="AF67" s="13">
        <f>BMS!E65</f>
        <v>0</v>
      </c>
      <c r="AG67" s="13">
        <f>BMS!F65</f>
        <v>0</v>
      </c>
      <c r="AH67" s="13">
        <f>BMS!G65</f>
        <v>0</v>
      </c>
      <c r="AI67" s="14">
        <f t="shared" si="31"/>
        <v>0</v>
      </c>
      <c r="AJ67" s="18" t="e">
        <f t="shared" si="32"/>
        <v>#DIV/0!</v>
      </c>
      <c r="AK67" s="18" t="e">
        <f t="shared" si="33"/>
        <v>#DIV/0!</v>
      </c>
      <c r="AL67" s="20"/>
      <c r="AM67" s="42" t="e">
        <f>bdrate($AC67:$AC70,AD67:AD70,$L67:$L70, M67:M70)</f>
        <v>#VALUE!</v>
      </c>
      <c r="AN67" s="47" t="e">
        <f>bdrate($AC67:$AC70,AE67:AE70,$L67:$L70, N67:N70)</f>
        <v>#VALUE!</v>
      </c>
      <c r="AO67" s="48" t="e">
        <f>bdrate($AC67:$AC70,AF67:AF70,$L67:$L70, O67:O70)</f>
        <v>#VALUE!</v>
      </c>
      <c r="AP67" s="42" t="e">
        <f>bdrateOld($AC67:$AC70,AD67:AD70,$L67:$L70, M67:M70)</f>
        <v>#VALUE!</v>
      </c>
      <c r="AQ67" s="47" t="e">
        <f>bdrateOld($AC67:$AC70,AE67:AE70,$L67:$L70, N67:N70)</f>
        <v>#VALUE!</v>
      </c>
      <c r="AR67" s="48" t="e">
        <f>bdrateOld($AC67:$AC70,AF67:AF70,$L67:$L70, O67:O70)</f>
        <v>#VALUE!</v>
      </c>
    </row>
    <row r="68" spans="1:44" x14ac:dyDescent="0.2">
      <c r="A68" s="16"/>
      <c r="B68" s="16"/>
      <c r="C68" s="16">
        <v>27</v>
      </c>
      <c r="D68" s="17">
        <f>TM!B66</f>
        <v>0</v>
      </c>
      <c r="E68" s="18">
        <f>TM!C66</f>
        <v>0</v>
      </c>
      <c r="F68" s="18">
        <f>TM!D66</f>
        <v>0</v>
      </c>
      <c r="G68" s="18">
        <f>TM!E66</f>
        <v>0</v>
      </c>
      <c r="H68" s="18">
        <f>TM!F66</f>
        <v>0</v>
      </c>
      <c r="I68" s="18">
        <f>TM!G66</f>
        <v>0</v>
      </c>
      <c r="J68" s="19">
        <f t="shared" si="27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9">
        <f t="shared" si="28"/>
        <v>0</v>
      </c>
      <c r="S68" s="18" t="e">
        <f t="shared" si="29"/>
        <v>#DIV/0!</v>
      </c>
      <c r="T68" s="18" t="e">
        <f t="shared" si="30"/>
        <v>#DIV/0!</v>
      </c>
      <c r="U68" s="60"/>
      <c r="V68" s="43"/>
      <c r="W68" s="26"/>
      <c r="X68" s="26"/>
      <c r="Y68" s="43"/>
      <c r="Z68" s="26"/>
      <c r="AA68" s="55"/>
      <c r="AB68" s="20"/>
      <c r="AC68" s="17">
        <f>BMS!B66</f>
        <v>0</v>
      </c>
      <c r="AD68" s="18">
        <f>BMS!C66</f>
        <v>0</v>
      </c>
      <c r="AE68" s="18">
        <f>BMS!D66</f>
        <v>0</v>
      </c>
      <c r="AF68" s="18">
        <f>BMS!E66</f>
        <v>0</v>
      </c>
      <c r="AG68" s="18">
        <f>BMS!F66</f>
        <v>0</v>
      </c>
      <c r="AH68" s="18">
        <f>BMS!G66</f>
        <v>0</v>
      </c>
      <c r="AI68" s="19">
        <f t="shared" si="31"/>
        <v>0</v>
      </c>
      <c r="AJ68" s="18" t="e">
        <f t="shared" si="32"/>
        <v>#DIV/0!</v>
      </c>
      <c r="AK68" s="18" t="e">
        <f t="shared" si="33"/>
        <v>#DIV/0!</v>
      </c>
      <c r="AL68" s="20"/>
      <c r="AM68" s="43"/>
      <c r="AN68" s="26"/>
      <c r="AO68" s="55"/>
      <c r="AP68" s="43"/>
      <c r="AQ68" s="26"/>
      <c r="AR68" s="55"/>
    </row>
    <row r="69" spans="1:44" x14ac:dyDescent="0.2">
      <c r="A69" s="16"/>
      <c r="B69" s="16"/>
      <c r="C69" s="16">
        <v>32</v>
      </c>
      <c r="D69" s="17">
        <f>TM!B67</f>
        <v>0</v>
      </c>
      <c r="E69" s="18">
        <f>TM!C67</f>
        <v>0</v>
      </c>
      <c r="F69" s="18">
        <f>TM!D67</f>
        <v>0</v>
      </c>
      <c r="G69" s="18">
        <f>TM!E67</f>
        <v>0</v>
      </c>
      <c r="H69" s="18">
        <f>TM!F67</f>
        <v>0</v>
      </c>
      <c r="I69" s="18">
        <f>TM!G67</f>
        <v>0</v>
      </c>
      <c r="J69" s="19">
        <f t="shared" si="27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9">
        <f t="shared" si="28"/>
        <v>0</v>
      </c>
      <c r="S69" s="18" t="e">
        <f t="shared" si="29"/>
        <v>#DIV/0!</v>
      </c>
      <c r="T69" s="18" t="e">
        <f t="shared" si="30"/>
        <v>#DIV/0!</v>
      </c>
      <c r="U69" s="60"/>
      <c r="V69" s="43"/>
      <c r="W69" s="26"/>
      <c r="X69" s="26"/>
      <c r="Y69" s="43"/>
      <c r="Z69" s="26"/>
      <c r="AA69" s="55"/>
      <c r="AB69" s="20"/>
      <c r="AC69" s="17">
        <f>BMS!B67</f>
        <v>0</v>
      </c>
      <c r="AD69" s="18">
        <f>BMS!C67</f>
        <v>0</v>
      </c>
      <c r="AE69" s="18">
        <f>BMS!D67</f>
        <v>0</v>
      </c>
      <c r="AF69" s="18">
        <f>BMS!E67</f>
        <v>0</v>
      </c>
      <c r="AG69" s="18">
        <f>BMS!F67</f>
        <v>0</v>
      </c>
      <c r="AH69" s="18">
        <f>BMS!G67</f>
        <v>0</v>
      </c>
      <c r="AI69" s="19">
        <f t="shared" si="31"/>
        <v>0</v>
      </c>
      <c r="AJ69" s="18" t="e">
        <f t="shared" si="32"/>
        <v>#DIV/0!</v>
      </c>
      <c r="AK69" s="18" t="e">
        <f t="shared" si="33"/>
        <v>#DIV/0!</v>
      </c>
      <c r="AL69" s="20"/>
      <c r="AM69" s="43"/>
      <c r="AN69" s="26"/>
      <c r="AO69" s="55"/>
      <c r="AP69" s="43"/>
      <c r="AQ69" s="26"/>
      <c r="AR69" s="55"/>
    </row>
    <row r="70" spans="1:44" ht="12.75" thickBot="1" x14ac:dyDescent="0.25">
      <c r="A70" s="16"/>
      <c r="B70" s="21"/>
      <c r="C70" s="21">
        <v>37</v>
      </c>
      <c r="D70" s="22">
        <f>TM!B68</f>
        <v>0</v>
      </c>
      <c r="E70" s="23">
        <f>TM!C68</f>
        <v>0</v>
      </c>
      <c r="F70" s="23">
        <f>TM!D68</f>
        <v>0</v>
      </c>
      <c r="G70" s="23">
        <f>TM!E68</f>
        <v>0</v>
      </c>
      <c r="H70" s="23">
        <f>TM!F68</f>
        <v>0</v>
      </c>
      <c r="I70" s="23">
        <f>TM!G68</f>
        <v>0</v>
      </c>
      <c r="J70" s="24">
        <f t="shared" si="27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4">
        <f t="shared" si="28"/>
        <v>0</v>
      </c>
      <c r="S70" s="18" t="e">
        <f t="shared" si="29"/>
        <v>#DIV/0!</v>
      </c>
      <c r="T70" s="18" t="e">
        <f t="shared" si="30"/>
        <v>#DIV/0!</v>
      </c>
      <c r="U70" s="60"/>
      <c r="V70" s="44"/>
      <c r="W70" s="56"/>
      <c r="X70" s="56"/>
      <c r="Y70" s="44"/>
      <c r="Z70" s="56"/>
      <c r="AA70" s="57"/>
      <c r="AB70" s="20"/>
      <c r="AC70" s="22">
        <f>BMS!B68</f>
        <v>0</v>
      </c>
      <c r="AD70" s="23">
        <f>BMS!C68</f>
        <v>0</v>
      </c>
      <c r="AE70" s="23">
        <f>BMS!D68</f>
        <v>0</v>
      </c>
      <c r="AF70" s="23">
        <f>BMS!E68</f>
        <v>0</v>
      </c>
      <c r="AG70" s="23">
        <f>BMS!F68</f>
        <v>0</v>
      </c>
      <c r="AH70" s="23">
        <f>BMS!G68</f>
        <v>0</v>
      </c>
      <c r="AI70" s="24">
        <f t="shared" si="31"/>
        <v>0</v>
      </c>
      <c r="AJ70" s="18" t="e">
        <f t="shared" si="32"/>
        <v>#DIV/0!</v>
      </c>
      <c r="AK70" s="18" t="e">
        <f t="shared" si="33"/>
        <v>#DIV/0!</v>
      </c>
      <c r="AL70" s="20"/>
      <c r="AM70" s="44"/>
      <c r="AN70" s="56"/>
      <c r="AO70" s="57"/>
      <c r="AP70" s="44"/>
      <c r="AQ70" s="56"/>
      <c r="AR70" s="57"/>
    </row>
    <row r="71" spans="1:44" x14ac:dyDescent="0.2">
      <c r="A71" s="16"/>
      <c r="B71" s="11" t="s">
        <v>60</v>
      </c>
      <c r="C71" s="11">
        <v>22</v>
      </c>
      <c r="D71" s="12">
        <f>TM!B69</f>
        <v>0</v>
      </c>
      <c r="E71" s="13">
        <f>TM!C69</f>
        <v>0</v>
      </c>
      <c r="F71" s="13">
        <f>TM!D69</f>
        <v>0</v>
      </c>
      <c r="G71" s="13">
        <f>TM!E69</f>
        <v>0</v>
      </c>
      <c r="H71" s="13">
        <f>TM!F69</f>
        <v>0</v>
      </c>
      <c r="I71" s="13">
        <f>TM!G69</f>
        <v>0</v>
      </c>
      <c r="J71" s="14">
        <f t="shared" si="27"/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4">
        <f t="shared" si="28"/>
        <v>0</v>
      </c>
      <c r="S71" s="18" t="e">
        <f t="shared" si="29"/>
        <v>#DIV/0!</v>
      </c>
      <c r="T71" s="18" t="e">
        <f t="shared" si="30"/>
        <v>#DIV/0!</v>
      </c>
      <c r="U71" s="60"/>
      <c r="V71" s="42" t="e">
        <f>bdrate($D71:$D74,E71:E74,$L71:$L74,M71:M74)</f>
        <v>#VALUE!</v>
      </c>
      <c r="W71" s="47" t="e">
        <f>bdrate($D71:$D74,F71:F74,$L71:$L74,N71:N74)</f>
        <v>#VALUE!</v>
      </c>
      <c r="X71" s="47" t="e">
        <f>bdrate($D71:$D74,G71:G74,$L71:$L74,O71:O74)</f>
        <v>#VALUE!</v>
      </c>
      <c r="Y71" s="45" t="e">
        <f>bdrateOld($D71:$D74,E71:E74,$L71:$L74,M71:M74)</f>
        <v>#VALUE!</v>
      </c>
      <c r="Z71" s="49" t="e">
        <f>bdrateOld($D71:$D74,F71:F74,$L71:$L74,N71:N74)</f>
        <v>#VALUE!</v>
      </c>
      <c r="AA71" s="50" t="e">
        <f>bdrateOld($D71:$D74,G71:G74,$L71:$L74,O71:O74)</f>
        <v>#VALUE!</v>
      </c>
      <c r="AB71" s="20"/>
      <c r="AC71" s="12">
        <f>BMS!B69</f>
        <v>0</v>
      </c>
      <c r="AD71" s="13">
        <f>BMS!C69</f>
        <v>0</v>
      </c>
      <c r="AE71" s="13">
        <f>BMS!D69</f>
        <v>0</v>
      </c>
      <c r="AF71" s="13">
        <f>BMS!E69</f>
        <v>0</v>
      </c>
      <c r="AG71" s="13">
        <f>BMS!F69</f>
        <v>0</v>
      </c>
      <c r="AH71" s="13">
        <f>BMS!G69</f>
        <v>0</v>
      </c>
      <c r="AI71" s="14">
        <f t="shared" si="31"/>
        <v>0</v>
      </c>
      <c r="AJ71" s="18" t="e">
        <f t="shared" si="32"/>
        <v>#DIV/0!</v>
      </c>
      <c r="AK71" s="18" t="e">
        <f t="shared" si="33"/>
        <v>#DIV/0!</v>
      </c>
      <c r="AL71" s="20"/>
      <c r="AM71" s="42" t="e">
        <f>bdrate($AC71:$AC74,AD71:AD74,$L71:$L74, M71:M74)</f>
        <v>#VALUE!</v>
      </c>
      <c r="AN71" s="47" t="e">
        <f>bdrate($AC71:$AC74,AE71:AE74,$L71:$L74, N71:N74)</f>
        <v>#VALUE!</v>
      </c>
      <c r="AO71" s="48" t="e">
        <f>bdrate($AC71:$AC74,AF71:AF74,$L71:$L74, O71:O74)</f>
        <v>#VALUE!</v>
      </c>
      <c r="AP71" s="42" t="e">
        <f>bdrateOld($AC71:$AC74,AD71:AD74,$L71:$L74, M71:M74)</f>
        <v>#VALUE!</v>
      </c>
      <c r="AQ71" s="47" t="e">
        <f>bdrateOld($AC71:$AC74,AE71:AE74,$L71:$L74, N71:N74)</f>
        <v>#VALUE!</v>
      </c>
      <c r="AR71" s="48" t="e">
        <f>bdrateOld($AC71:$AC74,AF71:AF74,$L71:$L74, O71:O74)</f>
        <v>#VALUE!</v>
      </c>
    </row>
    <row r="72" spans="1:44" x14ac:dyDescent="0.2">
      <c r="A72" s="16"/>
      <c r="B72" s="16"/>
      <c r="C72" s="16">
        <v>27</v>
      </c>
      <c r="D72" s="17">
        <f>TM!B70</f>
        <v>0</v>
      </c>
      <c r="E72" s="18">
        <f>TM!C70</f>
        <v>0</v>
      </c>
      <c r="F72" s="18">
        <f>TM!D70</f>
        <v>0</v>
      </c>
      <c r="G72" s="18">
        <f>TM!E70</f>
        <v>0</v>
      </c>
      <c r="H72" s="18">
        <f>TM!F70</f>
        <v>0</v>
      </c>
      <c r="I72" s="18">
        <f>TM!G70</f>
        <v>0</v>
      </c>
      <c r="J72" s="19">
        <f t="shared" si="27"/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9">
        <f t="shared" si="28"/>
        <v>0</v>
      </c>
      <c r="S72" s="18" t="e">
        <f t="shared" si="29"/>
        <v>#DIV/0!</v>
      </c>
      <c r="T72" s="18" t="e">
        <f t="shared" si="30"/>
        <v>#DIV/0!</v>
      </c>
      <c r="U72" s="60"/>
      <c r="V72" s="43"/>
      <c r="W72" s="26"/>
      <c r="X72" s="26"/>
      <c r="Y72" s="43"/>
      <c r="Z72" s="26"/>
      <c r="AA72" s="55"/>
      <c r="AB72" s="20"/>
      <c r="AC72" s="17">
        <f>BMS!B70</f>
        <v>0</v>
      </c>
      <c r="AD72" s="18">
        <f>BMS!C70</f>
        <v>0</v>
      </c>
      <c r="AE72" s="18">
        <f>BMS!D70</f>
        <v>0</v>
      </c>
      <c r="AF72" s="18">
        <f>BMS!E70</f>
        <v>0</v>
      </c>
      <c r="AG72" s="18">
        <f>BMS!F70</f>
        <v>0</v>
      </c>
      <c r="AH72" s="18">
        <f>BMS!G70</f>
        <v>0</v>
      </c>
      <c r="AI72" s="19">
        <f t="shared" si="31"/>
        <v>0</v>
      </c>
      <c r="AJ72" s="18" t="e">
        <f t="shared" si="32"/>
        <v>#DIV/0!</v>
      </c>
      <c r="AK72" s="18" t="e">
        <f t="shared" si="33"/>
        <v>#DIV/0!</v>
      </c>
      <c r="AL72" s="20"/>
      <c r="AM72" s="43"/>
      <c r="AN72" s="26"/>
      <c r="AO72" s="55"/>
      <c r="AP72" s="43"/>
      <c r="AQ72" s="26"/>
      <c r="AR72" s="55"/>
    </row>
    <row r="73" spans="1:44" x14ac:dyDescent="0.2">
      <c r="A73" s="16"/>
      <c r="B73" s="16"/>
      <c r="C73" s="16">
        <v>32</v>
      </c>
      <c r="D73" s="17">
        <f>TM!B71</f>
        <v>0</v>
      </c>
      <c r="E73" s="18">
        <f>TM!C71</f>
        <v>0</v>
      </c>
      <c r="F73" s="18">
        <f>TM!D71</f>
        <v>0</v>
      </c>
      <c r="G73" s="18">
        <f>TM!E71</f>
        <v>0</v>
      </c>
      <c r="H73" s="18">
        <f>TM!F71</f>
        <v>0</v>
      </c>
      <c r="I73" s="18">
        <f>TM!G71</f>
        <v>0</v>
      </c>
      <c r="J73" s="19">
        <f t="shared" si="27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9">
        <f t="shared" si="28"/>
        <v>0</v>
      </c>
      <c r="S73" s="18" t="e">
        <f t="shared" si="29"/>
        <v>#DIV/0!</v>
      </c>
      <c r="T73" s="18" t="e">
        <f t="shared" si="30"/>
        <v>#DIV/0!</v>
      </c>
      <c r="U73" s="60"/>
      <c r="V73" s="43"/>
      <c r="W73" s="26"/>
      <c r="X73" s="26"/>
      <c r="Y73" s="43"/>
      <c r="Z73" s="26"/>
      <c r="AA73" s="55"/>
      <c r="AB73" s="20"/>
      <c r="AC73" s="17">
        <f>BMS!B71</f>
        <v>0</v>
      </c>
      <c r="AD73" s="18">
        <f>BMS!C71</f>
        <v>0</v>
      </c>
      <c r="AE73" s="18">
        <f>BMS!D71</f>
        <v>0</v>
      </c>
      <c r="AF73" s="18">
        <f>BMS!E71</f>
        <v>0</v>
      </c>
      <c r="AG73" s="18">
        <f>BMS!F71</f>
        <v>0</v>
      </c>
      <c r="AH73" s="18">
        <f>BMS!G71</f>
        <v>0</v>
      </c>
      <c r="AI73" s="19">
        <f t="shared" si="31"/>
        <v>0</v>
      </c>
      <c r="AJ73" s="18" t="e">
        <f t="shared" si="32"/>
        <v>#DIV/0!</v>
      </c>
      <c r="AK73" s="18" t="e">
        <f t="shared" si="33"/>
        <v>#DIV/0!</v>
      </c>
      <c r="AL73" s="20"/>
      <c r="AM73" s="43"/>
      <c r="AN73" s="26"/>
      <c r="AO73" s="55"/>
      <c r="AP73" s="43"/>
      <c r="AQ73" s="26"/>
      <c r="AR73" s="55"/>
    </row>
    <row r="74" spans="1:44" ht="12.75" thickBot="1" x14ac:dyDescent="0.25">
      <c r="A74" s="16"/>
      <c r="B74" s="21"/>
      <c r="C74" s="21">
        <v>37</v>
      </c>
      <c r="D74" s="22">
        <f>TM!B72</f>
        <v>0</v>
      </c>
      <c r="E74" s="23">
        <f>TM!C72</f>
        <v>0</v>
      </c>
      <c r="F74" s="23">
        <f>TM!D72</f>
        <v>0</v>
      </c>
      <c r="G74" s="23">
        <f>TM!E72</f>
        <v>0</v>
      </c>
      <c r="H74" s="23">
        <f>TM!F72</f>
        <v>0</v>
      </c>
      <c r="I74" s="23">
        <f>TM!G72</f>
        <v>0</v>
      </c>
      <c r="J74" s="24">
        <f t="shared" si="27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4">
        <f t="shared" si="28"/>
        <v>0</v>
      </c>
      <c r="S74" s="18" t="e">
        <f t="shared" si="29"/>
        <v>#DIV/0!</v>
      </c>
      <c r="T74" s="18" t="e">
        <f t="shared" si="30"/>
        <v>#DIV/0!</v>
      </c>
      <c r="U74" s="60"/>
      <c r="V74" s="44"/>
      <c r="W74" s="56"/>
      <c r="X74" s="56"/>
      <c r="Y74" s="44"/>
      <c r="Z74" s="56"/>
      <c r="AA74" s="57"/>
      <c r="AB74" s="20"/>
      <c r="AC74" s="22">
        <f>BMS!B72</f>
        <v>0</v>
      </c>
      <c r="AD74" s="23">
        <f>BMS!C72</f>
        <v>0</v>
      </c>
      <c r="AE74" s="23">
        <f>BMS!D72</f>
        <v>0</v>
      </c>
      <c r="AF74" s="23">
        <f>BMS!E72</f>
        <v>0</v>
      </c>
      <c r="AG74" s="23">
        <f>BMS!F72</f>
        <v>0</v>
      </c>
      <c r="AH74" s="23">
        <f>BMS!G72</f>
        <v>0</v>
      </c>
      <c r="AI74" s="24">
        <f t="shared" si="31"/>
        <v>0</v>
      </c>
      <c r="AJ74" s="18" t="e">
        <f t="shared" si="32"/>
        <v>#DIV/0!</v>
      </c>
      <c r="AK74" s="18" t="e">
        <f t="shared" si="33"/>
        <v>#DIV/0!</v>
      </c>
      <c r="AL74" s="20"/>
      <c r="AM74" s="44"/>
      <c r="AN74" s="56"/>
      <c r="AO74" s="57"/>
      <c r="AP74" s="44"/>
      <c r="AQ74" s="56"/>
      <c r="AR74" s="57"/>
    </row>
    <row r="75" spans="1:44" x14ac:dyDescent="0.2">
      <c r="A75" s="16"/>
      <c r="B75" s="11" t="s">
        <v>57</v>
      </c>
      <c r="C75" s="11">
        <v>22</v>
      </c>
      <c r="D75" s="12">
        <f>TM!B73</f>
        <v>0</v>
      </c>
      <c r="E75" s="13">
        <f>TM!C73</f>
        <v>0</v>
      </c>
      <c r="F75" s="13">
        <f>TM!D73</f>
        <v>0</v>
      </c>
      <c r="G75" s="13">
        <f>TM!E73</f>
        <v>0</v>
      </c>
      <c r="H75" s="13">
        <f>TM!F73</f>
        <v>0</v>
      </c>
      <c r="I75" s="13">
        <f>TM!G73</f>
        <v>0</v>
      </c>
      <c r="J75" s="14">
        <f t="shared" si="27"/>
        <v>0</v>
      </c>
      <c r="L75" s="12">
        <f>Test!B73</f>
        <v>0</v>
      </c>
      <c r="M75" s="13">
        <f>Test!C73</f>
        <v>0</v>
      </c>
      <c r="N75" s="13">
        <f>Test!D73</f>
        <v>0</v>
      </c>
      <c r="O75" s="13">
        <f>Test!E73</f>
        <v>0</v>
      </c>
      <c r="P75" s="13">
        <f>Test!F73</f>
        <v>0</v>
      </c>
      <c r="Q75" s="13">
        <f>Test!G73</f>
        <v>0</v>
      </c>
      <c r="R75" s="14">
        <f t="shared" si="28"/>
        <v>0</v>
      </c>
      <c r="S75" s="18" t="e">
        <f t="shared" si="29"/>
        <v>#DIV/0!</v>
      </c>
      <c r="T75" s="18" t="e">
        <f t="shared" si="30"/>
        <v>#DIV/0!</v>
      </c>
      <c r="U75" s="60"/>
      <c r="V75" s="42" t="e">
        <f>bdrate($D75:$D78,E75:E78,$L75:$L78,M75:M78)</f>
        <v>#VALUE!</v>
      </c>
      <c r="W75" s="47" t="e">
        <f>bdrate($D75:$D78,F75:F78,$L75:$L78,N75:N78)</f>
        <v>#VALUE!</v>
      </c>
      <c r="X75" s="47" t="e">
        <f>bdrate($D75:$D78,G75:G78,$L75:$L78,O75:O78)</f>
        <v>#VALUE!</v>
      </c>
      <c r="Y75" s="45" t="e">
        <f>bdrateOld($D75:$D78,E75:E78,$L75:$L78,M75:M78)</f>
        <v>#VALUE!</v>
      </c>
      <c r="Z75" s="49" t="e">
        <f>bdrateOld($D75:$D78,F75:F78,$L75:$L78,N75:N78)</f>
        <v>#VALUE!</v>
      </c>
      <c r="AA75" s="50" t="e">
        <f>bdrateOld($D75:$D78,G75:G78,$L75:$L78,O75:O78)</f>
        <v>#VALUE!</v>
      </c>
      <c r="AB75" s="20"/>
      <c r="AC75" s="12">
        <f>BMS!B73</f>
        <v>0</v>
      </c>
      <c r="AD75" s="13">
        <f>BMS!C73</f>
        <v>0</v>
      </c>
      <c r="AE75" s="13">
        <f>BMS!D73</f>
        <v>0</v>
      </c>
      <c r="AF75" s="13">
        <f>BMS!E73</f>
        <v>0</v>
      </c>
      <c r="AG75" s="13">
        <f>BMS!F73</f>
        <v>0</v>
      </c>
      <c r="AH75" s="13">
        <f>BMS!G73</f>
        <v>0</v>
      </c>
      <c r="AI75" s="14">
        <f t="shared" si="31"/>
        <v>0</v>
      </c>
      <c r="AJ75" s="18" t="e">
        <f t="shared" si="32"/>
        <v>#DIV/0!</v>
      </c>
      <c r="AK75" s="18" t="e">
        <f t="shared" si="33"/>
        <v>#DIV/0!</v>
      </c>
      <c r="AL75" s="20"/>
      <c r="AM75" s="42" t="e">
        <f>bdrate($AC75:$AC78,AD75:AD78,$L75:$L78, M75:M78)</f>
        <v>#VALUE!</v>
      </c>
      <c r="AN75" s="47" t="e">
        <f>bdrate($AC75:$AC78,AE75:AE78,$L75:$L78, N75:N78)</f>
        <v>#VALUE!</v>
      </c>
      <c r="AO75" s="48" t="e">
        <f>bdrate($AC75:$AC78,AF75:AF78,$L75:$L78, O75:O78)</f>
        <v>#VALUE!</v>
      </c>
      <c r="AP75" s="42" t="e">
        <f>bdrateOld($AC75:$AC78,AD75:AD78,$L75:$L78, M75:M78)</f>
        <v>#VALUE!</v>
      </c>
      <c r="AQ75" s="47" t="e">
        <f>bdrateOld($AC75:$AC78,AE75:AE78,$L75:$L78, N75:N78)</f>
        <v>#VALUE!</v>
      </c>
      <c r="AR75" s="48" t="e">
        <f>bdrateOld($AC75:$AC78,AF75:AF78,$L75:$L78, O75:O78)</f>
        <v>#VALUE!</v>
      </c>
    </row>
    <row r="76" spans="1:44" x14ac:dyDescent="0.2">
      <c r="A76" s="16"/>
      <c r="B76" s="16"/>
      <c r="C76" s="16">
        <v>27</v>
      </c>
      <c r="D76" s="17">
        <f>TM!B74</f>
        <v>0</v>
      </c>
      <c r="E76" s="18">
        <f>TM!C74</f>
        <v>0</v>
      </c>
      <c r="F76" s="18">
        <f>TM!D74</f>
        <v>0</v>
      </c>
      <c r="G76" s="18">
        <f>TM!E74</f>
        <v>0</v>
      </c>
      <c r="H76" s="18">
        <f>TM!F74</f>
        <v>0</v>
      </c>
      <c r="I76" s="18">
        <f>TM!G74</f>
        <v>0</v>
      </c>
      <c r="J76" s="19">
        <f t="shared" si="27"/>
        <v>0</v>
      </c>
      <c r="L76" s="17">
        <f>Test!B74</f>
        <v>0</v>
      </c>
      <c r="M76" s="18">
        <f>Test!C74</f>
        <v>0</v>
      </c>
      <c r="N76" s="18">
        <f>Test!D74</f>
        <v>0</v>
      </c>
      <c r="O76" s="18">
        <f>Test!E74</f>
        <v>0</v>
      </c>
      <c r="P76" s="18">
        <f>Test!F74</f>
        <v>0</v>
      </c>
      <c r="Q76" s="18">
        <f>Test!G74</f>
        <v>0</v>
      </c>
      <c r="R76" s="19">
        <f t="shared" si="28"/>
        <v>0</v>
      </c>
      <c r="S76" s="18" t="e">
        <f t="shared" si="29"/>
        <v>#DIV/0!</v>
      </c>
      <c r="T76" s="18" t="e">
        <f t="shared" si="30"/>
        <v>#DIV/0!</v>
      </c>
      <c r="U76" s="60"/>
      <c r="V76" s="43"/>
      <c r="W76" s="26"/>
      <c r="X76" s="26"/>
      <c r="Y76" s="43"/>
      <c r="Z76" s="26"/>
      <c r="AA76" s="55"/>
      <c r="AB76" s="20"/>
      <c r="AC76" s="17">
        <f>BMS!B74</f>
        <v>0</v>
      </c>
      <c r="AD76" s="18">
        <f>BMS!C74</f>
        <v>0</v>
      </c>
      <c r="AE76" s="18">
        <f>BMS!D74</f>
        <v>0</v>
      </c>
      <c r="AF76" s="18">
        <f>BMS!E74</f>
        <v>0</v>
      </c>
      <c r="AG76" s="18">
        <f>BMS!F74</f>
        <v>0</v>
      </c>
      <c r="AH76" s="18">
        <f>BMS!G74</f>
        <v>0</v>
      </c>
      <c r="AI76" s="19">
        <f t="shared" si="31"/>
        <v>0</v>
      </c>
      <c r="AJ76" s="18" t="e">
        <f t="shared" si="32"/>
        <v>#DIV/0!</v>
      </c>
      <c r="AK76" s="18" t="e">
        <f t="shared" si="33"/>
        <v>#DIV/0!</v>
      </c>
      <c r="AL76" s="20"/>
      <c r="AM76" s="43"/>
      <c r="AN76" s="26"/>
      <c r="AO76" s="55"/>
      <c r="AP76" s="43"/>
      <c r="AQ76" s="26"/>
      <c r="AR76" s="55"/>
    </row>
    <row r="77" spans="1:44" x14ac:dyDescent="0.2">
      <c r="A77" s="16"/>
      <c r="B77" s="16"/>
      <c r="C77" s="16">
        <v>32</v>
      </c>
      <c r="D77" s="17">
        <f>TM!B75</f>
        <v>0</v>
      </c>
      <c r="E77" s="18">
        <f>TM!C75</f>
        <v>0</v>
      </c>
      <c r="F77" s="18">
        <f>TM!D75</f>
        <v>0</v>
      </c>
      <c r="G77" s="18">
        <f>TM!E75</f>
        <v>0</v>
      </c>
      <c r="H77" s="18">
        <f>TM!F75</f>
        <v>0</v>
      </c>
      <c r="I77" s="18">
        <f>TM!G75</f>
        <v>0</v>
      </c>
      <c r="J77" s="19">
        <f t="shared" si="27"/>
        <v>0</v>
      </c>
      <c r="L77" s="17">
        <f>Test!B75</f>
        <v>0</v>
      </c>
      <c r="M77" s="18">
        <f>Test!C75</f>
        <v>0</v>
      </c>
      <c r="N77" s="18">
        <f>Test!D75</f>
        <v>0</v>
      </c>
      <c r="O77" s="18">
        <f>Test!E75</f>
        <v>0</v>
      </c>
      <c r="P77" s="18">
        <f>Test!F75</f>
        <v>0</v>
      </c>
      <c r="Q77" s="18">
        <f>Test!G75</f>
        <v>0</v>
      </c>
      <c r="R77" s="19">
        <f t="shared" si="28"/>
        <v>0</v>
      </c>
      <c r="S77" s="18" t="e">
        <f t="shared" si="29"/>
        <v>#DIV/0!</v>
      </c>
      <c r="T77" s="18" t="e">
        <f t="shared" si="30"/>
        <v>#DIV/0!</v>
      </c>
      <c r="U77" s="60"/>
      <c r="V77" s="43"/>
      <c r="W77" s="26"/>
      <c r="X77" s="26"/>
      <c r="Y77" s="43"/>
      <c r="Z77" s="26"/>
      <c r="AA77" s="55"/>
      <c r="AB77" s="20"/>
      <c r="AC77" s="17">
        <f>BMS!B75</f>
        <v>0</v>
      </c>
      <c r="AD77" s="18">
        <f>BMS!C75</f>
        <v>0</v>
      </c>
      <c r="AE77" s="18">
        <f>BMS!D75</f>
        <v>0</v>
      </c>
      <c r="AF77" s="18">
        <f>BMS!E75</f>
        <v>0</v>
      </c>
      <c r="AG77" s="18">
        <f>BMS!F75</f>
        <v>0</v>
      </c>
      <c r="AH77" s="18">
        <f>BMS!G75</f>
        <v>0</v>
      </c>
      <c r="AI77" s="19">
        <f t="shared" si="31"/>
        <v>0</v>
      </c>
      <c r="AJ77" s="18" t="e">
        <f t="shared" si="32"/>
        <v>#DIV/0!</v>
      </c>
      <c r="AK77" s="18" t="e">
        <f t="shared" si="33"/>
        <v>#DIV/0!</v>
      </c>
      <c r="AL77" s="20"/>
      <c r="AM77" s="43"/>
      <c r="AN77" s="26"/>
      <c r="AO77" s="55"/>
      <c r="AP77" s="43"/>
      <c r="AQ77" s="26"/>
      <c r="AR77" s="55"/>
    </row>
    <row r="78" spans="1:44" ht="12.75" thickBot="1" x14ac:dyDescent="0.25">
      <c r="A78" s="21"/>
      <c r="B78" s="21"/>
      <c r="C78" s="21">
        <v>37</v>
      </c>
      <c r="D78" s="22">
        <f>TM!B76</f>
        <v>0</v>
      </c>
      <c r="E78" s="23">
        <f>TM!C76</f>
        <v>0</v>
      </c>
      <c r="F78" s="23">
        <f>TM!D76</f>
        <v>0</v>
      </c>
      <c r="G78" s="23">
        <f>TM!E76</f>
        <v>0</v>
      </c>
      <c r="H78" s="23">
        <f>TM!F76</f>
        <v>0</v>
      </c>
      <c r="I78" s="23">
        <f>TM!G76</f>
        <v>0</v>
      </c>
      <c r="J78" s="24">
        <f t="shared" si="27"/>
        <v>0</v>
      </c>
      <c r="L78" s="22">
        <f>Test!B76</f>
        <v>0</v>
      </c>
      <c r="M78" s="23">
        <f>Test!C76</f>
        <v>0</v>
      </c>
      <c r="N78" s="23">
        <f>Test!D76</f>
        <v>0</v>
      </c>
      <c r="O78" s="23">
        <f>Test!E76</f>
        <v>0</v>
      </c>
      <c r="P78" s="23">
        <f>Test!F76</f>
        <v>0</v>
      </c>
      <c r="Q78" s="23">
        <f>Test!G76</f>
        <v>0</v>
      </c>
      <c r="R78" s="24">
        <f t="shared" si="28"/>
        <v>0</v>
      </c>
      <c r="S78" s="23" t="e">
        <f t="shared" si="29"/>
        <v>#DIV/0!</v>
      </c>
      <c r="T78" s="23" t="e">
        <f t="shared" si="30"/>
        <v>#DIV/0!</v>
      </c>
      <c r="U78" s="61"/>
      <c r="V78" s="44"/>
      <c r="W78" s="56"/>
      <c r="X78" s="56"/>
      <c r="Y78" s="44"/>
      <c r="Z78" s="56"/>
      <c r="AA78" s="57"/>
      <c r="AB78" s="25"/>
      <c r="AC78" s="22">
        <f>BMS!B76</f>
        <v>0</v>
      </c>
      <c r="AD78" s="23">
        <f>BMS!C76</f>
        <v>0</v>
      </c>
      <c r="AE78" s="23">
        <f>BMS!D76</f>
        <v>0</v>
      </c>
      <c r="AF78" s="23">
        <f>BMS!E76</f>
        <v>0</v>
      </c>
      <c r="AG78" s="23">
        <f>BMS!F76</f>
        <v>0</v>
      </c>
      <c r="AH78" s="23">
        <f>BMS!G76</f>
        <v>0</v>
      </c>
      <c r="AI78" s="24">
        <f t="shared" si="31"/>
        <v>0</v>
      </c>
      <c r="AJ78" s="23" t="e">
        <f t="shared" si="32"/>
        <v>#DIV/0!</v>
      </c>
      <c r="AK78" s="23" t="e">
        <f t="shared" si="33"/>
        <v>#DIV/0!</v>
      </c>
      <c r="AL78" s="25"/>
      <c r="AM78" s="44"/>
      <c r="AN78" s="56"/>
      <c r="AO78" s="57"/>
      <c r="AP78" s="44"/>
      <c r="AQ78" s="56"/>
      <c r="AR78" s="57"/>
    </row>
    <row r="79" spans="1:44" x14ac:dyDescent="0.2">
      <c r="A79" s="11" t="s">
        <v>52</v>
      </c>
      <c r="B79" s="11" t="s">
        <v>61</v>
      </c>
      <c r="C79" s="11">
        <v>22</v>
      </c>
      <c r="D79" s="12">
        <f>TM!B77</f>
        <v>0</v>
      </c>
      <c r="E79" s="13">
        <f>TM!C77</f>
        <v>0</v>
      </c>
      <c r="F79" s="13">
        <f>TM!D77</f>
        <v>0</v>
      </c>
      <c r="G79" s="13">
        <f>TM!E77</f>
        <v>0</v>
      </c>
      <c r="H79" s="13">
        <f>TM!F77</f>
        <v>0</v>
      </c>
      <c r="I79" s="13">
        <f>TM!G77</f>
        <v>0</v>
      </c>
      <c r="J79" s="14">
        <f>H79/3600</f>
        <v>0</v>
      </c>
      <c r="L79" s="12">
        <f>Test!B77</f>
        <v>0</v>
      </c>
      <c r="M79" s="13">
        <f>Test!C77</f>
        <v>0</v>
      </c>
      <c r="N79" s="13">
        <f>Test!D77</f>
        <v>0</v>
      </c>
      <c r="O79" s="13">
        <f>Test!E77</f>
        <v>0</v>
      </c>
      <c r="P79" s="13">
        <f>Test!F77</f>
        <v>0</v>
      </c>
      <c r="Q79" s="13">
        <f>Test!G77</f>
        <v>0</v>
      </c>
      <c r="R79" s="14">
        <f>P79/3600</f>
        <v>0</v>
      </c>
      <c r="S79" s="13" t="e">
        <f>P79/H79</f>
        <v>#DIV/0!</v>
      </c>
      <c r="T79" s="13" t="e">
        <f>Q79/I79</f>
        <v>#DIV/0!</v>
      </c>
      <c r="U79" s="59"/>
      <c r="V79" s="42" t="e">
        <f>bdrate($D79:$D82,E79:E82,$L79:$L82,M79:M82)</f>
        <v>#VALUE!</v>
      </c>
      <c r="W79" s="47" t="e">
        <f>bdrate($D79:$D82,F79:F82,$L79:$L82,N79:N82)</f>
        <v>#VALUE!</v>
      </c>
      <c r="X79" s="48" t="e">
        <f>bdrate($D79:$D82,G79:G82,$L79:$L82,O79:O82)</f>
        <v>#VALUE!</v>
      </c>
      <c r="Y79" s="42" t="e">
        <f>bdrateOld($D79:$D82,E79:E82,$L79:$L82,M79:M82)</f>
        <v>#VALUE!</v>
      </c>
      <c r="Z79" s="47" t="e">
        <f>bdrateOld($D79:$D82,F79:F82,$L79:$L82,N79:N82)</f>
        <v>#VALUE!</v>
      </c>
      <c r="AA79" s="48" t="e">
        <f>bdrateOld($D79:$D82,G79:G82,$L79:$L82,O79:O82)</f>
        <v>#VALUE!</v>
      </c>
      <c r="AB79" s="54"/>
      <c r="AC79" s="12">
        <f>BMS!B77</f>
        <v>0</v>
      </c>
      <c r="AD79" s="13">
        <f>BMS!C77</f>
        <v>0</v>
      </c>
      <c r="AE79" s="13">
        <f>BMS!D77</f>
        <v>0</v>
      </c>
      <c r="AF79" s="13">
        <f>BMS!E77</f>
        <v>0</v>
      </c>
      <c r="AG79" s="13">
        <f>BMS!F77</f>
        <v>0</v>
      </c>
      <c r="AH79" s="13">
        <f>BMS!G77</f>
        <v>0</v>
      </c>
      <c r="AI79" s="14">
        <f>AG79/3600</f>
        <v>0</v>
      </c>
      <c r="AJ79" s="13" t="e">
        <f>R79/AI79</f>
        <v>#DIV/0!</v>
      </c>
      <c r="AK79" s="13" t="e">
        <f>Q79/AH79</f>
        <v>#DIV/0!</v>
      </c>
      <c r="AL79" s="54"/>
      <c r="AM79" s="42" t="e">
        <f>bdrate($AC79:$AC82,AD79:AD82,$L79:$L82, M79:M82)</f>
        <v>#VALUE!</v>
      </c>
      <c r="AN79" s="47" t="e">
        <f>bdrate($AC79:$AC82,AE79:AE82,$L79:$L82, N79:N82)</f>
        <v>#VALUE!</v>
      </c>
      <c r="AO79" s="48" t="e">
        <f>bdrate($AC79:$AC82,AF79:AF82,$L79:$L82, O79:O82)</f>
        <v>#VALUE!</v>
      </c>
      <c r="AP79" s="42" t="e">
        <f>bdrateOld($AC79:$AC82,AD79:AD82,$L79:$L82, M79:M82)</f>
        <v>#VALUE!</v>
      </c>
      <c r="AQ79" s="47" t="e">
        <f>bdrateOld($AC79:$AC82,AE79:AE82,$L79:$L82, N79:N82)</f>
        <v>#VALUE!</v>
      </c>
      <c r="AR79" s="48" t="e">
        <f>bdrateOld($AC79:$AC82,AF79:AF82,$L79:$L82, O79:O82)</f>
        <v>#VALUE!</v>
      </c>
    </row>
    <row r="80" spans="1:44" x14ac:dyDescent="0.2">
      <c r="A80" s="16" t="s">
        <v>53</v>
      </c>
      <c r="B80" s="16"/>
      <c r="C80" s="16">
        <v>27</v>
      </c>
      <c r="D80" s="17">
        <f>TM!B78</f>
        <v>0</v>
      </c>
      <c r="E80" s="18">
        <f>TM!C78</f>
        <v>0</v>
      </c>
      <c r="F80" s="18">
        <f>TM!D78</f>
        <v>0</v>
      </c>
      <c r="G80" s="18">
        <f>TM!E78</f>
        <v>0</v>
      </c>
      <c r="H80" s="18">
        <f>TM!F78</f>
        <v>0</v>
      </c>
      <c r="I80" s="18">
        <f>TM!G78</f>
        <v>0</v>
      </c>
      <c r="J80" s="19">
        <f t="shared" ref="J80:J90" si="34">H80/3600</f>
        <v>0</v>
      </c>
      <c r="L80" s="17">
        <f>Test!B78</f>
        <v>0</v>
      </c>
      <c r="M80" s="18">
        <f>Test!C78</f>
        <v>0</v>
      </c>
      <c r="N80" s="18">
        <f>Test!D78</f>
        <v>0</v>
      </c>
      <c r="O80" s="18">
        <f>Test!E78</f>
        <v>0</v>
      </c>
      <c r="P80" s="18">
        <f>Test!F78</f>
        <v>0</v>
      </c>
      <c r="Q80" s="18">
        <f>Test!G78</f>
        <v>0</v>
      </c>
      <c r="R80" s="19">
        <f t="shared" ref="R80:R90" si="35">P80/3600</f>
        <v>0</v>
      </c>
      <c r="S80" s="18" t="e">
        <f t="shared" ref="S80:S90" si="36">P80/H80</f>
        <v>#DIV/0!</v>
      </c>
      <c r="T80" s="18" t="e">
        <f t="shared" ref="T80:T90" si="37">Q80/I80</f>
        <v>#DIV/0!</v>
      </c>
      <c r="U80" s="60"/>
      <c r="V80" s="43"/>
      <c r="W80" s="26"/>
      <c r="X80" s="55"/>
      <c r="Y80" s="43"/>
      <c r="Z80" s="26"/>
      <c r="AA80" s="55"/>
      <c r="AB80" s="20"/>
      <c r="AC80" s="17">
        <f>BMS!B78</f>
        <v>0</v>
      </c>
      <c r="AD80" s="18">
        <f>BMS!C78</f>
        <v>0</v>
      </c>
      <c r="AE80" s="18">
        <f>BMS!D78</f>
        <v>0</v>
      </c>
      <c r="AF80" s="18">
        <f>BMS!E78</f>
        <v>0</v>
      </c>
      <c r="AG80" s="18">
        <f>BMS!F78</f>
        <v>0</v>
      </c>
      <c r="AH80" s="18">
        <f>BMS!G78</f>
        <v>0</v>
      </c>
      <c r="AI80" s="19">
        <f t="shared" ref="AI80:AI90" si="38">AG80/3600</f>
        <v>0</v>
      </c>
      <c r="AJ80" s="18" t="e">
        <f t="shared" ref="AJ80:AJ90" si="39">R80/AI80</f>
        <v>#DIV/0!</v>
      </c>
      <c r="AK80" s="18" t="e">
        <f t="shared" ref="AK80:AK90" si="40">Q80/AH80</f>
        <v>#DIV/0!</v>
      </c>
      <c r="AL80" s="20"/>
      <c r="AM80" s="43"/>
      <c r="AN80" s="26"/>
      <c r="AO80" s="55"/>
      <c r="AP80" s="43"/>
      <c r="AQ80" s="26"/>
      <c r="AR80" s="55"/>
    </row>
    <row r="81" spans="1:44" x14ac:dyDescent="0.2">
      <c r="A81" s="16"/>
      <c r="B81" s="16"/>
      <c r="C81" s="16">
        <v>32</v>
      </c>
      <c r="D81" s="17">
        <f>TM!B79</f>
        <v>0</v>
      </c>
      <c r="E81" s="18">
        <f>TM!C79</f>
        <v>0</v>
      </c>
      <c r="F81" s="18">
        <f>TM!D79</f>
        <v>0</v>
      </c>
      <c r="G81" s="18">
        <f>TM!E79</f>
        <v>0</v>
      </c>
      <c r="H81" s="18">
        <f>TM!F79</f>
        <v>0</v>
      </c>
      <c r="I81" s="18">
        <f>TM!G79</f>
        <v>0</v>
      </c>
      <c r="J81" s="19">
        <f t="shared" si="34"/>
        <v>0</v>
      </c>
      <c r="L81" s="17">
        <f>Test!B79</f>
        <v>0</v>
      </c>
      <c r="M81" s="18">
        <f>Test!C79</f>
        <v>0</v>
      </c>
      <c r="N81" s="18">
        <f>Test!D79</f>
        <v>0</v>
      </c>
      <c r="O81" s="18">
        <f>Test!E79</f>
        <v>0</v>
      </c>
      <c r="P81" s="18">
        <f>Test!F79</f>
        <v>0</v>
      </c>
      <c r="Q81" s="18">
        <f>Test!G79</f>
        <v>0</v>
      </c>
      <c r="R81" s="19">
        <f t="shared" si="35"/>
        <v>0</v>
      </c>
      <c r="S81" s="18" t="e">
        <f t="shared" si="36"/>
        <v>#DIV/0!</v>
      </c>
      <c r="T81" s="18" t="e">
        <f t="shared" si="37"/>
        <v>#DIV/0!</v>
      </c>
      <c r="U81" s="60"/>
      <c r="V81" s="43"/>
      <c r="W81" s="26"/>
      <c r="X81" s="55"/>
      <c r="Y81" s="43"/>
      <c r="Z81" s="26"/>
      <c r="AA81" s="55"/>
      <c r="AB81" s="20"/>
      <c r="AC81" s="17">
        <f>BMS!B79</f>
        <v>0</v>
      </c>
      <c r="AD81" s="18">
        <f>BMS!C79</f>
        <v>0</v>
      </c>
      <c r="AE81" s="18">
        <f>BMS!D79</f>
        <v>0</v>
      </c>
      <c r="AF81" s="18">
        <f>BMS!E79</f>
        <v>0</v>
      </c>
      <c r="AG81" s="18">
        <f>BMS!F79</f>
        <v>0</v>
      </c>
      <c r="AH81" s="18">
        <f>BMS!G79</f>
        <v>0</v>
      </c>
      <c r="AI81" s="19">
        <f t="shared" si="38"/>
        <v>0</v>
      </c>
      <c r="AJ81" s="18" t="e">
        <f t="shared" si="39"/>
        <v>#DIV/0!</v>
      </c>
      <c r="AK81" s="18" t="e">
        <f t="shared" si="40"/>
        <v>#DIV/0!</v>
      </c>
      <c r="AL81" s="20"/>
      <c r="AM81" s="43"/>
      <c r="AN81" s="26"/>
      <c r="AO81" s="55"/>
      <c r="AP81" s="43"/>
      <c r="AQ81" s="26"/>
      <c r="AR81" s="55"/>
    </row>
    <row r="82" spans="1:44" ht="12.75" thickBot="1" x14ac:dyDescent="0.25">
      <c r="A82" s="16"/>
      <c r="B82" s="21"/>
      <c r="C82" s="21">
        <v>37</v>
      </c>
      <c r="D82" s="22">
        <f>TM!B80</f>
        <v>0</v>
      </c>
      <c r="E82" s="23">
        <f>TM!C80</f>
        <v>0</v>
      </c>
      <c r="F82" s="23">
        <f>TM!D80</f>
        <v>0</v>
      </c>
      <c r="G82" s="23">
        <f>TM!E80</f>
        <v>0</v>
      </c>
      <c r="H82" s="23">
        <f>TM!F80</f>
        <v>0</v>
      </c>
      <c r="I82" s="23">
        <f>TM!G80</f>
        <v>0</v>
      </c>
      <c r="J82" s="24">
        <f t="shared" si="34"/>
        <v>0</v>
      </c>
      <c r="L82" s="22">
        <f>Test!B80</f>
        <v>0</v>
      </c>
      <c r="M82" s="23">
        <f>Test!C80</f>
        <v>0</v>
      </c>
      <c r="N82" s="23">
        <f>Test!D80</f>
        <v>0</v>
      </c>
      <c r="O82" s="23">
        <f>Test!E80</f>
        <v>0</v>
      </c>
      <c r="P82" s="23">
        <f>Test!F80</f>
        <v>0</v>
      </c>
      <c r="Q82" s="23">
        <f>Test!G80</f>
        <v>0</v>
      </c>
      <c r="R82" s="24">
        <f t="shared" si="35"/>
        <v>0</v>
      </c>
      <c r="S82" s="18" t="e">
        <f t="shared" si="36"/>
        <v>#DIV/0!</v>
      </c>
      <c r="T82" s="18" t="e">
        <f t="shared" si="37"/>
        <v>#DIV/0!</v>
      </c>
      <c r="U82" s="60"/>
      <c r="V82" s="44"/>
      <c r="W82" s="56"/>
      <c r="X82" s="57"/>
      <c r="Y82" s="44"/>
      <c r="Z82" s="56"/>
      <c r="AA82" s="57"/>
      <c r="AB82" s="20"/>
      <c r="AC82" s="22">
        <f>BMS!B80</f>
        <v>0</v>
      </c>
      <c r="AD82" s="23">
        <f>BMS!C80</f>
        <v>0</v>
      </c>
      <c r="AE82" s="23">
        <f>BMS!D80</f>
        <v>0</v>
      </c>
      <c r="AF82" s="23">
        <f>BMS!E80</f>
        <v>0</v>
      </c>
      <c r="AG82" s="23">
        <f>BMS!F80</f>
        <v>0</v>
      </c>
      <c r="AH82" s="23">
        <f>BMS!G80</f>
        <v>0</v>
      </c>
      <c r="AI82" s="24">
        <f t="shared" si="38"/>
        <v>0</v>
      </c>
      <c r="AJ82" s="18" t="e">
        <f t="shared" si="39"/>
        <v>#DIV/0!</v>
      </c>
      <c r="AK82" s="18" t="e">
        <f t="shared" si="40"/>
        <v>#DIV/0!</v>
      </c>
      <c r="AL82" s="20"/>
      <c r="AM82" s="44"/>
      <c r="AN82" s="56"/>
      <c r="AO82" s="57"/>
      <c r="AP82" s="44"/>
      <c r="AQ82" s="56"/>
      <c r="AR82" s="57"/>
    </row>
    <row r="83" spans="1:44" x14ac:dyDescent="0.2">
      <c r="A83" s="16"/>
      <c r="B83" s="11" t="s">
        <v>62</v>
      </c>
      <c r="C83" s="11">
        <v>22</v>
      </c>
      <c r="D83" s="12">
        <f>TM!B81</f>
        <v>0</v>
      </c>
      <c r="E83" s="13">
        <f>TM!C81</f>
        <v>0</v>
      </c>
      <c r="F83" s="13">
        <f>TM!D81</f>
        <v>0</v>
      </c>
      <c r="G83" s="13">
        <f>TM!E81</f>
        <v>0</v>
      </c>
      <c r="H83" s="13">
        <f>TM!F81</f>
        <v>0</v>
      </c>
      <c r="I83" s="13">
        <f>TM!G81</f>
        <v>0</v>
      </c>
      <c r="J83" s="14">
        <f t="shared" si="34"/>
        <v>0</v>
      </c>
      <c r="L83" s="12">
        <f>Test!B81</f>
        <v>0</v>
      </c>
      <c r="M83" s="13">
        <f>Test!C81</f>
        <v>0</v>
      </c>
      <c r="N83" s="13">
        <f>Test!D81</f>
        <v>0</v>
      </c>
      <c r="O83" s="13">
        <f>Test!E81</f>
        <v>0</v>
      </c>
      <c r="P83" s="13">
        <f>Test!F81</f>
        <v>0</v>
      </c>
      <c r="Q83" s="13">
        <f>Test!G81</f>
        <v>0</v>
      </c>
      <c r="R83" s="14">
        <f t="shared" si="35"/>
        <v>0</v>
      </c>
      <c r="S83" s="18" t="e">
        <f t="shared" si="36"/>
        <v>#DIV/0!</v>
      </c>
      <c r="T83" s="18" t="e">
        <f t="shared" si="37"/>
        <v>#DIV/0!</v>
      </c>
      <c r="U83" s="60"/>
      <c r="V83" s="42" t="e">
        <f>bdrate($D83:$D86,E83:E86,$L83:$L86,M83:M86)</f>
        <v>#VALUE!</v>
      </c>
      <c r="W83" s="47" t="e">
        <f>bdrate($D83:$D86,F83:F86,$L83:$L86,N83:N86)</f>
        <v>#VALUE!</v>
      </c>
      <c r="X83" s="47" t="e">
        <f>bdrate($D83:$D86,G83:G86,$L83:$L86,O83:O86)</f>
        <v>#VALUE!</v>
      </c>
      <c r="Y83" s="45" t="e">
        <f>bdrateOld($D83:$D86,E83:E86,$L83:$L86,M83:M86)</f>
        <v>#VALUE!</v>
      </c>
      <c r="Z83" s="49" t="e">
        <f>bdrateOld($D83:$D86,F83:F86,$L83:$L86,N83:N86)</f>
        <v>#VALUE!</v>
      </c>
      <c r="AA83" s="50" t="e">
        <f>bdrateOld($D83:$D86,G83:G86,$L83:$L86,O83:O86)</f>
        <v>#VALUE!</v>
      </c>
      <c r="AB83" s="20"/>
      <c r="AC83" s="12">
        <f>BMS!B81</f>
        <v>0</v>
      </c>
      <c r="AD83" s="13">
        <f>BMS!C81</f>
        <v>0</v>
      </c>
      <c r="AE83" s="13">
        <f>BMS!D81</f>
        <v>0</v>
      </c>
      <c r="AF83" s="13">
        <f>BMS!E81</f>
        <v>0</v>
      </c>
      <c r="AG83" s="13">
        <f>BMS!F81</f>
        <v>0</v>
      </c>
      <c r="AH83" s="13">
        <f>BMS!G81</f>
        <v>0</v>
      </c>
      <c r="AI83" s="14">
        <f t="shared" si="38"/>
        <v>0</v>
      </c>
      <c r="AJ83" s="18" t="e">
        <f t="shared" si="39"/>
        <v>#DIV/0!</v>
      </c>
      <c r="AK83" s="18" t="e">
        <f t="shared" si="40"/>
        <v>#DIV/0!</v>
      </c>
      <c r="AL83" s="20"/>
      <c r="AM83" s="42" t="e">
        <f>bdrate($AC83:$AC86,AD83:AD86,$L83:$L86, M83:M86)</f>
        <v>#VALUE!</v>
      </c>
      <c r="AN83" s="47" t="e">
        <f>bdrate($AC83:$AC86,AE83:AE86,$L83:$L86, N83:N86)</f>
        <v>#VALUE!</v>
      </c>
      <c r="AO83" s="48" t="e">
        <f>bdrate($AC83:$AC86,AF83:AF86,$L83:$L86, O83:O86)</f>
        <v>#VALUE!</v>
      </c>
      <c r="AP83" s="42" t="e">
        <f>bdrateOld($AC83:$AC86,AD83:AD86,$L83:$L86, M83:M86)</f>
        <v>#VALUE!</v>
      </c>
      <c r="AQ83" s="47" t="e">
        <f>bdrateOld($AC83:$AC86,AE83:AE86,$L83:$L86, N83:N86)</f>
        <v>#VALUE!</v>
      </c>
      <c r="AR83" s="48" t="e">
        <f>bdrateOld($AC83:$AC86,AF83:AF86,$L83:$L86, O83:O86)</f>
        <v>#VALUE!</v>
      </c>
    </row>
    <row r="84" spans="1:44" x14ac:dyDescent="0.2">
      <c r="A84" s="16"/>
      <c r="B84" s="16"/>
      <c r="C84" s="16">
        <v>27</v>
      </c>
      <c r="D84" s="17">
        <f>TM!B82</f>
        <v>0</v>
      </c>
      <c r="E84" s="18">
        <f>TM!C82</f>
        <v>0</v>
      </c>
      <c r="F84" s="18">
        <f>TM!D82</f>
        <v>0</v>
      </c>
      <c r="G84" s="18">
        <f>TM!E82</f>
        <v>0</v>
      </c>
      <c r="H84" s="18">
        <f>TM!F82</f>
        <v>0</v>
      </c>
      <c r="I84" s="18">
        <f>TM!G82</f>
        <v>0</v>
      </c>
      <c r="J84" s="19">
        <f t="shared" si="34"/>
        <v>0</v>
      </c>
      <c r="L84" s="17">
        <f>Test!B82</f>
        <v>0</v>
      </c>
      <c r="M84" s="18">
        <f>Test!C82</f>
        <v>0</v>
      </c>
      <c r="N84" s="18">
        <f>Test!D82</f>
        <v>0</v>
      </c>
      <c r="O84" s="18">
        <f>Test!E82</f>
        <v>0</v>
      </c>
      <c r="P84" s="18">
        <f>Test!F82</f>
        <v>0</v>
      </c>
      <c r="Q84" s="18">
        <f>Test!G82</f>
        <v>0</v>
      </c>
      <c r="R84" s="19">
        <f t="shared" si="35"/>
        <v>0</v>
      </c>
      <c r="S84" s="18" t="e">
        <f t="shared" si="36"/>
        <v>#DIV/0!</v>
      </c>
      <c r="T84" s="18" t="e">
        <f t="shared" si="37"/>
        <v>#DIV/0!</v>
      </c>
      <c r="U84" s="60"/>
      <c r="V84" s="43"/>
      <c r="W84" s="26"/>
      <c r="X84" s="26"/>
      <c r="Y84" s="43"/>
      <c r="Z84" s="26"/>
      <c r="AA84" s="55"/>
      <c r="AB84" s="20"/>
      <c r="AC84" s="17">
        <f>BMS!B82</f>
        <v>0</v>
      </c>
      <c r="AD84" s="18">
        <f>BMS!C82</f>
        <v>0</v>
      </c>
      <c r="AE84" s="18">
        <f>BMS!D82</f>
        <v>0</v>
      </c>
      <c r="AF84" s="18">
        <f>BMS!E82</f>
        <v>0</v>
      </c>
      <c r="AG84" s="18">
        <f>BMS!F82</f>
        <v>0</v>
      </c>
      <c r="AH84" s="18">
        <f>BMS!G82</f>
        <v>0</v>
      </c>
      <c r="AI84" s="19">
        <f t="shared" si="38"/>
        <v>0</v>
      </c>
      <c r="AJ84" s="18" t="e">
        <f t="shared" si="39"/>
        <v>#DIV/0!</v>
      </c>
      <c r="AK84" s="18" t="e">
        <f t="shared" si="40"/>
        <v>#DIV/0!</v>
      </c>
      <c r="AL84" s="20"/>
      <c r="AM84" s="43"/>
      <c r="AN84" s="26"/>
      <c r="AO84" s="55"/>
      <c r="AP84" s="43"/>
      <c r="AQ84" s="26"/>
      <c r="AR84" s="55"/>
    </row>
    <row r="85" spans="1:44" x14ac:dyDescent="0.2">
      <c r="A85" s="16"/>
      <c r="B85" s="16"/>
      <c r="C85" s="16">
        <v>32</v>
      </c>
      <c r="D85" s="17">
        <f>TM!B83</f>
        <v>0</v>
      </c>
      <c r="E85" s="18">
        <f>TM!C83</f>
        <v>0</v>
      </c>
      <c r="F85" s="18">
        <f>TM!D83</f>
        <v>0</v>
      </c>
      <c r="G85" s="18">
        <f>TM!E83</f>
        <v>0</v>
      </c>
      <c r="H85" s="18">
        <f>TM!F83</f>
        <v>0</v>
      </c>
      <c r="I85" s="18">
        <f>TM!G83</f>
        <v>0</v>
      </c>
      <c r="J85" s="19">
        <f t="shared" si="34"/>
        <v>0</v>
      </c>
      <c r="L85" s="17">
        <f>Test!B83</f>
        <v>0</v>
      </c>
      <c r="M85" s="18">
        <f>Test!C83</f>
        <v>0</v>
      </c>
      <c r="N85" s="18">
        <f>Test!D83</f>
        <v>0</v>
      </c>
      <c r="O85" s="18">
        <f>Test!E83</f>
        <v>0</v>
      </c>
      <c r="P85" s="18">
        <f>Test!F83</f>
        <v>0</v>
      </c>
      <c r="Q85" s="18">
        <f>Test!G83</f>
        <v>0</v>
      </c>
      <c r="R85" s="19">
        <f t="shared" si="35"/>
        <v>0</v>
      </c>
      <c r="S85" s="18" t="e">
        <f t="shared" si="36"/>
        <v>#DIV/0!</v>
      </c>
      <c r="T85" s="18" t="e">
        <f t="shared" si="37"/>
        <v>#DIV/0!</v>
      </c>
      <c r="U85" s="60"/>
      <c r="V85" s="43"/>
      <c r="W85" s="26"/>
      <c r="X85" s="26"/>
      <c r="Y85" s="43"/>
      <c r="Z85" s="26"/>
      <c r="AA85" s="55"/>
      <c r="AB85" s="20"/>
      <c r="AC85" s="17">
        <f>BMS!B83</f>
        <v>0</v>
      </c>
      <c r="AD85" s="18">
        <f>BMS!C83</f>
        <v>0</v>
      </c>
      <c r="AE85" s="18">
        <f>BMS!D83</f>
        <v>0</v>
      </c>
      <c r="AF85" s="18">
        <f>BMS!E83</f>
        <v>0</v>
      </c>
      <c r="AG85" s="18">
        <f>BMS!F83</f>
        <v>0</v>
      </c>
      <c r="AH85" s="18">
        <f>BMS!G83</f>
        <v>0</v>
      </c>
      <c r="AI85" s="19">
        <f t="shared" si="38"/>
        <v>0</v>
      </c>
      <c r="AJ85" s="18" t="e">
        <f t="shared" si="39"/>
        <v>#DIV/0!</v>
      </c>
      <c r="AK85" s="18" t="e">
        <f t="shared" si="40"/>
        <v>#DIV/0!</v>
      </c>
      <c r="AL85" s="20"/>
      <c r="AM85" s="43"/>
      <c r="AN85" s="26"/>
      <c r="AO85" s="55"/>
      <c r="AP85" s="43"/>
      <c r="AQ85" s="26"/>
      <c r="AR85" s="55"/>
    </row>
    <row r="86" spans="1:44" ht="12.75" thickBot="1" x14ac:dyDescent="0.25">
      <c r="A86" s="16"/>
      <c r="B86" s="21"/>
      <c r="C86" s="21">
        <v>37</v>
      </c>
      <c r="D86" s="22">
        <f>TM!B84</f>
        <v>0</v>
      </c>
      <c r="E86" s="23">
        <f>TM!C84</f>
        <v>0</v>
      </c>
      <c r="F86" s="23">
        <f>TM!D84</f>
        <v>0</v>
      </c>
      <c r="G86" s="23">
        <f>TM!E84</f>
        <v>0</v>
      </c>
      <c r="H86" s="23">
        <f>TM!F84</f>
        <v>0</v>
      </c>
      <c r="I86" s="23">
        <f>TM!G84</f>
        <v>0</v>
      </c>
      <c r="J86" s="24">
        <f t="shared" si="34"/>
        <v>0</v>
      </c>
      <c r="L86" s="22">
        <f>Test!B84</f>
        <v>0</v>
      </c>
      <c r="M86" s="23">
        <f>Test!C84</f>
        <v>0</v>
      </c>
      <c r="N86" s="23">
        <f>Test!D84</f>
        <v>0</v>
      </c>
      <c r="O86" s="23">
        <f>Test!E84</f>
        <v>0</v>
      </c>
      <c r="P86" s="23">
        <f>Test!F84</f>
        <v>0</v>
      </c>
      <c r="Q86" s="23">
        <f>Test!G84</f>
        <v>0</v>
      </c>
      <c r="R86" s="24">
        <f t="shared" si="35"/>
        <v>0</v>
      </c>
      <c r="S86" s="18" t="e">
        <f t="shared" si="36"/>
        <v>#DIV/0!</v>
      </c>
      <c r="T86" s="18" t="e">
        <f t="shared" si="37"/>
        <v>#DIV/0!</v>
      </c>
      <c r="U86" s="60"/>
      <c r="V86" s="44"/>
      <c r="W86" s="56"/>
      <c r="X86" s="56"/>
      <c r="Y86" s="44"/>
      <c r="Z86" s="56"/>
      <c r="AA86" s="57"/>
      <c r="AB86" s="20"/>
      <c r="AC86" s="22">
        <f>BMS!B84</f>
        <v>0</v>
      </c>
      <c r="AD86" s="23">
        <f>BMS!C84</f>
        <v>0</v>
      </c>
      <c r="AE86" s="23">
        <f>BMS!D84</f>
        <v>0</v>
      </c>
      <c r="AF86" s="23">
        <f>BMS!E84</f>
        <v>0</v>
      </c>
      <c r="AG86" s="23">
        <f>BMS!F84</f>
        <v>0</v>
      </c>
      <c r="AH86" s="23">
        <f>BMS!G84</f>
        <v>0</v>
      </c>
      <c r="AI86" s="24">
        <f t="shared" si="38"/>
        <v>0</v>
      </c>
      <c r="AJ86" s="18" t="e">
        <f t="shared" si="39"/>
        <v>#DIV/0!</v>
      </c>
      <c r="AK86" s="18" t="e">
        <f t="shared" si="40"/>
        <v>#DIV/0!</v>
      </c>
      <c r="AL86" s="20"/>
      <c r="AM86" s="44"/>
      <c r="AN86" s="56"/>
      <c r="AO86" s="57"/>
      <c r="AP86" s="44"/>
      <c r="AQ86" s="56"/>
      <c r="AR86" s="57"/>
    </row>
    <row r="87" spans="1:44" x14ac:dyDescent="0.2">
      <c r="A87" s="16"/>
      <c r="B87" s="11" t="s">
        <v>63</v>
      </c>
      <c r="C87" s="11">
        <v>22</v>
      </c>
      <c r="D87" s="12">
        <f>TM!B85</f>
        <v>0</v>
      </c>
      <c r="E87" s="13">
        <f>TM!C85</f>
        <v>0</v>
      </c>
      <c r="F87" s="13">
        <f>TM!D85</f>
        <v>0</v>
      </c>
      <c r="G87" s="13">
        <f>TM!E85</f>
        <v>0</v>
      </c>
      <c r="H87" s="13">
        <f>TM!F85</f>
        <v>0</v>
      </c>
      <c r="I87" s="13">
        <f>TM!G85</f>
        <v>0</v>
      </c>
      <c r="J87" s="14">
        <f t="shared" si="34"/>
        <v>0</v>
      </c>
      <c r="L87" s="12">
        <f>Test!B85</f>
        <v>0</v>
      </c>
      <c r="M87" s="13">
        <f>Test!C85</f>
        <v>0</v>
      </c>
      <c r="N87" s="13">
        <f>Test!D85</f>
        <v>0</v>
      </c>
      <c r="O87" s="13">
        <f>Test!E85</f>
        <v>0</v>
      </c>
      <c r="P87" s="13">
        <f>Test!F85</f>
        <v>0</v>
      </c>
      <c r="Q87" s="13">
        <f>Test!G85</f>
        <v>0</v>
      </c>
      <c r="R87" s="14">
        <f t="shared" si="35"/>
        <v>0</v>
      </c>
      <c r="S87" s="18" t="e">
        <f t="shared" si="36"/>
        <v>#DIV/0!</v>
      </c>
      <c r="T87" s="18" t="e">
        <f t="shared" si="37"/>
        <v>#DIV/0!</v>
      </c>
      <c r="U87" s="60"/>
      <c r="V87" s="42" t="e">
        <f>bdrate($D87:$D90,E87:E90,$L87:$L90,M87:M90)</f>
        <v>#VALUE!</v>
      </c>
      <c r="W87" s="47" t="e">
        <f>bdrate($D87:$D90,F87:F90,$L87:$L90,N87:N90)</f>
        <v>#VALUE!</v>
      </c>
      <c r="X87" s="47" t="e">
        <f>bdrate($D87:$D90,G87:G90,$L87:$L90,O87:O90)</f>
        <v>#VALUE!</v>
      </c>
      <c r="Y87" s="45" t="e">
        <f>bdrateOld($D87:$D90,E87:E90,$L87:$L90,M87:M90)</f>
        <v>#VALUE!</v>
      </c>
      <c r="Z87" s="49" t="e">
        <f>bdrateOld($D87:$D90,F87:F90,$L87:$L90,N87:N90)</f>
        <v>#VALUE!</v>
      </c>
      <c r="AA87" s="50" t="e">
        <f>bdrateOld($D87:$D90,G87:G90,$L87:$L90,O87:O90)</f>
        <v>#VALUE!</v>
      </c>
      <c r="AB87" s="20"/>
      <c r="AC87" s="12">
        <f>BMS!B85</f>
        <v>0</v>
      </c>
      <c r="AD87" s="13">
        <f>BMS!C85</f>
        <v>0</v>
      </c>
      <c r="AE87" s="13">
        <f>BMS!D85</f>
        <v>0</v>
      </c>
      <c r="AF87" s="13">
        <f>BMS!E85</f>
        <v>0</v>
      </c>
      <c r="AG87" s="13">
        <f>BMS!F85</f>
        <v>0</v>
      </c>
      <c r="AH87" s="13">
        <f>BMS!G85</f>
        <v>0</v>
      </c>
      <c r="AI87" s="14">
        <f t="shared" si="38"/>
        <v>0</v>
      </c>
      <c r="AJ87" s="18" t="e">
        <f t="shared" si="39"/>
        <v>#DIV/0!</v>
      </c>
      <c r="AK87" s="18" t="e">
        <f t="shared" si="40"/>
        <v>#DIV/0!</v>
      </c>
      <c r="AL87" s="20"/>
      <c r="AM87" s="42" t="e">
        <f>bdrate($AC87:$AC90,AD87:AD90,$L87:$L90, M87:M90)</f>
        <v>#VALUE!</v>
      </c>
      <c r="AN87" s="47" t="e">
        <f>bdrate($AC87:$AC90,AE87:AE90,$L87:$L90, N87:N90)</f>
        <v>#VALUE!</v>
      </c>
      <c r="AO87" s="48" t="e">
        <f>bdrate($AC87:$AC90,AF87:AF90,$L87:$L90, O87:O90)</f>
        <v>#VALUE!</v>
      </c>
      <c r="AP87" s="42" t="e">
        <f>bdrateOld($AC87:$AC90,AD87:AD90,$L87:$L90, M87:M90)</f>
        <v>#VALUE!</v>
      </c>
      <c r="AQ87" s="47" t="e">
        <f>bdrateOld($AC87:$AC90,AE87:AE90,$L87:$L90, N87:N90)</f>
        <v>#VALUE!</v>
      </c>
      <c r="AR87" s="48" t="e">
        <f>bdrateOld($AC87:$AC90,AF87:AF90,$L87:$L90, O87:O90)</f>
        <v>#VALUE!</v>
      </c>
    </row>
    <row r="88" spans="1:44" x14ac:dyDescent="0.2">
      <c r="A88" s="16"/>
      <c r="B88" s="16"/>
      <c r="C88" s="16">
        <v>27</v>
      </c>
      <c r="D88" s="17">
        <f>TM!B86</f>
        <v>0</v>
      </c>
      <c r="E88" s="18">
        <f>TM!C86</f>
        <v>0</v>
      </c>
      <c r="F88" s="18">
        <f>TM!D86</f>
        <v>0</v>
      </c>
      <c r="G88" s="18">
        <f>TM!E86</f>
        <v>0</v>
      </c>
      <c r="H88" s="18">
        <f>TM!F86</f>
        <v>0</v>
      </c>
      <c r="I88" s="18">
        <f>TM!G86</f>
        <v>0</v>
      </c>
      <c r="J88" s="19">
        <f t="shared" si="34"/>
        <v>0</v>
      </c>
      <c r="L88" s="17">
        <f>Test!B86</f>
        <v>0</v>
      </c>
      <c r="M88" s="18">
        <f>Test!C86</f>
        <v>0</v>
      </c>
      <c r="N88" s="18">
        <f>Test!D86</f>
        <v>0</v>
      </c>
      <c r="O88" s="18">
        <f>Test!E86</f>
        <v>0</v>
      </c>
      <c r="P88" s="18">
        <f>Test!F86</f>
        <v>0</v>
      </c>
      <c r="Q88" s="18">
        <f>Test!G86</f>
        <v>0</v>
      </c>
      <c r="R88" s="19">
        <f t="shared" si="35"/>
        <v>0</v>
      </c>
      <c r="S88" s="18" t="e">
        <f t="shared" si="36"/>
        <v>#DIV/0!</v>
      </c>
      <c r="T88" s="18" t="e">
        <f t="shared" si="37"/>
        <v>#DIV/0!</v>
      </c>
      <c r="U88" s="60"/>
      <c r="V88" s="43"/>
      <c r="W88" s="26"/>
      <c r="X88" s="26"/>
      <c r="Y88" s="43"/>
      <c r="Z88" s="26"/>
      <c r="AA88" s="55"/>
      <c r="AB88" s="20"/>
      <c r="AC88" s="17">
        <f>BMS!B86</f>
        <v>0</v>
      </c>
      <c r="AD88" s="18">
        <f>BMS!C86</f>
        <v>0</v>
      </c>
      <c r="AE88" s="18">
        <f>BMS!D86</f>
        <v>0</v>
      </c>
      <c r="AF88" s="18">
        <f>BMS!E86</f>
        <v>0</v>
      </c>
      <c r="AG88" s="18">
        <f>BMS!F86</f>
        <v>0</v>
      </c>
      <c r="AH88" s="18">
        <f>BMS!G86</f>
        <v>0</v>
      </c>
      <c r="AI88" s="19">
        <f t="shared" si="38"/>
        <v>0</v>
      </c>
      <c r="AJ88" s="18" t="e">
        <f t="shared" si="39"/>
        <v>#DIV/0!</v>
      </c>
      <c r="AK88" s="18" t="e">
        <f t="shared" si="40"/>
        <v>#DIV/0!</v>
      </c>
      <c r="AL88" s="20"/>
      <c r="AM88" s="43"/>
      <c r="AN88" s="26"/>
      <c r="AO88" s="55"/>
      <c r="AP88" s="43"/>
      <c r="AQ88" s="26"/>
      <c r="AR88" s="55"/>
    </row>
    <row r="89" spans="1:44" x14ac:dyDescent="0.2">
      <c r="A89" s="16"/>
      <c r="B89" s="16"/>
      <c r="C89" s="16">
        <v>32</v>
      </c>
      <c r="D89" s="17">
        <f>TM!B87</f>
        <v>0</v>
      </c>
      <c r="E89" s="18">
        <f>TM!C87</f>
        <v>0</v>
      </c>
      <c r="F89" s="18">
        <f>TM!D87</f>
        <v>0</v>
      </c>
      <c r="G89" s="18">
        <f>TM!E87</f>
        <v>0</v>
      </c>
      <c r="H89" s="18">
        <f>TM!F87</f>
        <v>0</v>
      </c>
      <c r="I89" s="18">
        <f>TM!G87</f>
        <v>0</v>
      </c>
      <c r="J89" s="19">
        <f t="shared" si="34"/>
        <v>0</v>
      </c>
      <c r="L89" s="17">
        <f>Test!B87</f>
        <v>0</v>
      </c>
      <c r="M89" s="18">
        <f>Test!C87</f>
        <v>0</v>
      </c>
      <c r="N89" s="18">
        <f>Test!D87</f>
        <v>0</v>
      </c>
      <c r="O89" s="18">
        <f>Test!E87</f>
        <v>0</v>
      </c>
      <c r="P89" s="18">
        <f>Test!F87</f>
        <v>0</v>
      </c>
      <c r="Q89" s="18">
        <f>Test!G87</f>
        <v>0</v>
      </c>
      <c r="R89" s="19">
        <f t="shared" si="35"/>
        <v>0</v>
      </c>
      <c r="S89" s="18" t="e">
        <f t="shared" si="36"/>
        <v>#DIV/0!</v>
      </c>
      <c r="T89" s="18" t="e">
        <f t="shared" si="37"/>
        <v>#DIV/0!</v>
      </c>
      <c r="U89" s="60"/>
      <c r="V89" s="43"/>
      <c r="W89" s="26"/>
      <c r="X89" s="26"/>
      <c r="Y89" s="43"/>
      <c r="Z89" s="26"/>
      <c r="AA89" s="55"/>
      <c r="AB89" s="20"/>
      <c r="AC89" s="17">
        <f>BMS!B87</f>
        <v>0</v>
      </c>
      <c r="AD89" s="18">
        <f>BMS!C87</f>
        <v>0</v>
      </c>
      <c r="AE89" s="18">
        <f>BMS!D87</f>
        <v>0</v>
      </c>
      <c r="AF89" s="18">
        <f>BMS!E87</f>
        <v>0</v>
      </c>
      <c r="AG89" s="18">
        <f>BMS!F87</f>
        <v>0</v>
      </c>
      <c r="AH89" s="18">
        <f>BMS!G87</f>
        <v>0</v>
      </c>
      <c r="AI89" s="19">
        <f t="shared" si="38"/>
        <v>0</v>
      </c>
      <c r="AJ89" s="18" t="e">
        <f t="shared" si="39"/>
        <v>#DIV/0!</v>
      </c>
      <c r="AK89" s="18" t="e">
        <f t="shared" si="40"/>
        <v>#DIV/0!</v>
      </c>
      <c r="AL89" s="20"/>
      <c r="AM89" s="43"/>
      <c r="AN89" s="26"/>
      <c r="AO89" s="55"/>
      <c r="AP89" s="43"/>
      <c r="AQ89" s="26"/>
      <c r="AR89" s="55"/>
    </row>
    <row r="90" spans="1:44" ht="12.75" thickBot="1" x14ac:dyDescent="0.25">
      <c r="A90" s="21"/>
      <c r="B90" s="21"/>
      <c r="C90" s="21">
        <v>37</v>
      </c>
      <c r="D90" s="22">
        <f>TM!B88</f>
        <v>0</v>
      </c>
      <c r="E90" s="23">
        <f>TM!C88</f>
        <v>0</v>
      </c>
      <c r="F90" s="23">
        <f>TM!D88</f>
        <v>0</v>
      </c>
      <c r="G90" s="23">
        <f>TM!E88</f>
        <v>0</v>
      </c>
      <c r="H90" s="23">
        <f>TM!F88</f>
        <v>0</v>
      </c>
      <c r="I90" s="23">
        <f>TM!G88</f>
        <v>0</v>
      </c>
      <c r="J90" s="24">
        <f t="shared" si="34"/>
        <v>0</v>
      </c>
      <c r="L90" s="22">
        <f>Test!B88</f>
        <v>0</v>
      </c>
      <c r="M90" s="23">
        <f>Test!C88</f>
        <v>0</v>
      </c>
      <c r="N90" s="23">
        <f>Test!D88</f>
        <v>0</v>
      </c>
      <c r="O90" s="23">
        <f>Test!E88</f>
        <v>0</v>
      </c>
      <c r="P90" s="23">
        <f>Test!F88</f>
        <v>0</v>
      </c>
      <c r="Q90" s="23">
        <f>Test!G88</f>
        <v>0</v>
      </c>
      <c r="R90" s="24">
        <f t="shared" si="35"/>
        <v>0</v>
      </c>
      <c r="S90" s="18" t="e">
        <f t="shared" si="36"/>
        <v>#DIV/0!</v>
      </c>
      <c r="T90" s="18" t="e">
        <f t="shared" si="37"/>
        <v>#DIV/0!</v>
      </c>
      <c r="U90" s="60"/>
      <c r="V90" s="44"/>
      <c r="W90" s="56"/>
      <c r="X90" s="56"/>
      <c r="Y90" s="44"/>
      <c r="Z90" s="56"/>
      <c r="AA90" s="57"/>
      <c r="AB90" s="20"/>
      <c r="AC90" s="22">
        <f>BMS!B88</f>
        <v>0</v>
      </c>
      <c r="AD90" s="23">
        <f>BMS!C88</f>
        <v>0</v>
      </c>
      <c r="AE90" s="23">
        <f>BMS!D88</f>
        <v>0</v>
      </c>
      <c r="AF90" s="23">
        <f>BMS!E88</f>
        <v>0</v>
      </c>
      <c r="AG90" s="23">
        <f>BMS!F88</f>
        <v>0</v>
      </c>
      <c r="AH90" s="23">
        <f>BMS!G88</f>
        <v>0</v>
      </c>
      <c r="AI90" s="24">
        <f t="shared" si="38"/>
        <v>0</v>
      </c>
      <c r="AJ90" s="18" t="e">
        <f t="shared" si="39"/>
        <v>#DIV/0!</v>
      </c>
      <c r="AK90" s="18" t="e">
        <f t="shared" si="40"/>
        <v>#DIV/0!</v>
      </c>
      <c r="AL90" s="20"/>
      <c r="AM90" s="44"/>
      <c r="AN90" s="56"/>
      <c r="AO90" s="57"/>
      <c r="AP90" s="44"/>
      <c r="AQ90" s="56"/>
      <c r="AR90" s="57"/>
    </row>
    <row r="91" spans="1:44" x14ac:dyDescent="0.2">
      <c r="A91" s="35" t="s">
        <v>54</v>
      </c>
      <c r="B91" s="35" t="s">
        <v>64</v>
      </c>
      <c r="C91" s="35">
        <v>22</v>
      </c>
      <c r="D91" s="12">
        <f>TM!B89</f>
        <v>0</v>
      </c>
      <c r="E91" s="13">
        <f>TM!C89</f>
        <v>0</v>
      </c>
      <c r="F91" s="13">
        <f>TM!D89</f>
        <v>0</v>
      </c>
      <c r="G91" s="13">
        <f>TM!E89</f>
        <v>0</v>
      </c>
      <c r="H91" s="13">
        <f>TM!F89</f>
        <v>0</v>
      </c>
      <c r="I91" s="13">
        <f>TM!G89</f>
        <v>0</v>
      </c>
      <c r="J91" s="14">
        <f>H91/3600</f>
        <v>0</v>
      </c>
      <c r="L91" s="12">
        <f>Test!B89</f>
        <v>0</v>
      </c>
      <c r="M91" s="13">
        <f>Test!C89</f>
        <v>0</v>
      </c>
      <c r="N91" s="13">
        <f>Test!D89</f>
        <v>0</v>
      </c>
      <c r="O91" s="13">
        <f>Test!E89</f>
        <v>0</v>
      </c>
      <c r="P91" s="13">
        <f>Test!F89</f>
        <v>0</v>
      </c>
      <c r="Q91" s="13">
        <f>Test!G89</f>
        <v>0</v>
      </c>
      <c r="R91" s="14">
        <f>P91/3600</f>
        <v>0</v>
      </c>
      <c r="S91" s="13" t="e">
        <f>P91/H91</f>
        <v>#DIV/0!</v>
      </c>
      <c r="T91" s="13" t="e">
        <f>Q91/I91</f>
        <v>#DIV/0!</v>
      </c>
      <c r="U91" s="59"/>
      <c r="V91" s="42" t="e">
        <f>bdrate($D91:$D94,E91:E94,$L91:$L94,M91:M94)</f>
        <v>#VALUE!</v>
      </c>
      <c r="W91" s="47" t="e">
        <f>bdrate($D91:$D94,F91:F94,$L91:$L94,N91:N94)</f>
        <v>#VALUE!</v>
      </c>
      <c r="X91" s="48" t="e">
        <f>bdrate($D91:$D94,G91:G94,$L91:$L94,O91:O94)</f>
        <v>#VALUE!</v>
      </c>
      <c r="Y91" s="42" t="e">
        <f>bdrateOld($D91:$D94,E91:E94,$L91:$L94,M91:M94)</f>
        <v>#VALUE!</v>
      </c>
      <c r="Z91" s="47" t="e">
        <f>bdrateOld($D91:$D94,F91:F94,$L91:$L94,N91:N94)</f>
        <v>#VALUE!</v>
      </c>
      <c r="AA91" s="48" t="e">
        <f>bdrateOld($D91:$D94,G91:G94,$L91:$L94,O91:O94)</f>
        <v>#VALUE!</v>
      </c>
      <c r="AB91" s="54"/>
      <c r="AC91" s="12">
        <f>BMS!B89</f>
        <v>0</v>
      </c>
      <c r="AD91" s="13">
        <f>BMS!C89</f>
        <v>0</v>
      </c>
      <c r="AE91" s="13">
        <f>BMS!D89</f>
        <v>0</v>
      </c>
      <c r="AF91" s="13">
        <f>BMS!E89</f>
        <v>0</v>
      </c>
      <c r="AG91" s="13">
        <f>BMS!F89</f>
        <v>0</v>
      </c>
      <c r="AH91" s="13">
        <f>BMS!G89</f>
        <v>0</v>
      </c>
      <c r="AI91" s="14">
        <f>AG91/3600</f>
        <v>0</v>
      </c>
      <c r="AJ91" s="13" t="e">
        <f>R91/AI91</f>
        <v>#DIV/0!</v>
      </c>
      <c r="AK91" s="13" t="e">
        <f>Q91/AH91</f>
        <v>#DIV/0!</v>
      </c>
      <c r="AL91" s="54"/>
      <c r="AM91" s="42" t="e">
        <f>bdrate($AC91:$AC94,AD91:AD94,$L91:$L94, M91:M94)</f>
        <v>#VALUE!</v>
      </c>
      <c r="AN91" s="47" t="e">
        <f>bdrate($AC91:$AC94,AE91:AE94,$L91:$L94, N91:N94)</f>
        <v>#VALUE!</v>
      </c>
      <c r="AO91" s="48" t="e">
        <f>bdrate($AC91:$AC94,AF91:AF94,$L91:$L94, O91:O94)</f>
        <v>#VALUE!</v>
      </c>
      <c r="AP91" s="42" t="e">
        <f>bdrateOld($AC91:$AC94,AD91:AD94,$L91:$L94, M91:M94)</f>
        <v>#VALUE!</v>
      </c>
      <c r="AQ91" s="47" t="e">
        <f>bdrateOld($AC91:$AC94,AE91:AE94,$L91:$L94, N91:N94)</f>
        <v>#VALUE!</v>
      </c>
      <c r="AR91" s="48" t="e">
        <f>bdrateOld($AC91:$AC94,AF91:AF94,$L91:$L94, O91:O94)</f>
        <v>#VALUE!</v>
      </c>
    </row>
    <row r="92" spans="1:44" x14ac:dyDescent="0.2">
      <c r="A92" s="36"/>
      <c r="B92" s="36"/>
      <c r="C92" s="36">
        <v>27</v>
      </c>
      <c r="D92" s="17">
        <f>TM!B90</f>
        <v>0</v>
      </c>
      <c r="E92" s="18">
        <f>TM!C90</f>
        <v>0</v>
      </c>
      <c r="F92" s="18">
        <f>TM!D90</f>
        <v>0</v>
      </c>
      <c r="G92" s="18">
        <f>TM!E90</f>
        <v>0</v>
      </c>
      <c r="H92" s="18">
        <f>TM!F90</f>
        <v>0</v>
      </c>
      <c r="I92" s="18">
        <f>TM!G90</f>
        <v>0</v>
      </c>
      <c r="J92" s="19">
        <f t="shared" ref="J92:J106" si="41">H92/3600</f>
        <v>0</v>
      </c>
      <c r="L92" s="17">
        <f>Test!B90</f>
        <v>0</v>
      </c>
      <c r="M92" s="18">
        <f>Test!C90</f>
        <v>0</v>
      </c>
      <c r="N92" s="18">
        <f>Test!D90</f>
        <v>0</v>
      </c>
      <c r="O92" s="18">
        <f>Test!E90</f>
        <v>0</v>
      </c>
      <c r="P92" s="18">
        <f>Test!F90</f>
        <v>0</v>
      </c>
      <c r="Q92" s="18">
        <f>Test!G90</f>
        <v>0</v>
      </c>
      <c r="R92" s="19">
        <f t="shared" ref="R92:R106" si="42">P92/3600</f>
        <v>0</v>
      </c>
      <c r="S92" s="18" t="e">
        <f t="shared" ref="S92:S106" si="43">P92/H92</f>
        <v>#DIV/0!</v>
      </c>
      <c r="T92" s="18" t="e">
        <f t="shared" ref="T92:T106" si="44">Q92/I92</f>
        <v>#DIV/0!</v>
      </c>
      <c r="U92" s="60"/>
      <c r="V92" s="43"/>
      <c r="W92" s="26"/>
      <c r="X92" s="55"/>
      <c r="Y92" s="43"/>
      <c r="Z92" s="26"/>
      <c r="AA92" s="55"/>
      <c r="AB92" s="20"/>
      <c r="AC92" s="17">
        <f>BMS!B90</f>
        <v>0</v>
      </c>
      <c r="AD92" s="18">
        <f>BMS!C90</f>
        <v>0</v>
      </c>
      <c r="AE92" s="18">
        <f>BMS!D90</f>
        <v>0</v>
      </c>
      <c r="AF92" s="18">
        <f>BMS!E90</f>
        <v>0</v>
      </c>
      <c r="AG92" s="18">
        <f>BMS!F90</f>
        <v>0</v>
      </c>
      <c r="AH92" s="18">
        <f>BMS!G90</f>
        <v>0</v>
      </c>
      <c r="AI92" s="19">
        <f t="shared" ref="AI92:AI106" si="45">AG92/3600</f>
        <v>0</v>
      </c>
      <c r="AJ92" s="18" t="e">
        <f t="shared" ref="AJ92:AJ106" si="46">R92/AI92</f>
        <v>#DIV/0!</v>
      </c>
      <c r="AK92" s="18" t="e">
        <f t="shared" ref="AK92:AK106" si="47">Q92/AH92</f>
        <v>#DIV/0!</v>
      </c>
      <c r="AL92" s="20"/>
      <c r="AM92" s="43"/>
      <c r="AN92" s="26"/>
      <c r="AO92" s="55"/>
      <c r="AP92" s="43"/>
      <c r="AQ92" s="26"/>
      <c r="AR92" s="55"/>
    </row>
    <row r="93" spans="1:44" x14ac:dyDescent="0.2">
      <c r="A93" s="36"/>
      <c r="B93" s="36"/>
      <c r="C93" s="36">
        <v>32</v>
      </c>
      <c r="D93" s="17">
        <f>TM!B91</f>
        <v>0</v>
      </c>
      <c r="E93" s="18">
        <f>TM!C91</f>
        <v>0</v>
      </c>
      <c r="F93" s="18">
        <f>TM!D91</f>
        <v>0</v>
      </c>
      <c r="G93" s="18">
        <f>TM!E91</f>
        <v>0</v>
      </c>
      <c r="H93" s="18">
        <f>TM!F91</f>
        <v>0</v>
      </c>
      <c r="I93" s="18">
        <f>TM!G91</f>
        <v>0</v>
      </c>
      <c r="J93" s="19">
        <f t="shared" si="41"/>
        <v>0</v>
      </c>
      <c r="L93" s="17">
        <f>Test!B91</f>
        <v>0</v>
      </c>
      <c r="M93" s="18">
        <f>Test!C91</f>
        <v>0</v>
      </c>
      <c r="N93" s="18">
        <f>Test!D91</f>
        <v>0</v>
      </c>
      <c r="O93" s="18">
        <f>Test!E91</f>
        <v>0</v>
      </c>
      <c r="P93" s="18">
        <f>Test!F91</f>
        <v>0</v>
      </c>
      <c r="Q93" s="18">
        <f>Test!G91</f>
        <v>0</v>
      </c>
      <c r="R93" s="19">
        <f t="shared" si="42"/>
        <v>0</v>
      </c>
      <c r="S93" s="18" t="e">
        <f t="shared" si="43"/>
        <v>#DIV/0!</v>
      </c>
      <c r="T93" s="18" t="e">
        <f t="shared" si="44"/>
        <v>#DIV/0!</v>
      </c>
      <c r="U93" s="60"/>
      <c r="V93" s="43"/>
      <c r="W93" s="26"/>
      <c r="X93" s="55"/>
      <c r="Y93" s="43"/>
      <c r="Z93" s="26"/>
      <c r="AA93" s="55"/>
      <c r="AB93" s="20"/>
      <c r="AC93" s="17">
        <f>BMS!B91</f>
        <v>0</v>
      </c>
      <c r="AD93" s="18">
        <f>BMS!C91</f>
        <v>0</v>
      </c>
      <c r="AE93" s="18">
        <f>BMS!D91</f>
        <v>0</v>
      </c>
      <c r="AF93" s="18">
        <f>BMS!E91</f>
        <v>0</v>
      </c>
      <c r="AG93" s="18">
        <f>BMS!F91</f>
        <v>0</v>
      </c>
      <c r="AH93" s="18">
        <f>BMS!G91</f>
        <v>0</v>
      </c>
      <c r="AI93" s="19">
        <f t="shared" si="45"/>
        <v>0</v>
      </c>
      <c r="AJ93" s="18" t="e">
        <f t="shared" si="46"/>
        <v>#DIV/0!</v>
      </c>
      <c r="AK93" s="18" t="e">
        <f t="shared" si="47"/>
        <v>#DIV/0!</v>
      </c>
      <c r="AL93" s="20"/>
      <c r="AM93" s="43"/>
      <c r="AN93" s="26"/>
      <c r="AO93" s="55"/>
      <c r="AP93" s="43"/>
      <c r="AQ93" s="26"/>
      <c r="AR93" s="55"/>
    </row>
    <row r="94" spans="1:44" ht="12.75" thickBot="1" x14ac:dyDescent="0.25">
      <c r="A94" s="36"/>
      <c r="B94" s="37"/>
      <c r="C94" s="37">
        <v>37</v>
      </c>
      <c r="D94" s="22">
        <f>TM!B92</f>
        <v>0</v>
      </c>
      <c r="E94" s="23">
        <f>TM!C92</f>
        <v>0</v>
      </c>
      <c r="F94" s="23">
        <f>TM!D92</f>
        <v>0</v>
      </c>
      <c r="G94" s="23">
        <f>TM!E92</f>
        <v>0</v>
      </c>
      <c r="H94" s="23">
        <f>TM!F92</f>
        <v>0</v>
      </c>
      <c r="I94" s="23">
        <f>TM!G92</f>
        <v>0</v>
      </c>
      <c r="J94" s="24">
        <f t="shared" si="41"/>
        <v>0</v>
      </c>
      <c r="L94" s="22">
        <f>Test!B92</f>
        <v>0</v>
      </c>
      <c r="M94" s="23">
        <f>Test!C92</f>
        <v>0</v>
      </c>
      <c r="N94" s="23">
        <f>Test!D92</f>
        <v>0</v>
      </c>
      <c r="O94" s="23">
        <f>Test!E92</f>
        <v>0</v>
      </c>
      <c r="P94" s="23">
        <f>Test!F92</f>
        <v>0</v>
      </c>
      <c r="Q94" s="23">
        <f>Test!G92</f>
        <v>0</v>
      </c>
      <c r="R94" s="24">
        <f t="shared" si="42"/>
        <v>0</v>
      </c>
      <c r="S94" s="18" t="e">
        <f t="shared" si="43"/>
        <v>#DIV/0!</v>
      </c>
      <c r="T94" s="18" t="e">
        <f t="shared" si="44"/>
        <v>#DIV/0!</v>
      </c>
      <c r="U94" s="60"/>
      <c r="V94" s="44"/>
      <c r="W94" s="56"/>
      <c r="X94" s="57"/>
      <c r="Y94" s="44"/>
      <c r="Z94" s="56"/>
      <c r="AA94" s="57"/>
      <c r="AB94" s="20"/>
      <c r="AC94" s="22">
        <f>BMS!B92</f>
        <v>0</v>
      </c>
      <c r="AD94" s="23">
        <f>BMS!C92</f>
        <v>0</v>
      </c>
      <c r="AE94" s="23">
        <f>BMS!D92</f>
        <v>0</v>
      </c>
      <c r="AF94" s="23">
        <f>BMS!E92</f>
        <v>0</v>
      </c>
      <c r="AG94" s="23">
        <f>BMS!F92</f>
        <v>0</v>
      </c>
      <c r="AH94" s="23">
        <f>BMS!G92</f>
        <v>0</v>
      </c>
      <c r="AI94" s="24">
        <f t="shared" si="45"/>
        <v>0</v>
      </c>
      <c r="AJ94" s="18" t="e">
        <f t="shared" si="46"/>
        <v>#DIV/0!</v>
      </c>
      <c r="AK94" s="18" t="e">
        <f t="shared" si="47"/>
        <v>#DIV/0!</v>
      </c>
      <c r="AL94" s="20"/>
      <c r="AM94" s="44"/>
      <c r="AN94" s="56"/>
      <c r="AO94" s="57"/>
      <c r="AP94" s="44"/>
      <c r="AQ94" s="56"/>
      <c r="AR94" s="57"/>
    </row>
    <row r="95" spans="1:44" x14ac:dyDescent="0.2">
      <c r="A95" s="36"/>
      <c r="B95" s="35" t="s">
        <v>65</v>
      </c>
      <c r="C95" s="35">
        <v>22</v>
      </c>
      <c r="D95" s="12">
        <f>TM!B93</f>
        <v>0</v>
      </c>
      <c r="E95" s="13">
        <f>TM!C93</f>
        <v>0</v>
      </c>
      <c r="F95" s="13">
        <f>TM!D93</f>
        <v>0</v>
      </c>
      <c r="G95" s="13">
        <f>TM!E93</f>
        <v>0</v>
      </c>
      <c r="H95" s="13">
        <f>TM!F93</f>
        <v>0</v>
      </c>
      <c r="I95" s="13">
        <f>TM!G93</f>
        <v>0</v>
      </c>
      <c r="J95" s="14">
        <f t="shared" si="41"/>
        <v>0</v>
      </c>
      <c r="L95" s="12">
        <f>Test!B93</f>
        <v>0</v>
      </c>
      <c r="M95" s="13">
        <f>Test!C93</f>
        <v>0</v>
      </c>
      <c r="N95" s="13">
        <f>Test!D93</f>
        <v>0</v>
      </c>
      <c r="O95" s="13">
        <f>Test!E93</f>
        <v>0</v>
      </c>
      <c r="P95" s="13">
        <f>Test!F93</f>
        <v>0</v>
      </c>
      <c r="Q95" s="13">
        <f>Test!G93</f>
        <v>0</v>
      </c>
      <c r="R95" s="14">
        <f t="shared" si="42"/>
        <v>0</v>
      </c>
      <c r="S95" s="18" t="e">
        <f t="shared" si="43"/>
        <v>#DIV/0!</v>
      </c>
      <c r="T95" s="18" t="e">
        <f t="shared" si="44"/>
        <v>#DIV/0!</v>
      </c>
      <c r="U95" s="60"/>
      <c r="V95" s="42" t="e">
        <f>bdrate($D95:$D98,E95:E98,$L95:$L98,M95:M98)</f>
        <v>#VALUE!</v>
      </c>
      <c r="W95" s="47" t="e">
        <f>bdrate($D95:$D98,F95:F98,$L95:$L98,N95:N98)</f>
        <v>#VALUE!</v>
      </c>
      <c r="X95" s="47" t="e">
        <f>bdrate($D95:$D98,G95:G98,$L95:$L98,O95:O98)</f>
        <v>#VALUE!</v>
      </c>
      <c r="Y95" s="45" t="e">
        <f>bdrateOld($D95:$D98,E95:E98,$L95:$L98,M95:M98)</f>
        <v>#VALUE!</v>
      </c>
      <c r="Z95" s="49" t="e">
        <f>bdrateOld($D95:$D98,F95:F98,$L95:$L98,N95:N98)</f>
        <v>#VALUE!</v>
      </c>
      <c r="AA95" s="50" t="e">
        <f>bdrateOld($D95:$D98,G95:G98,$L95:$L98,O95:O98)</f>
        <v>#VALUE!</v>
      </c>
      <c r="AB95" s="20"/>
      <c r="AC95" s="12">
        <f>BMS!B93</f>
        <v>0</v>
      </c>
      <c r="AD95" s="13">
        <f>BMS!C93</f>
        <v>0</v>
      </c>
      <c r="AE95" s="13">
        <f>BMS!D93</f>
        <v>0</v>
      </c>
      <c r="AF95" s="13">
        <f>BMS!E93</f>
        <v>0</v>
      </c>
      <c r="AG95" s="13">
        <f>BMS!F93</f>
        <v>0</v>
      </c>
      <c r="AH95" s="13">
        <f>BMS!G93</f>
        <v>0</v>
      </c>
      <c r="AI95" s="14">
        <f t="shared" si="45"/>
        <v>0</v>
      </c>
      <c r="AJ95" s="18" t="e">
        <f t="shared" si="46"/>
        <v>#DIV/0!</v>
      </c>
      <c r="AK95" s="18" t="e">
        <f t="shared" si="47"/>
        <v>#DIV/0!</v>
      </c>
      <c r="AL95" s="20"/>
      <c r="AM95" s="42" t="e">
        <f>bdrate($AC95:$AC98,AD95:AD98,$L95:$L98, M95:M98)</f>
        <v>#VALUE!</v>
      </c>
      <c r="AN95" s="47" t="e">
        <f>bdrate($AC95:$AC98,AE95:AE98,$L95:$L98, N95:N98)</f>
        <v>#VALUE!</v>
      </c>
      <c r="AO95" s="48" t="e">
        <f>bdrate($AC95:$AC98,AF95:AF98,$L95:$L98, O95:O98)</f>
        <v>#VALUE!</v>
      </c>
      <c r="AP95" s="42" t="e">
        <f>bdrateOld($AC95:$AC98,AD95:AD98,$L95:$L98, M95:M98)</f>
        <v>#VALUE!</v>
      </c>
      <c r="AQ95" s="47" t="e">
        <f>bdrateOld($AC95:$AC98,AE95:AE98,$L95:$L98, N95:N98)</f>
        <v>#VALUE!</v>
      </c>
      <c r="AR95" s="48" t="e">
        <f>bdrateOld($AC95:$AC98,AF95:AF98,$L95:$L98, O95:O98)</f>
        <v>#VALUE!</v>
      </c>
    </row>
    <row r="96" spans="1:44" x14ac:dyDescent="0.2">
      <c r="A96" s="36"/>
      <c r="B96" s="36"/>
      <c r="C96" s="36">
        <v>27</v>
      </c>
      <c r="D96" s="17">
        <f>TM!B94</f>
        <v>0</v>
      </c>
      <c r="E96" s="18">
        <f>TM!C94</f>
        <v>0</v>
      </c>
      <c r="F96" s="18">
        <f>TM!D94</f>
        <v>0</v>
      </c>
      <c r="G96" s="18">
        <f>TM!E94</f>
        <v>0</v>
      </c>
      <c r="H96" s="18">
        <f>TM!F94</f>
        <v>0</v>
      </c>
      <c r="I96" s="18">
        <f>TM!G94</f>
        <v>0</v>
      </c>
      <c r="J96" s="19">
        <f t="shared" si="41"/>
        <v>0</v>
      </c>
      <c r="L96" s="17">
        <f>Test!B94</f>
        <v>0</v>
      </c>
      <c r="M96" s="18">
        <f>Test!C94</f>
        <v>0</v>
      </c>
      <c r="N96" s="18">
        <f>Test!D94</f>
        <v>0</v>
      </c>
      <c r="O96" s="18">
        <f>Test!E94</f>
        <v>0</v>
      </c>
      <c r="P96" s="18">
        <f>Test!F94</f>
        <v>0</v>
      </c>
      <c r="Q96" s="18">
        <f>Test!G94</f>
        <v>0</v>
      </c>
      <c r="R96" s="19">
        <f t="shared" si="42"/>
        <v>0</v>
      </c>
      <c r="S96" s="18" t="e">
        <f t="shared" si="43"/>
        <v>#DIV/0!</v>
      </c>
      <c r="T96" s="18" t="e">
        <f t="shared" si="44"/>
        <v>#DIV/0!</v>
      </c>
      <c r="U96" s="60"/>
      <c r="V96" s="43"/>
      <c r="W96" s="26"/>
      <c r="X96" s="26"/>
      <c r="Y96" s="43"/>
      <c r="Z96" s="26"/>
      <c r="AA96" s="55"/>
      <c r="AB96" s="20"/>
      <c r="AC96" s="17">
        <f>BMS!B94</f>
        <v>0</v>
      </c>
      <c r="AD96" s="18">
        <f>BMS!C94</f>
        <v>0</v>
      </c>
      <c r="AE96" s="18">
        <f>BMS!D94</f>
        <v>0</v>
      </c>
      <c r="AF96" s="18">
        <f>BMS!E94</f>
        <v>0</v>
      </c>
      <c r="AG96" s="18">
        <f>BMS!F94</f>
        <v>0</v>
      </c>
      <c r="AH96" s="18">
        <f>BMS!G94</f>
        <v>0</v>
      </c>
      <c r="AI96" s="19">
        <f t="shared" si="45"/>
        <v>0</v>
      </c>
      <c r="AJ96" s="18" t="e">
        <f t="shared" si="46"/>
        <v>#DIV/0!</v>
      </c>
      <c r="AK96" s="18" t="e">
        <f t="shared" si="47"/>
        <v>#DIV/0!</v>
      </c>
      <c r="AL96" s="20"/>
      <c r="AM96" s="43"/>
      <c r="AN96" s="26"/>
      <c r="AO96" s="55"/>
      <c r="AP96" s="43"/>
      <c r="AQ96" s="26"/>
      <c r="AR96" s="55"/>
    </row>
    <row r="97" spans="1:44" x14ac:dyDescent="0.2">
      <c r="A97" s="36"/>
      <c r="B97" s="36"/>
      <c r="C97" s="36">
        <v>32</v>
      </c>
      <c r="D97" s="17">
        <f>TM!B95</f>
        <v>0</v>
      </c>
      <c r="E97" s="18">
        <f>TM!C95</f>
        <v>0</v>
      </c>
      <c r="F97" s="18">
        <f>TM!D95</f>
        <v>0</v>
      </c>
      <c r="G97" s="18">
        <f>TM!E95</f>
        <v>0</v>
      </c>
      <c r="H97" s="18">
        <f>TM!F95</f>
        <v>0</v>
      </c>
      <c r="I97" s="18">
        <f>TM!G95</f>
        <v>0</v>
      </c>
      <c r="J97" s="19">
        <f t="shared" si="41"/>
        <v>0</v>
      </c>
      <c r="L97" s="17">
        <f>Test!B95</f>
        <v>0</v>
      </c>
      <c r="M97" s="18">
        <f>Test!C95</f>
        <v>0</v>
      </c>
      <c r="N97" s="18">
        <f>Test!D95</f>
        <v>0</v>
      </c>
      <c r="O97" s="18">
        <f>Test!E95</f>
        <v>0</v>
      </c>
      <c r="P97" s="18">
        <f>Test!F95</f>
        <v>0</v>
      </c>
      <c r="Q97" s="18">
        <f>Test!G95</f>
        <v>0</v>
      </c>
      <c r="R97" s="19">
        <f t="shared" si="42"/>
        <v>0</v>
      </c>
      <c r="S97" s="18" t="e">
        <f t="shared" si="43"/>
        <v>#DIV/0!</v>
      </c>
      <c r="T97" s="18" t="e">
        <f t="shared" si="44"/>
        <v>#DIV/0!</v>
      </c>
      <c r="U97" s="60"/>
      <c r="V97" s="43"/>
      <c r="W97" s="26"/>
      <c r="X97" s="26"/>
      <c r="Y97" s="43"/>
      <c r="Z97" s="26"/>
      <c r="AA97" s="55"/>
      <c r="AB97" s="20"/>
      <c r="AC97" s="17">
        <f>BMS!B95</f>
        <v>0</v>
      </c>
      <c r="AD97" s="18">
        <f>BMS!C95</f>
        <v>0</v>
      </c>
      <c r="AE97" s="18">
        <f>BMS!D95</f>
        <v>0</v>
      </c>
      <c r="AF97" s="18">
        <f>BMS!E95</f>
        <v>0</v>
      </c>
      <c r="AG97" s="18">
        <f>BMS!F95</f>
        <v>0</v>
      </c>
      <c r="AH97" s="18">
        <f>BMS!G95</f>
        <v>0</v>
      </c>
      <c r="AI97" s="19">
        <f t="shared" si="45"/>
        <v>0</v>
      </c>
      <c r="AJ97" s="18" t="e">
        <f t="shared" si="46"/>
        <v>#DIV/0!</v>
      </c>
      <c r="AK97" s="18" t="e">
        <f t="shared" si="47"/>
        <v>#DIV/0!</v>
      </c>
      <c r="AL97" s="20"/>
      <c r="AM97" s="43"/>
      <c r="AN97" s="26"/>
      <c r="AO97" s="55"/>
      <c r="AP97" s="43"/>
      <c r="AQ97" s="26"/>
      <c r="AR97" s="55"/>
    </row>
    <row r="98" spans="1:44" ht="12.75" thickBot="1" x14ac:dyDescent="0.25">
      <c r="A98" s="36"/>
      <c r="B98" s="37"/>
      <c r="C98" s="37">
        <v>37</v>
      </c>
      <c r="D98" s="22">
        <f>TM!B96</f>
        <v>0</v>
      </c>
      <c r="E98" s="23">
        <f>TM!C96</f>
        <v>0</v>
      </c>
      <c r="F98" s="23">
        <f>TM!D96</f>
        <v>0</v>
      </c>
      <c r="G98" s="23">
        <f>TM!E96</f>
        <v>0</v>
      </c>
      <c r="H98" s="23">
        <f>TM!F96</f>
        <v>0</v>
      </c>
      <c r="I98" s="23">
        <f>TM!G96</f>
        <v>0</v>
      </c>
      <c r="J98" s="24">
        <f t="shared" si="41"/>
        <v>0</v>
      </c>
      <c r="L98" s="22">
        <f>Test!B96</f>
        <v>0</v>
      </c>
      <c r="M98" s="23">
        <f>Test!C96</f>
        <v>0</v>
      </c>
      <c r="N98" s="23">
        <f>Test!D96</f>
        <v>0</v>
      </c>
      <c r="O98" s="23">
        <f>Test!E96</f>
        <v>0</v>
      </c>
      <c r="P98" s="23">
        <f>Test!F96</f>
        <v>0</v>
      </c>
      <c r="Q98" s="23">
        <f>Test!G96</f>
        <v>0</v>
      </c>
      <c r="R98" s="24">
        <f t="shared" si="42"/>
        <v>0</v>
      </c>
      <c r="S98" s="18" t="e">
        <f t="shared" si="43"/>
        <v>#DIV/0!</v>
      </c>
      <c r="T98" s="18" t="e">
        <f t="shared" si="44"/>
        <v>#DIV/0!</v>
      </c>
      <c r="U98" s="60"/>
      <c r="V98" s="44"/>
      <c r="W98" s="56"/>
      <c r="X98" s="56"/>
      <c r="Y98" s="44"/>
      <c r="Z98" s="56"/>
      <c r="AA98" s="57"/>
      <c r="AB98" s="20"/>
      <c r="AC98" s="22">
        <f>BMS!B96</f>
        <v>0</v>
      </c>
      <c r="AD98" s="23">
        <f>BMS!C96</f>
        <v>0</v>
      </c>
      <c r="AE98" s="23">
        <f>BMS!D96</f>
        <v>0</v>
      </c>
      <c r="AF98" s="23">
        <f>BMS!E96</f>
        <v>0</v>
      </c>
      <c r="AG98" s="23">
        <f>BMS!F96</f>
        <v>0</v>
      </c>
      <c r="AH98" s="23">
        <f>BMS!G96</f>
        <v>0</v>
      </c>
      <c r="AI98" s="24">
        <f t="shared" si="45"/>
        <v>0</v>
      </c>
      <c r="AJ98" s="18" t="e">
        <f t="shared" si="46"/>
        <v>#DIV/0!</v>
      </c>
      <c r="AK98" s="18" t="e">
        <f t="shared" si="47"/>
        <v>#DIV/0!</v>
      </c>
      <c r="AL98" s="20"/>
      <c r="AM98" s="44"/>
      <c r="AN98" s="56"/>
      <c r="AO98" s="57"/>
      <c r="AP98" s="44"/>
      <c r="AQ98" s="56"/>
      <c r="AR98" s="57"/>
    </row>
    <row r="99" spans="1:44" x14ac:dyDescent="0.2">
      <c r="A99" s="36"/>
      <c r="B99" s="35" t="s">
        <v>66</v>
      </c>
      <c r="C99" s="35">
        <v>22</v>
      </c>
      <c r="D99" s="12">
        <f>TM!B97</f>
        <v>0</v>
      </c>
      <c r="E99" s="13">
        <f>TM!C97</f>
        <v>0</v>
      </c>
      <c r="F99" s="13">
        <f>TM!D97</f>
        <v>0</v>
      </c>
      <c r="G99" s="13">
        <f>TM!E97</f>
        <v>0</v>
      </c>
      <c r="H99" s="13">
        <f>TM!F97</f>
        <v>0</v>
      </c>
      <c r="I99" s="13">
        <f>TM!G97</f>
        <v>0</v>
      </c>
      <c r="J99" s="14">
        <f t="shared" si="41"/>
        <v>0</v>
      </c>
      <c r="L99" s="12">
        <f>Test!B97</f>
        <v>0</v>
      </c>
      <c r="M99" s="13">
        <f>Test!C97</f>
        <v>0</v>
      </c>
      <c r="N99" s="13">
        <f>Test!D97</f>
        <v>0</v>
      </c>
      <c r="O99" s="13">
        <f>Test!E97</f>
        <v>0</v>
      </c>
      <c r="P99" s="13">
        <f>Test!F97</f>
        <v>0</v>
      </c>
      <c r="Q99" s="13">
        <f>Test!G97</f>
        <v>0</v>
      </c>
      <c r="R99" s="14">
        <f t="shared" si="42"/>
        <v>0</v>
      </c>
      <c r="S99" s="18" t="e">
        <f t="shared" si="43"/>
        <v>#DIV/0!</v>
      </c>
      <c r="T99" s="18" t="e">
        <f t="shared" si="44"/>
        <v>#DIV/0!</v>
      </c>
      <c r="U99" s="60"/>
      <c r="V99" s="42" t="e">
        <f>bdrate($D99:$D102,E99:E102,$L99:$L102,M99:M102)</f>
        <v>#VALUE!</v>
      </c>
      <c r="W99" s="47" t="e">
        <f>bdrate($D99:$D102,F99:F102,$L99:$L102,N99:N102)</f>
        <v>#VALUE!</v>
      </c>
      <c r="X99" s="47" t="e">
        <f>bdrate($D99:$D102,G99:G102,$L99:$L102,O99:O102)</f>
        <v>#VALUE!</v>
      </c>
      <c r="Y99" s="45" t="e">
        <f>bdrateOld($D99:$D102,E99:E102,$L99:$L102,M99:M102)</f>
        <v>#VALUE!</v>
      </c>
      <c r="Z99" s="49" t="e">
        <f>bdrateOld($D99:$D102,F99:F102,$L99:$L102,N99:N102)</f>
        <v>#VALUE!</v>
      </c>
      <c r="AA99" s="50" t="e">
        <f>bdrateOld($D99:$D102,G99:G102,$L99:$L102,O99:O102)</f>
        <v>#VALUE!</v>
      </c>
      <c r="AB99" s="20"/>
      <c r="AC99" s="12">
        <f>BMS!B97</f>
        <v>0</v>
      </c>
      <c r="AD99" s="13">
        <f>BMS!C97</f>
        <v>0</v>
      </c>
      <c r="AE99" s="13">
        <f>BMS!D97</f>
        <v>0</v>
      </c>
      <c r="AF99" s="13">
        <f>BMS!E97</f>
        <v>0</v>
      </c>
      <c r="AG99" s="13">
        <f>BMS!F97</f>
        <v>0</v>
      </c>
      <c r="AH99" s="13">
        <f>BMS!G97</f>
        <v>0</v>
      </c>
      <c r="AI99" s="14">
        <f t="shared" si="45"/>
        <v>0</v>
      </c>
      <c r="AJ99" s="18" t="e">
        <f t="shared" si="46"/>
        <v>#DIV/0!</v>
      </c>
      <c r="AK99" s="18" t="e">
        <f t="shared" si="47"/>
        <v>#DIV/0!</v>
      </c>
      <c r="AL99" s="20"/>
      <c r="AM99" s="42" t="e">
        <f>bdrate($AC99:$AC102,AD99:AD102,$L99:$L102, M99:M102)</f>
        <v>#VALUE!</v>
      </c>
      <c r="AN99" s="47" t="e">
        <f>bdrate($AC99:$AC102,AE99:AE102,$L99:$L102, N99:N102)</f>
        <v>#VALUE!</v>
      </c>
      <c r="AO99" s="48" t="e">
        <f>bdrate($AC99:$AC102,AF99:AF102,$L99:$L102, O99:O102)</f>
        <v>#VALUE!</v>
      </c>
      <c r="AP99" s="42" t="e">
        <f>bdrateOld($AC99:$AC102,AD99:AD102,$L99:$L102, M99:M102)</f>
        <v>#VALUE!</v>
      </c>
      <c r="AQ99" s="47" t="e">
        <f>bdrateOld($AC99:$AC102,AE99:AE102,$L99:$L102, N99:N102)</f>
        <v>#VALUE!</v>
      </c>
      <c r="AR99" s="48" t="e">
        <f>bdrateOld($AC99:$AC102,AF99:AF102,$L99:$L102, O99:O102)</f>
        <v>#VALUE!</v>
      </c>
    </row>
    <row r="100" spans="1:44" x14ac:dyDescent="0.2">
      <c r="A100" s="36"/>
      <c r="B100" s="36"/>
      <c r="C100" s="36">
        <v>27</v>
      </c>
      <c r="D100" s="17">
        <f>TM!B98</f>
        <v>0</v>
      </c>
      <c r="E100" s="18">
        <f>TM!C98</f>
        <v>0</v>
      </c>
      <c r="F100" s="18">
        <f>TM!D98</f>
        <v>0</v>
      </c>
      <c r="G100" s="18">
        <f>TM!E98</f>
        <v>0</v>
      </c>
      <c r="H100" s="18">
        <f>TM!F98</f>
        <v>0</v>
      </c>
      <c r="I100" s="18">
        <f>TM!G98</f>
        <v>0</v>
      </c>
      <c r="J100" s="19">
        <f t="shared" si="41"/>
        <v>0</v>
      </c>
      <c r="L100" s="17">
        <f>Test!B98</f>
        <v>0</v>
      </c>
      <c r="M100" s="18">
        <f>Test!C98</f>
        <v>0</v>
      </c>
      <c r="N100" s="18">
        <f>Test!D98</f>
        <v>0</v>
      </c>
      <c r="O100" s="18">
        <f>Test!E98</f>
        <v>0</v>
      </c>
      <c r="P100" s="18">
        <f>Test!F98</f>
        <v>0</v>
      </c>
      <c r="Q100" s="18">
        <f>Test!G98</f>
        <v>0</v>
      </c>
      <c r="R100" s="19">
        <f t="shared" si="42"/>
        <v>0</v>
      </c>
      <c r="S100" s="18" t="e">
        <f t="shared" si="43"/>
        <v>#DIV/0!</v>
      </c>
      <c r="T100" s="18" t="e">
        <f t="shared" si="44"/>
        <v>#DIV/0!</v>
      </c>
      <c r="U100" s="60"/>
      <c r="V100" s="43"/>
      <c r="W100" s="26"/>
      <c r="X100" s="26"/>
      <c r="Y100" s="43"/>
      <c r="Z100" s="26"/>
      <c r="AA100" s="55"/>
      <c r="AB100" s="20"/>
      <c r="AC100" s="17">
        <f>BMS!B98</f>
        <v>0</v>
      </c>
      <c r="AD100" s="18">
        <f>BMS!C98</f>
        <v>0</v>
      </c>
      <c r="AE100" s="18">
        <f>BMS!D98</f>
        <v>0</v>
      </c>
      <c r="AF100" s="18">
        <f>BMS!E98</f>
        <v>0</v>
      </c>
      <c r="AG100" s="18">
        <f>BMS!F98</f>
        <v>0</v>
      </c>
      <c r="AH100" s="18">
        <f>BMS!G98</f>
        <v>0</v>
      </c>
      <c r="AI100" s="19">
        <f t="shared" si="45"/>
        <v>0</v>
      </c>
      <c r="AJ100" s="18" t="e">
        <f t="shared" si="46"/>
        <v>#DIV/0!</v>
      </c>
      <c r="AK100" s="18" t="e">
        <f t="shared" si="47"/>
        <v>#DIV/0!</v>
      </c>
      <c r="AL100" s="20"/>
      <c r="AM100" s="43"/>
      <c r="AN100" s="26"/>
      <c r="AO100" s="55"/>
      <c r="AP100" s="43"/>
      <c r="AQ100" s="26"/>
      <c r="AR100" s="55"/>
    </row>
    <row r="101" spans="1:44" x14ac:dyDescent="0.2">
      <c r="A101" s="36"/>
      <c r="B101" s="36"/>
      <c r="C101" s="36">
        <v>32</v>
      </c>
      <c r="D101" s="17">
        <f>TM!B99</f>
        <v>0</v>
      </c>
      <c r="E101" s="18">
        <f>TM!C99</f>
        <v>0</v>
      </c>
      <c r="F101" s="18">
        <f>TM!D99</f>
        <v>0</v>
      </c>
      <c r="G101" s="18">
        <f>TM!E99</f>
        <v>0</v>
      </c>
      <c r="H101" s="18">
        <f>TM!F99</f>
        <v>0</v>
      </c>
      <c r="I101" s="18">
        <f>TM!G99</f>
        <v>0</v>
      </c>
      <c r="J101" s="19">
        <f t="shared" si="41"/>
        <v>0</v>
      </c>
      <c r="L101" s="17">
        <f>Test!B99</f>
        <v>0</v>
      </c>
      <c r="M101" s="18">
        <f>Test!C99</f>
        <v>0</v>
      </c>
      <c r="N101" s="18">
        <f>Test!D99</f>
        <v>0</v>
      </c>
      <c r="O101" s="18">
        <f>Test!E99</f>
        <v>0</v>
      </c>
      <c r="P101" s="18">
        <f>Test!F99</f>
        <v>0</v>
      </c>
      <c r="Q101" s="18">
        <f>Test!G99</f>
        <v>0</v>
      </c>
      <c r="R101" s="19">
        <f t="shared" si="42"/>
        <v>0</v>
      </c>
      <c r="S101" s="18" t="e">
        <f t="shared" si="43"/>
        <v>#DIV/0!</v>
      </c>
      <c r="T101" s="18" t="e">
        <f t="shared" si="44"/>
        <v>#DIV/0!</v>
      </c>
      <c r="U101" s="60"/>
      <c r="V101" s="43"/>
      <c r="W101" s="26"/>
      <c r="X101" s="26"/>
      <c r="Y101" s="43"/>
      <c r="Z101" s="26"/>
      <c r="AA101" s="55"/>
      <c r="AB101" s="20"/>
      <c r="AC101" s="17">
        <f>BMS!B99</f>
        <v>0</v>
      </c>
      <c r="AD101" s="18">
        <f>BMS!C99</f>
        <v>0</v>
      </c>
      <c r="AE101" s="18">
        <f>BMS!D99</f>
        <v>0</v>
      </c>
      <c r="AF101" s="18">
        <f>BMS!E99</f>
        <v>0</v>
      </c>
      <c r="AG101" s="18">
        <f>BMS!F99</f>
        <v>0</v>
      </c>
      <c r="AH101" s="18">
        <f>BMS!G99</f>
        <v>0</v>
      </c>
      <c r="AI101" s="19">
        <f t="shared" si="45"/>
        <v>0</v>
      </c>
      <c r="AJ101" s="18" t="e">
        <f t="shared" si="46"/>
        <v>#DIV/0!</v>
      </c>
      <c r="AK101" s="18" t="e">
        <f t="shared" si="47"/>
        <v>#DIV/0!</v>
      </c>
      <c r="AL101" s="20"/>
      <c r="AM101" s="43"/>
      <c r="AN101" s="26"/>
      <c r="AO101" s="55"/>
      <c r="AP101" s="43"/>
      <c r="AQ101" s="26"/>
      <c r="AR101" s="55"/>
    </row>
    <row r="102" spans="1:44" ht="12.75" thickBot="1" x14ac:dyDescent="0.25">
      <c r="A102" s="36"/>
      <c r="B102" s="37"/>
      <c r="C102" s="37">
        <v>37</v>
      </c>
      <c r="D102" s="22">
        <f>TM!B100</f>
        <v>0</v>
      </c>
      <c r="E102" s="23">
        <f>TM!C100</f>
        <v>0</v>
      </c>
      <c r="F102" s="23">
        <f>TM!D100</f>
        <v>0</v>
      </c>
      <c r="G102" s="23">
        <f>TM!E100</f>
        <v>0</v>
      </c>
      <c r="H102" s="23">
        <f>TM!F100</f>
        <v>0</v>
      </c>
      <c r="I102" s="23">
        <f>TM!G100</f>
        <v>0</v>
      </c>
      <c r="J102" s="24">
        <f t="shared" si="41"/>
        <v>0</v>
      </c>
      <c r="L102" s="22">
        <f>Test!B100</f>
        <v>0</v>
      </c>
      <c r="M102" s="23">
        <f>Test!C100</f>
        <v>0</v>
      </c>
      <c r="N102" s="23">
        <f>Test!D100</f>
        <v>0</v>
      </c>
      <c r="O102" s="23">
        <f>Test!E100</f>
        <v>0</v>
      </c>
      <c r="P102" s="23">
        <f>Test!F100</f>
        <v>0</v>
      </c>
      <c r="Q102" s="23">
        <f>Test!G100</f>
        <v>0</v>
      </c>
      <c r="R102" s="24">
        <f t="shared" si="42"/>
        <v>0</v>
      </c>
      <c r="S102" s="18" t="e">
        <f t="shared" si="43"/>
        <v>#DIV/0!</v>
      </c>
      <c r="T102" s="18" t="e">
        <f t="shared" si="44"/>
        <v>#DIV/0!</v>
      </c>
      <c r="U102" s="60"/>
      <c r="V102" s="44"/>
      <c r="W102" s="56"/>
      <c r="X102" s="56"/>
      <c r="Y102" s="44"/>
      <c r="Z102" s="56"/>
      <c r="AA102" s="57"/>
      <c r="AB102" s="20"/>
      <c r="AC102" s="22">
        <f>BMS!B100</f>
        <v>0</v>
      </c>
      <c r="AD102" s="23">
        <f>BMS!C100</f>
        <v>0</v>
      </c>
      <c r="AE102" s="23">
        <f>BMS!D100</f>
        <v>0</v>
      </c>
      <c r="AF102" s="23">
        <f>BMS!E100</f>
        <v>0</v>
      </c>
      <c r="AG102" s="23">
        <f>BMS!F100</f>
        <v>0</v>
      </c>
      <c r="AH102" s="23">
        <f>BMS!G100</f>
        <v>0</v>
      </c>
      <c r="AI102" s="24">
        <f t="shared" si="45"/>
        <v>0</v>
      </c>
      <c r="AJ102" s="18" t="e">
        <f t="shared" si="46"/>
        <v>#DIV/0!</v>
      </c>
      <c r="AK102" s="18" t="e">
        <f t="shared" si="47"/>
        <v>#DIV/0!</v>
      </c>
      <c r="AL102" s="20"/>
      <c r="AM102" s="44"/>
      <c r="AN102" s="56"/>
      <c r="AO102" s="57"/>
      <c r="AP102" s="44"/>
      <c r="AQ102" s="56"/>
      <c r="AR102" s="57"/>
    </row>
    <row r="103" spans="1:44" x14ac:dyDescent="0.2">
      <c r="A103" s="36"/>
      <c r="B103" s="35" t="s">
        <v>67</v>
      </c>
      <c r="C103" s="35">
        <v>22</v>
      </c>
      <c r="D103" s="12">
        <f>TM!B101</f>
        <v>0</v>
      </c>
      <c r="E103" s="13">
        <f>TM!C101</f>
        <v>0</v>
      </c>
      <c r="F103" s="13">
        <f>TM!D101</f>
        <v>0</v>
      </c>
      <c r="G103" s="13">
        <f>TM!E101</f>
        <v>0</v>
      </c>
      <c r="H103" s="13">
        <f>TM!F101</f>
        <v>0</v>
      </c>
      <c r="I103" s="13">
        <f>TM!G101</f>
        <v>0</v>
      </c>
      <c r="J103" s="14">
        <f t="shared" si="41"/>
        <v>0</v>
      </c>
      <c r="L103" s="12">
        <f>Test!B101</f>
        <v>0</v>
      </c>
      <c r="M103" s="13">
        <f>Test!C101</f>
        <v>0</v>
      </c>
      <c r="N103" s="13">
        <f>Test!D101</f>
        <v>0</v>
      </c>
      <c r="O103" s="13">
        <f>Test!E101</f>
        <v>0</v>
      </c>
      <c r="P103" s="13">
        <f>Test!F101</f>
        <v>0</v>
      </c>
      <c r="Q103" s="13">
        <f>Test!G101</f>
        <v>0</v>
      </c>
      <c r="R103" s="14">
        <f t="shared" si="42"/>
        <v>0</v>
      </c>
      <c r="S103" s="18" t="e">
        <f t="shared" si="43"/>
        <v>#DIV/0!</v>
      </c>
      <c r="T103" s="18" t="e">
        <f t="shared" si="44"/>
        <v>#DIV/0!</v>
      </c>
      <c r="U103" s="60"/>
      <c r="V103" s="42" t="e">
        <f>bdrate($D103:$D106,E103:E106,$L103:$L106,M103:M106)</f>
        <v>#VALUE!</v>
      </c>
      <c r="W103" s="47" t="e">
        <f>bdrate($D103:$D106,F103:F106,$L103:$L106,N103:N106)</f>
        <v>#VALUE!</v>
      </c>
      <c r="X103" s="47" t="e">
        <f>bdrate($D103:$D106,G103:G106,$L103:$L106,O103:O106)</f>
        <v>#VALUE!</v>
      </c>
      <c r="Y103" s="45" t="e">
        <f>bdrateOld($D103:$D106,E103:E106,$L103:$L106,M103:M106)</f>
        <v>#VALUE!</v>
      </c>
      <c r="Z103" s="49" t="e">
        <f>bdrateOld($D103:$D106,F103:F106,$L103:$L106,N103:N106)</f>
        <v>#VALUE!</v>
      </c>
      <c r="AA103" s="50" t="e">
        <f>bdrateOld($D103:$D106,G103:G106,$L103:$L106,O103:O106)</f>
        <v>#VALUE!</v>
      </c>
      <c r="AB103" s="20"/>
      <c r="AC103" s="12">
        <f>BMS!B101</f>
        <v>0</v>
      </c>
      <c r="AD103" s="13">
        <f>BMS!C101</f>
        <v>0</v>
      </c>
      <c r="AE103" s="13">
        <f>BMS!D101</f>
        <v>0</v>
      </c>
      <c r="AF103" s="13">
        <f>BMS!E101</f>
        <v>0</v>
      </c>
      <c r="AG103" s="13">
        <f>BMS!F101</f>
        <v>0</v>
      </c>
      <c r="AH103" s="13">
        <f>BMS!G101</f>
        <v>0</v>
      </c>
      <c r="AI103" s="14">
        <f t="shared" si="45"/>
        <v>0</v>
      </c>
      <c r="AJ103" s="18" t="e">
        <f t="shared" si="46"/>
        <v>#DIV/0!</v>
      </c>
      <c r="AK103" s="18" t="e">
        <f t="shared" si="47"/>
        <v>#DIV/0!</v>
      </c>
      <c r="AL103" s="20"/>
      <c r="AM103" s="42" t="e">
        <f>bdrate($AC103:$AC106,AD103:AD106,$L103:$L106, M103:M106)</f>
        <v>#VALUE!</v>
      </c>
      <c r="AN103" s="47" t="e">
        <f>bdrate($AC103:$AC106,AE103:AE106,$L103:$L106, N103:N106)</f>
        <v>#VALUE!</v>
      </c>
      <c r="AO103" s="48" t="e">
        <f>bdrate($AC103:$AC106,AF103:AF106,$L103:$L106, O103:O106)</f>
        <v>#VALUE!</v>
      </c>
      <c r="AP103" s="42" t="e">
        <f>bdrateOld($AC103:$AC106,AD103:AD106,$L103:$L106, M103:M106)</f>
        <v>#VALUE!</v>
      </c>
      <c r="AQ103" s="47" t="e">
        <f>bdrateOld($AC103:$AC106,AE103:AE106,$L103:$L106, N103:N106)</f>
        <v>#VALUE!</v>
      </c>
      <c r="AR103" s="48" t="e">
        <f>bdrateOld($AC103:$AC106,AF103:AF106,$L103:$L106, O103:O106)</f>
        <v>#VALUE!</v>
      </c>
    </row>
    <row r="104" spans="1:44" x14ac:dyDescent="0.2">
      <c r="A104" s="36"/>
      <c r="B104" s="36"/>
      <c r="C104" s="36">
        <v>27</v>
      </c>
      <c r="D104" s="17">
        <f>TM!B102</f>
        <v>0</v>
      </c>
      <c r="E104" s="18">
        <f>TM!C102</f>
        <v>0</v>
      </c>
      <c r="F104" s="18">
        <f>TM!D102</f>
        <v>0</v>
      </c>
      <c r="G104" s="18">
        <f>TM!E102</f>
        <v>0</v>
      </c>
      <c r="H104" s="18">
        <f>TM!F102</f>
        <v>0</v>
      </c>
      <c r="I104" s="18">
        <f>TM!G102</f>
        <v>0</v>
      </c>
      <c r="J104" s="19">
        <f t="shared" si="41"/>
        <v>0</v>
      </c>
      <c r="L104" s="17">
        <f>Test!B102</f>
        <v>0</v>
      </c>
      <c r="M104" s="18">
        <f>Test!C102</f>
        <v>0</v>
      </c>
      <c r="N104" s="18">
        <f>Test!D102</f>
        <v>0</v>
      </c>
      <c r="O104" s="18">
        <f>Test!E102</f>
        <v>0</v>
      </c>
      <c r="P104" s="18">
        <f>Test!F102</f>
        <v>0</v>
      </c>
      <c r="Q104" s="18">
        <f>Test!G102</f>
        <v>0</v>
      </c>
      <c r="R104" s="19">
        <f t="shared" si="42"/>
        <v>0</v>
      </c>
      <c r="S104" s="18" t="e">
        <f t="shared" si="43"/>
        <v>#DIV/0!</v>
      </c>
      <c r="T104" s="18" t="e">
        <f t="shared" si="44"/>
        <v>#DIV/0!</v>
      </c>
      <c r="U104" s="60"/>
      <c r="V104" s="43"/>
      <c r="W104" s="26"/>
      <c r="X104" s="26"/>
      <c r="Y104" s="43"/>
      <c r="Z104" s="26"/>
      <c r="AA104" s="55"/>
      <c r="AB104" s="20"/>
      <c r="AC104" s="17">
        <f>BMS!B102</f>
        <v>0</v>
      </c>
      <c r="AD104" s="18">
        <f>BMS!C102</f>
        <v>0</v>
      </c>
      <c r="AE104" s="18">
        <f>BMS!D102</f>
        <v>0</v>
      </c>
      <c r="AF104" s="18">
        <f>BMS!E102</f>
        <v>0</v>
      </c>
      <c r="AG104" s="18">
        <f>BMS!F102</f>
        <v>0</v>
      </c>
      <c r="AH104" s="18">
        <f>BMS!G102</f>
        <v>0</v>
      </c>
      <c r="AI104" s="19">
        <f t="shared" si="45"/>
        <v>0</v>
      </c>
      <c r="AJ104" s="18" t="e">
        <f t="shared" si="46"/>
        <v>#DIV/0!</v>
      </c>
      <c r="AK104" s="18" t="e">
        <f t="shared" si="47"/>
        <v>#DIV/0!</v>
      </c>
      <c r="AL104" s="20"/>
      <c r="AM104" s="43"/>
      <c r="AN104" s="26"/>
      <c r="AO104" s="55"/>
      <c r="AP104" s="43"/>
      <c r="AQ104" s="26"/>
      <c r="AR104" s="55"/>
    </row>
    <row r="105" spans="1:44" x14ac:dyDescent="0.2">
      <c r="A105" s="36"/>
      <c r="B105" s="36"/>
      <c r="C105" s="36">
        <v>32</v>
      </c>
      <c r="D105" s="17">
        <f>TM!B103</f>
        <v>0</v>
      </c>
      <c r="E105" s="18">
        <f>TM!C103</f>
        <v>0</v>
      </c>
      <c r="F105" s="18">
        <f>TM!D103</f>
        <v>0</v>
      </c>
      <c r="G105" s="18">
        <f>TM!E103</f>
        <v>0</v>
      </c>
      <c r="H105" s="18">
        <f>TM!F103</f>
        <v>0</v>
      </c>
      <c r="I105" s="18">
        <f>TM!G103</f>
        <v>0</v>
      </c>
      <c r="J105" s="19">
        <f t="shared" si="41"/>
        <v>0</v>
      </c>
      <c r="L105" s="17">
        <f>Test!B103</f>
        <v>0</v>
      </c>
      <c r="M105" s="18">
        <f>Test!C103</f>
        <v>0</v>
      </c>
      <c r="N105" s="18">
        <f>Test!D103</f>
        <v>0</v>
      </c>
      <c r="O105" s="18">
        <f>Test!E103</f>
        <v>0</v>
      </c>
      <c r="P105" s="18">
        <f>Test!F103</f>
        <v>0</v>
      </c>
      <c r="Q105" s="18">
        <f>Test!G103</f>
        <v>0</v>
      </c>
      <c r="R105" s="19">
        <f t="shared" si="42"/>
        <v>0</v>
      </c>
      <c r="S105" s="18" t="e">
        <f t="shared" si="43"/>
        <v>#DIV/0!</v>
      </c>
      <c r="T105" s="18" t="e">
        <f t="shared" si="44"/>
        <v>#DIV/0!</v>
      </c>
      <c r="U105" s="60"/>
      <c r="V105" s="43"/>
      <c r="W105" s="26"/>
      <c r="X105" s="26"/>
      <c r="Y105" s="43"/>
      <c r="Z105" s="26"/>
      <c r="AA105" s="55"/>
      <c r="AB105" s="20"/>
      <c r="AC105" s="17">
        <f>BMS!B103</f>
        <v>0</v>
      </c>
      <c r="AD105" s="18">
        <f>BMS!C103</f>
        <v>0</v>
      </c>
      <c r="AE105" s="18">
        <f>BMS!D103</f>
        <v>0</v>
      </c>
      <c r="AF105" s="18">
        <f>BMS!E103</f>
        <v>0</v>
      </c>
      <c r="AG105" s="18">
        <f>BMS!F103</f>
        <v>0</v>
      </c>
      <c r="AH105" s="18">
        <f>BMS!G103</f>
        <v>0</v>
      </c>
      <c r="AI105" s="19">
        <f t="shared" si="45"/>
        <v>0</v>
      </c>
      <c r="AJ105" s="18" t="e">
        <f t="shared" si="46"/>
        <v>#DIV/0!</v>
      </c>
      <c r="AK105" s="18" t="e">
        <f t="shared" si="47"/>
        <v>#DIV/0!</v>
      </c>
      <c r="AL105" s="20"/>
      <c r="AM105" s="43"/>
      <c r="AN105" s="26"/>
      <c r="AO105" s="55"/>
      <c r="AP105" s="43"/>
      <c r="AQ105" s="26"/>
      <c r="AR105" s="55"/>
    </row>
    <row r="106" spans="1:44" ht="12.75" thickBot="1" x14ac:dyDescent="0.25">
      <c r="A106" s="37"/>
      <c r="B106" s="37"/>
      <c r="C106" s="37">
        <v>37</v>
      </c>
      <c r="D106" s="22">
        <f>TM!B104</f>
        <v>0</v>
      </c>
      <c r="E106" s="23">
        <f>TM!C104</f>
        <v>0</v>
      </c>
      <c r="F106" s="23">
        <f>TM!D104</f>
        <v>0</v>
      </c>
      <c r="G106" s="23">
        <f>TM!E104</f>
        <v>0</v>
      </c>
      <c r="H106" s="23">
        <f>TM!F104</f>
        <v>0</v>
      </c>
      <c r="I106" s="23">
        <f>TM!G104</f>
        <v>0</v>
      </c>
      <c r="J106" s="24">
        <f t="shared" si="41"/>
        <v>0</v>
      </c>
      <c r="L106" s="22">
        <f>Test!B104</f>
        <v>0</v>
      </c>
      <c r="M106" s="23">
        <f>Test!C104</f>
        <v>0</v>
      </c>
      <c r="N106" s="23">
        <f>Test!D104</f>
        <v>0</v>
      </c>
      <c r="O106" s="23">
        <f>Test!E104</f>
        <v>0</v>
      </c>
      <c r="P106" s="23">
        <f>Test!F104</f>
        <v>0</v>
      </c>
      <c r="Q106" s="23">
        <f>Test!G104</f>
        <v>0</v>
      </c>
      <c r="R106" s="24">
        <f t="shared" si="42"/>
        <v>0</v>
      </c>
      <c r="S106" s="23" t="e">
        <f t="shared" si="43"/>
        <v>#DIV/0!</v>
      </c>
      <c r="T106" s="23" t="e">
        <f t="shared" si="44"/>
        <v>#DIV/0!</v>
      </c>
      <c r="U106" s="61"/>
      <c r="V106" s="44"/>
      <c r="W106" s="56"/>
      <c r="X106" s="56"/>
      <c r="Y106" s="44"/>
      <c r="Z106" s="56"/>
      <c r="AA106" s="57"/>
      <c r="AB106" s="25"/>
      <c r="AC106" s="22">
        <f>BMS!B104</f>
        <v>0</v>
      </c>
      <c r="AD106" s="23">
        <f>BMS!C104</f>
        <v>0</v>
      </c>
      <c r="AE106" s="23">
        <f>BMS!D104</f>
        <v>0</v>
      </c>
      <c r="AF106" s="23">
        <f>BMS!E104</f>
        <v>0</v>
      </c>
      <c r="AG106" s="23">
        <f>BMS!F104</f>
        <v>0</v>
      </c>
      <c r="AH106" s="23">
        <f>BMS!G104</f>
        <v>0</v>
      </c>
      <c r="AI106" s="24">
        <f t="shared" si="45"/>
        <v>0</v>
      </c>
      <c r="AJ106" s="23" t="e">
        <f t="shared" si="46"/>
        <v>#DIV/0!</v>
      </c>
      <c r="AK106" s="23" t="e">
        <f t="shared" si="47"/>
        <v>#DIV/0!</v>
      </c>
      <c r="AL106" s="25"/>
      <c r="AM106" s="44"/>
      <c r="AN106" s="56"/>
      <c r="AO106" s="57"/>
      <c r="AP106" s="44"/>
      <c r="AQ106" s="56"/>
      <c r="AR106" s="57"/>
    </row>
    <row r="107" spans="1:44" x14ac:dyDescent="0.2">
      <c r="B107" s="1" t="s">
        <v>75</v>
      </c>
      <c r="I107" s="15" t="e">
        <f>GEOMEAN(I3:I14)</f>
        <v>#NUM!</v>
      </c>
      <c r="J107" s="15" t="e">
        <f>GEOMEAN(J3:J14)</f>
        <v>#NUM!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#DIV/0!</v>
      </c>
      <c r="T107" s="15" t="e">
        <f>GEOMEAN(T3:T14)</f>
        <v>#DIV/0!</v>
      </c>
      <c r="V107" s="42" t="e">
        <f t="shared" ref="V107:AA107" si="48">AVERAGE(V3:V14)</f>
        <v>#VALUE!</v>
      </c>
      <c r="W107" s="47" t="e">
        <f t="shared" si="48"/>
        <v>#VALUE!</v>
      </c>
      <c r="X107" s="47" t="e">
        <f t="shared" si="48"/>
        <v>#VALUE!</v>
      </c>
      <c r="Y107" s="42" t="e">
        <f t="shared" si="48"/>
        <v>#VALUE!</v>
      </c>
      <c r="Z107" s="47" t="e">
        <f t="shared" si="48"/>
        <v>#VALUE!</v>
      </c>
      <c r="AA107" s="48" t="e">
        <f t="shared" si="48"/>
        <v>#VALUE!</v>
      </c>
      <c r="AH107" s="15" t="e">
        <f>GEOMEAN(AH3:AH14)</f>
        <v>#NUM!</v>
      </c>
      <c r="AI107" s="15" t="e">
        <f>GEOMEAN(AI3:AI14)</f>
        <v>#NUM!</v>
      </c>
      <c r="AJ107" s="15" t="e">
        <f>GEOMEAN(AJ3:AJ14)</f>
        <v>#DIV/0!</v>
      </c>
      <c r="AK107" s="15" t="e">
        <f>GEOMEAN(AK3:AK14)</f>
        <v>#DIV/0!</v>
      </c>
      <c r="AM107" s="42" t="e">
        <f t="shared" ref="AM107:AR107" si="49">AVERAGE(AM3:AM14)</f>
        <v>#VALUE!</v>
      </c>
      <c r="AN107" s="47" t="e">
        <f t="shared" si="49"/>
        <v>#VALUE!</v>
      </c>
      <c r="AO107" s="47" t="e">
        <f t="shared" si="49"/>
        <v>#VALUE!</v>
      </c>
      <c r="AP107" s="42" t="e">
        <f t="shared" si="49"/>
        <v>#VALUE!</v>
      </c>
      <c r="AQ107" s="47" t="e">
        <f t="shared" si="49"/>
        <v>#VALUE!</v>
      </c>
      <c r="AR107" s="48" t="e">
        <f t="shared" si="49"/>
        <v>#VALUE!</v>
      </c>
    </row>
    <row r="108" spans="1:44" x14ac:dyDescent="0.2">
      <c r="B108" s="1" t="s">
        <v>76</v>
      </c>
      <c r="I108" s="15" t="e">
        <f>GEOMEAN(I15:I26)</f>
        <v>#NUM!</v>
      </c>
      <c r="J108" s="15" t="e">
        <f>GEOMEAN(J15:J26)</f>
        <v>#NUM!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#DIV/0!</v>
      </c>
      <c r="T108" s="15" t="e">
        <f>GEOMEAN(T15:T26)</f>
        <v>#DIV/0!</v>
      </c>
      <c r="V108" s="45" t="e">
        <f t="shared" ref="V108:AA108" si="50">AVERAGE(V15:V26)</f>
        <v>#VALUE!</v>
      </c>
      <c r="W108" s="49" t="e">
        <f t="shared" si="50"/>
        <v>#VALUE!</v>
      </c>
      <c r="X108" s="49" t="e">
        <f t="shared" si="50"/>
        <v>#VALUE!</v>
      </c>
      <c r="Y108" s="45" t="e">
        <f t="shared" si="50"/>
        <v>#VALUE!</v>
      </c>
      <c r="Z108" s="49" t="e">
        <f t="shared" si="50"/>
        <v>#VALUE!</v>
      </c>
      <c r="AA108" s="50" t="e">
        <f t="shared" si="50"/>
        <v>#VALUE!</v>
      </c>
      <c r="AH108" s="15" t="e">
        <f>GEOMEAN(AH15:AH26)</f>
        <v>#NUM!</v>
      </c>
      <c r="AI108" s="15" t="e">
        <f>GEOMEAN(AI15:AI26)</f>
        <v>#NUM!</v>
      </c>
      <c r="AJ108" s="15" t="e">
        <f>GEOMEAN(AJ15:AJ26)</f>
        <v>#DIV/0!</v>
      </c>
      <c r="AK108" s="15" t="e">
        <f>GEOMEAN(AK15:AK26)</f>
        <v>#DIV/0!</v>
      </c>
      <c r="AM108" s="45" t="e">
        <f t="shared" ref="AM108:AR108" si="51">AVERAGE(AM15:AM26)</f>
        <v>#VALUE!</v>
      </c>
      <c r="AN108" s="49" t="e">
        <f t="shared" si="51"/>
        <v>#VALUE!</v>
      </c>
      <c r="AO108" s="49" t="e">
        <f t="shared" si="51"/>
        <v>#VALUE!</v>
      </c>
      <c r="AP108" s="45" t="e">
        <f t="shared" si="51"/>
        <v>#VALUE!</v>
      </c>
      <c r="AQ108" s="49" t="e">
        <f t="shared" si="51"/>
        <v>#VALUE!</v>
      </c>
      <c r="AR108" s="50" t="e">
        <f t="shared" si="51"/>
        <v>#VALUE!</v>
      </c>
    </row>
    <row r="109" spans="1:44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52">GEOMEAN(S27:S46)</f>
        <v>#DIV/0!</v>
      </c>
      <c r="T109" s="15" t="e">
        <f t="shared" si="52"/>
        <v>#DIV/0!</v>
      </c>
      <c r="V109" s="45" t="e">
        <f>AVERAGE(V27:V46)</f>
        <v>#VALUE!</v>
      </c>
      <c r="W109" s="49" t="e">
        <f t="shared" ref="W109:AA109" si="53">AVERAGE(W27:W46)</f>
        <v>#VALUE!</v>
      </c>
      <c r="X109" s="49" t="e">
        <f t="shared" si="53"/>
        <v>#VALUE!</v>
      </c>
      <c r="Y109" s="45" t="e">
        <f t="shared" si="53"/>
        <v>#VALUE!</v>
      </c>
      <c r="Z109" s="49" t="e">
        <f t="shared" si="53"/>
        <v>#VALUE!</v>
      </c>
      <c r="AA109" s="50" t="e">
        <f t="shared" si="53"/>
        <v>#VALUE!</v>
      </c>
      <c r="AH109" s="15" t="e">
        <f>GEOMEAN(AH27:AH46)</f>
        <v>#NUM!</v>
      </c>
      <c r="AI109" s="15" t="e">
        <f>GEOMEAN(AI27:AI46)</f>
        <v>#NUM!</v>
      </c>
      <c r="AJ109" s="15" t="e">
        <f t="shared" ref="AJ109:AK109" si="54">GEOMEAN(AJ27:AJ46)</f>
        <v>#DIV/0!</v>
      </c>
      <c r="AK109" s="15" t="e">
        <f t="shared" si="54"/>
        <v>#DIV/0!</v>
      </c>
      <c r="AM109" s="45" t="e">
        <f>AVERAGE(AM27:AM46)</f>
        <v>#VALUE!</v>
      </c>
      <c r="AN109" s="49" t="e">
        <f t="shared" ref="AN109:AR109" si="55">AVERAGE(AN27:AN46)</f>
        <v>#VALUE!</v>
      </c>
      <c r="AO109" s="49" t="e">
        <f t="shared" si="55"/>
        <v>#VALUE!</v>
      </c>
      <c r="AP109" s="45" t="e">
        <f t="shared" si="55"/>
        <v>#VALUE!</v>
      </c>
      <c r="AQ109" s="49" t="e">
        <f t="shared" si="55"/>
        <v>#VALUE!</v>
      </c>
      <c r="AR109" s="50" t="e">
        <f t="shared" si="55"/>
        <v>#VALUE!</v>
      </c>
    </row>
    <row r="110" spans="1:44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56">GEOMEAN(S47:S62)</f>
        <v>#DIV/0!</v>
      </c>
      <c r="T110" s="15" t="e">
        <f t="shared" si="56"/>
        <v>#DIV/0!</v>
      </c>
      <c r="V110" s="45" t="e">
        <f>AVERAGE(V47:V62)</f>
        <v>#VALUE!</v>
      </c>
      <c r="W110" s="49" t="e">
        <f t="shared" ref="W110:AA110" si="57">AVERAGE(W47:W62)</f>
        <v>#VALUE!</v>
      </c>
      <c r="X110" s="49" t="e">
        <f t="shared" si="57"/>
        <v>#VALUE!</v>
      </c>
      <c r="Y110" s="45" t="e">
        <f t="shared" si="57"/>
        <v>#VALUE!</v>
      </c>
      <c r="Z110" s="49" t="e">
        <f t="shared" si="57"/>
        <v>#VALUE!</v>
      </c>
      <c r="AA110" s="50" t="e">
        <f t="shared" si="57"/>
        <v>#VALUE!</v>
      </c>
      <c r="AH110" s="15" t="e">
        <f>GEOMEAN(AH47:AH62)</f>
        <v>#NUM!</v>
      </c>
      <c r="AI110" s="15" t="e">
        <f>GEOMEAN(AI47:AI62)</f>
        <v>#NUM!</v>
      </c>
      <c r="AJ110" s="15" t="e">
        <f t="shared" ref="AJ110:AK110" si="58">GEOMEAN(AJ47:AJ62)</f>
        <v>#DIV/0!</v>
      </c>
      <c r="AK110" s="15" t="e">
        <f t="shared" si="58"/>
        <v>#DIV/0!</v>
      </c>
      <c r="AM110" s="45" t="e">
        <f>AVERAGE(AM47:AM62)</f>
        <v>#VALUE!</v>
      </c>
      <c r="AN110" s="49" t="e">
        <f t="shared" ref="AN110:AR110" si="59">AVERAGE(AN47:AN62)</f>
        <v>#VALUE!</v>
      </c>
      <c r="AO110" s="49" t="e">
        <f t="shared" si="59"/>
        <v>#VALUE!</v>
      </c>
      <c r="AP110" s="45" t="e">
        <f t="shared" si="59"/>
        <v>#VALUE!</v>
      </c>
      <c r="AQ110" s="49" t="e">
        <f t="shared" si="59"/>
        <v>#VALUE!</v>
      </c>
      <c r="AR110" s="50" t="e">
        <f t="shared" si="59"/>
        <v>#VALUE!</v>
      </c>
    </row>
    <row r="111" spans="1:44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60">GEOMEAN(S63:S78)</f>
        <v>#DIV/0!</v>
      </c>
      <c r="T111" s="15" t="e">
        <f t="shared" si="60"/>
        <v>#DIV/0!</v>
      </c>
      <c r="V111" s="45" t="e">
        <f>AVERAGE(V63:V78)</f>
        <v>#VALUE!</v>
      </c>
      <c r="W111" s="49" t="e">
        <f t="shared" ref="W111:AA111" si="61">AVERAGE(W63:W78)</f>
        <v>#VALUE!</v>
      </c>
      <c r="X111" s="49" t="e">
        <f t="shared" si="61"/>
        <v>#VALUE!</v>
      </c>
      <c r="Y111" s="45" t="e">
        <f t="shared" si="61"/>
        <v>#VALUE!</v>
      </c>
      <c r="Z111" s="49" t="e">
        <f t="shared" si="61"/>
        <v>#VALUE!</v>
      </c>
      <c r="AA111" s="50" t="e">
        <f t="shared" si="61"/>
        <v>#VALUE!</v>
      </c>
      <c r="AH111" s="15" t="e">
        <f>GEOMEAN(AH63:AH78)</f>
        <v>#NUM!</v>
      </c>
      <c r="AI111" s="15" t="e">
        <f>GEOMEAN(AI63:AI78)</f>
        <v>#NUM!</v>
      </c>
      <c r="AJ111" s="15" t="e">
        <f t="shared" ref="AJ111:AK111" si="62">GEOMEAN(AJ63:AJ78)</f>
        <v>#DIV/0!</v>
      </c>
      <c r="AK111" s="15" t="e">
        <f t="shared" si="62"/>
        <v>#DIV/0!</v>
      </c>
      <c r="AM111" s="45" t="e">
        <f>AVERAGE(AM63:AM78)</f>
        <v>#VALUE!</v>
      </c>
      <c r="AN111" s="49" t="e">
        <f t="shared" ref="AN111:AR111" si="63">AVERAGE(AN63:AN78)</f>
        <v>#VALUE!</v>
      </c>
      <c r="AO111" s="49" t="e">
        <f t="shared" si="63"/>
        <v>#VALUE!</v>
      </c>
      <c r="AP111" s="45" t="e">
        <f t="shared" si="63"/>
        <v>#VALUE!</v>
      </c>
      <c r="AQ111" s="49" t="e">
        <f t="shared" si="63"/>
        <v>#VALUE!</v>
      </c>
      <c r="AR111" s="50" t="e">
        <f t="shared" si="63"/>
        <v>#VALUE!</v>
      </c>
    </row>
    <row r="112" spans="1:44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64">GEOMEAN(S79:S90)</f>
        <v>#DIV/0!</v>
      </c>
      <c r="T112" s="15" t="e">
        <f t="shared" si="64"/>
        <v>#DIV/0!</v>
      </c>
      <c r="V112" s="45" t="e">
        <f>AVERAGE(V79:V88)</f>
        <v>#VALUE!</v>
      </c>
      <c r="W112" s="49" t="e">
        <f t="shared" ref="W112:AA112" si="65">AVERAGE(W79:W88)</f>
        <v>#VALUE!</v>
      </c>
      <c r="X112" s="49" t="e">
        <f t="shared" si="65"/>
        <v>#VALUE!</v>
      </c>
      <c r="Y112" s="45" t="e">
        <f t="shared" si="65"/>
        <v>#VALUE!</v>
      </c>
      <c r="Z112" s="49" t="e">
        <f t="shared" si="65"/>
        <v>#VALUE!</v>
      </c>
      <c r="AA112" s="50" t="e">
        <f t="shared" si="65"/>
        <v>#VALUE!</v>
      </c>
      <c r="AH112" s="15" t="e">
        <f>GEOMEAN(AH79:AH90)</f>
        <v>#NUM!</v>
      </c>
      <c r="AI112" s="15" t="e">
        <f>GEOMEAN(AI79:AI90)</f>
        <v>#NUM!</v>
      </c>
      <c r="AJ112" s="15" t="e">
        <f t="shared" ref="AJ112:AK112" si="66">GEOMEAN(AJ79:AJ90)</f>
        <v>#DIV/0!</v>
      </c>
      <c r="AK112" s="15" t="e">
        <f t="shared" si="66"/>
        <v>#DIV/0!</v>
      </c>
      <c r="AM112" s="45" t="e">
        <f>AVERAGE(AM79:AM88)</f>
        <v>#VALUE!</v>
      </c>
      <c r="AN112" s="49" t="e">
        <f t="shared" ref="AN112:AR112" si="67">AVERAGE(AN79:AN88)</f>
        <v>#VALUE!</v>
      </c>
      <c r="AO112" s="49" t="e">
        <f t="shared" si="67"/>
        <v>#VALUE!</v>
      </c>
      <c r="AP112" s="45" t="e">
        <f t="shared" si="67"/>
        <v>#VALUE!</v>
      </c>
      <c r="AQ112" s="49" t="e">
        <f t="shared" si="67"/>
        <v>#VALUE!</v>
      </c>
      <c r="AR112" s="50" t="e">
        <f t="shared" si="67"/>
        <v>#VALUE!</v>
      </c>
    </row>
    <row r="113" spans="1:44" ht="12.75" thickBot="1" x14ac:dyDescent="0.25">
      <c r="B113" s="1" t="s">
        <v>46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68">GEOMEAN(S91:S106)</f>
        <v>#DIV/0!</v>
      </c>
      <c r="T113" s="15" t="e">
        <f t="shared" si="68"/>
        <v>#DIV/0!</v>
      </c>
      <c r="V113" s="45" t="e">
        <f>AVERAGE(V91:V106)</f>
        <v>#VALUE!</v>
      </c>
      <c r="W113" s="49" t="e">
        <f t="shared" ref="W113:AA113" si="69">AVERAGE(W91:W106)</f>
        <v>#VALUE!</v>
      </c>
      <c r="X113" s="49" t="e">
        <f t="shared" si="69"/>
        <v>#VALUE!</v>
      </c>
      <c r="Y113" s="45" t="e">
        <f t="shared" si="69"/>
        <v>#VALUE!</v>
      </c>
      <c r="Z113" s="49" t="e">
        <f t="shared" si="69"/>
        <v>#VALUE!</v>
      </c>
      <c r="AA113" s="50" t="e">
        <f t="shared" si="69"/>
        <v>#VALUE!</v>
      </c>
      <c r="AH113" s="15" t="e">
        <f>GEOMEAN(AH91:AH106)</f>
        <v>#NUM!</v>
      </c>
      <c r="AI113" s="15" t="e">
        <f>GEOMEAN(AI91:AI106)</f>
        <v>#NUM!</v>
      </c>
      <c r="AJ113" s="15" t="e">
        <f t="shared" ref="AJ113:AK113" si="70">GEOMEAN(AJ91:AJ106)</f>
        <v>#DIV/0!</v>
      </c>
      <c r="AK113" s="15" t="e">
        <f t="shared" si="70"/>
        <v>#DIV/0!</v>
      </c>
      <c r="AM113" s="45" t="e">
        <f>AVERAGE(AM91:AM106)</f>
        <v>#VALUE!</v>
      </c>
      <c r="AN113" s="49" t="e">
        <f t="shared" ref="AN113:AR113" si="71">AVERAGE(AN91:AN106)</f>
        <v>#VALUE!</v>
      </c>
      <c r="AO113" s="49" t="e">
        <f t="shared" si="71"/>
        <v>#VALUE!</v>
      </c>
      <c r="AP113" s="45" t="e">
        <f t="shared" si="71"/>
        <v>#VALUE!</v>
      </c>
      <c r="AQ113" s="49" t="e">
        <f t="shared" si="71"/>
        <v>#VALUE!</v>
      </c>
      <c r="AR113" s="50" t="e">
        <f t="shared" si="71"/>
        <v>#VALUE!</v>
      </c>
    </row>
    <row r="114" spans="1:44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2" t="e">
        <f>GEOMEAN(I3:I62, I79:I90)</f>
        <v>#NUM!</v>
      </c>
      <c r="J114" s="62" t="e">
        <f>GEOMEAN(J3:J62,J79:J90)</f>
        <v>#NUM!</v>
      </c>
      <c r="K114" s="4"/>
      <c r="L114" s="4"/>
      <c r="M114" s="4"/>
      <c r="N114" s="4"/>
      <c r="O114" s="4"/>
      <c r="P114" s="4"/>
      <c r="Q114" s="62" t="e">
        <f>GEOMEAN(Q3:Q62,Q79:Q90)</f>
        <v>#NUM!</v>
      </c>
      <c r="R114" s="62" t="e">
        <f>GEOMEAN(R3:R62,R79:R90)</f>
        <v>#NUM!</v>
      </c>
      <c r="S114" s="62" t="e">
        <f>GEOMEAN(S3:S62,S79:S90)</f>
        <v>#DIV/0!</v>
      </c>
      <c r="T114" s="62" t="e">
        <f>GEOMEAN(T3:T62,T79:T90)</f>
        <v>#DIV/0!</v>
      </c>
      <c r="U114" s="4"/>
      <c r="V114" s="46" t="e">
        <f>AVERAGE(V3:V62,V79:V90)</f>
        <v>#VALUE!</v>
      </c>
      <c r="W114" s="51" t="e">
        <f t="shared" ref="W114:AA114" si="72">AVERAGE(W3:W62,W79:W90)</f>
        <v>#VALUE!</v>
      </c>
      <c r="X114" s="51" t="e">
        <f t="shared" si="72"/>
        <v>#VALUE!</v>
      </c>
      <c r="Y114" s="46" t="e">
        <f>AVERAGE(Y3:Y62,Y79:Y90)</f>
        <v>#VALUE!</v>
      </c>
      <c r="Z114" s="51" t="e">
        <f t="shared" si="72"/>
        <v>#VALUE!</v>
      </c>
      <c r="AA114" s="52" t="e">
        <f t="shared" si="72"/>
        <v>#VALUE!</v>
      </c>
      <c r="AC114" s="4"/>
      <c r="AD114" s="4"/>
      <c r="AE114" s="4"/>
      <c r="AF114" s="4"/>
      <c r="AG114" s="4"/>
      <c r="AH114" s="62" t="e">
        <f>GEOMEAN(AH3:AH62,AH79:AH90)</f>
        <v>#NUM!</v>
      </c>
      <c r="AI114" s="62" t="e">
        <f>GEOMEAN(AI3:AI62,AI79:AI90)</f>
        <v>#NUM!</v>
      </c>
      <c r="AJ114" s="62" t="e">
        <f t="shared" ref="AJ114:AK114" si="73">GEOMEAN(AJ3:AJ62,AJ79:AJ90)</f>
        <v>#DIV/0!</v>
      </c>
      <c r="AK114" s="62" t="e">
        <f t="shared" si="73"/>
        <v>#DIV/0!</v>
      </c>
      <c r="AM114" s="46" t="e">
        <f>AVERAGE(AM3:AM62,AM79:AM90)</f>
        <v>#VALUE!</v>
      </c>
      <c r="AN114" s="51" t="e">
        <f t="shared" ref="AN114:AR114" si="74">AVERAGE(AN3:AN62,AN79:AN90)</f>
        <v>#VALUE!</v>
      </c>
      <c r="AO114" s="51" t="e">
        <f t="shared" si="74"/>
        <v>#VALUE!</v>
      </c>
      <c r="AP114" s="46" t="e">
        <f t="shared" si="74"/>
        <v>#VALUE!</v>
      </c>
      <c r="AQ114" s="51" t="e">
        <f t="shared" si="74"/>
        <v>#VALUE!</v>
      </c>
      <c r="AR114" s="52" t="e">
        <f t="shared" si="74"/>
        <v>#VALUE!</v>
      </c>
    </row>
    <row r="115" spans="1:44" x14ac:dyDescent="0.2">
      <c r="B115" s="1" t="s">
        <v>9</v>
      </c>
      <c r="I115" s="27" t="e">
        <f>GEOMEAN(I3:I106)</f>
        <v>#NUM!</v>
      </c>
      <c r="J115" s="27" t="e">
        <f>GEOMEAN(J3:J106)</f>
        <v>#NUM!</v>
      </c>
      <c r="Q115" s="27" t="e">
        <f>GEOMEAN(Q3:Q106)</f>
        <v>#NUM!</v>
      </c>
      <c r="R115" s="27" t="e">
        <f>GEOMEAN(R3:R106)</f>
        <v>#NUM!</v>
      </c>
      <c r="S115" s="27"/>
      <c r="T115" s="27"/>
      <c r="AH115" s="27" t="e">
        <f>GEOMEAN(AH3:AH106)</f>
        <v>#NUM!</v>
      </c>
      <c r="AI115" s="27" t="e">
        <f>GEOMEAN(AI3:AI106)</f>
        <v>#NUM!</v>
      </c>
      <c r="AJ115" s="27"/>
      <c r="AK115" s="27"/>
    </row>
    <row r="116" spans="1:44" x14ac:dyDescent="0.2">
      <c r="B116" s="1" t="s">
        <v>10</v>
      </c>
      <c r="Q116" s="28" t="e">
        <f>Q115/I115</f>
        <v>#NUM!</v>
      </c>
      <c r="R116" s="28" t="e">
        <f>R115/J115</f>
        <v>#NUM!</v>
      </c>
      <c r="S116" s="28"/>
      <c r="T116" s="28"/>
      <c r="AJ116" s="28"/>
      <c r="AK116" s="28"/>
    </row>
    <row r="117" spans="1:44" x14ac:dyDescent="0.2">
      <c r="B117" s="1" t="s">
        <v>11</v>
      </c>
      <c r="I117" s="27"/>
      <c r="J117" s="27"/>
      <c r="Q117" s="27"/>
      <c r="R117" s="27"/>
      <c r="S117" s="27"/>
      <c r="T117" s="27"/>
      <c r="AH117" s="27">
        <f>SUM(AH3:AH106)/3600</f>
        <v>0</v>
      </c>
      <c r="AI117" s="27">
        <f>SUM(AI3:AI106)</f>
        <v>0</v>
      </c>
      <c r="AJ117" s="27"/>
      <c r="AK117" s="27"/>
    </row>
  </sheetData>
  <mergeCells count="7">
    <mergeCell ref="AP1:AR1"/>
    <mergeCell ref="AM1:AO1"/>
    <mergeCell ref="D1:J1"/>
    <mergeCell ref="L1:R1"/>
    <mergeCell ref="V1:X1"/>
    <mergeCell ref="Y1:AA1"/>
    <mergeCell ref="AC1:AI1"/>
  </mergeCells>
  <conditionalFormatting sqref="Y11">
    <cfRule type="cellIs" dxfId="2039" priority="1163" operator="greaterThan">
      <formula>0.03</formula>
    </cfRule>
    <cfRule type="cellIs" dxfId="2038" priority="1164" stopIfTrue="1" operator="lessThan">
      <formula>-0.03</formula>
    </cfRule>
  </conditionalFormatting>
  <conditionalFormatting sqref="V3:X14">
    <cfRule type="cellIs" dxfId="2037" priority="1177" operator="greaterThan">
      <formula>0.03</formula>
    </cfRule>
    <cfRule type="cellIs" dxfId="2036" priority="1178" stopIfTrue="1" operator="lessThan">
      <formula>-0.03</formula>
    </cfRule>
  </conditionalFormatting>
  <conditionalFormatting sqref="Y3">
    <cfRule type="cellIs" dxfId="2035" priority="1175" operator="greaterThan">
      <formula>0.03</formula>
    </cfRule>
    <cfRule type="cellIs" dxfId="2034" priority="1176" stopIfTrue="1" operator="lessThan">
      <formula>-0.03</formula>
    </cfRule>
  </conditionalFormatting>
  <conditionalFormatting sqref="Z3">
    <cfRule type="cellIs" dxfId="2033" priority="1173" operator="greaterThan">
      <formula>0.03</formula>
    </cfRule>
    <cfRule type="cellIs" dxfId="2032" priority="1174" stopIfTrue="1" operator="lessThan">
      <formula>-0.03</formula>
    </cfRule>
  </conditionalFormatting>
  <conditionalFormatting sqref="AA3">
    <cfRule type="cellIs" dxfId="2031" priority="1171" operator="greaterThan">
      <formula>0.03</formula>
    </cfRule>
    <cfRule type="cellIs" dxfId="2030" priority="1172" stopIfTrue="1" operator="lessThan">
      <formula>-0.03</formula>
    </cfRule>
  </conditionalFormatting>
  <conditionalFormatting sqref="Y7">
    <cfRule type="cellIs" dxfId="2029" priority="1169" operator="greaterThan">
      <formula>0.03</formula>
    </cfRule>
    <cfRule type="cellIs" dxfId="2028" priority="1170" stopIfTrue="1" operator="lessThan">
      <formula>-0.03</formula>
    </cfRule>
  </conditionalFormatting>
  <conditionalFormatting sqref="Z7">
    <cfRule type="cellIs" dxfId="2027" priority="1167" operator="greaterThan">
      <formula>0.03</formula>
    </cfRule>
    <cfRule type="cellIs" dxfId="2026" priority="1168" stopIfTrue="1" operator="lessThan">
      <formula>-0.03</formula>
    </cfRule>
  </conditionalFormatting>
  <conditionalFormatting sqref="AA7">
    <cfRule type="cellIs" dxfId="2025" priority="1165" operator="greaterThan">
      <formula>0.03</formula>
    </cfRule>
    <cfRule type="cellIs" dxfId="2024" priority="1166" stopIfTrue="1" operator="lessThan">
      <formula>-0.03</formula>
    </cfRule>
  </conditionalFormatting>
  <conditionalFormatting sqref="Z11">
    <cfRule type="cellIs" dxfId="2023" priority="1161" operator="greaterThan">
      <formula>0.03</formula>
    </cfRule>
    <cfRule type="cellIs" dxfId="2022" priority="1162" stopIfTrue="1" operator="lessThan">
      <formula>-0.03</formula>
    </cfRule>
  </conditionalFormatting>
  <conditionalFormatting sqref="AA11">
    <cfRule type="cellIs" dxfId="2021" priority="1159" operator="greaterThan">
      <formula>0.03</formula>
    </cfRule>
    <cfRule type="cellIs" dxfId="2020" priority="1160" stopIfTrue="1" operator="lessThan">
      <formula>-0.03</formula>
    </cfRule>
  </conditionalFormatting>
  <conditionalFormatting sqref="Y14:Z14">
    <cfRule type="cellIs" dxfId="2019" priority="1087" operator="greaterThan">
      <formula>0.03</formula>
    </cfRule>
    <cfRule type="cellIs" dxfId="2018" priority="1088" stopIfTrue="1" operator="lessThan">
      <formula>-0.03</formula>
    </cfRule>
  </conditionalFormatting>
  <conditionalFormatting sqref="AP3">
    <cfRule type="cellIs" dxfId="2017" priority="1041" operator="greaterThan">
      <formula>0.03</formula>
    </cfRule>
    <cfRule type="cellIs" dxfId="2016" priority="1042" stopIfTrue="1" operator="lessThan">
      <formula>-0.03</formula>
    </cfRule>
  </conditionalFormatting>
  <conditionalFormatting sqref="AQ3">
    <cfRule type="cellIs" dxfId="2015" priority="1039" operator="greaterThan">
      <formula>0.03</formula>
    </cfRule>
    <cfRule type="cellIs" dxfId="2014" priority="1040" stopIfTrue="1" operator="lessThan">
      <formula>-0.03</formula>
    </cfRule>
  </conditionalFormatting>
  <conditionalFormatting sqref="AP10:AQ10">
    <cfRule type="cellIs" dxfId="2013" priority="1025" operator="greaterThan">
      <formula>0.03</formula>
    </cfRule>
    <cfRule type="cellIs" dxfId="2012" priority="1026" stopIfTrue="1" operator="lessThan">
      <formula>-0.03</formula>
    </cfRule>
  </conditionalFormatting>
  <conditionalFormatting sqref="Y6:Z6">
    <cfRule type="cellIs" dxfId="2011" priority="1091" operator="greaterThan">
      <formula>0.03</formula>
    </cfRule>
    <cfRule type="cellIs" dxfId="2010" priority="1092" stopIfTrue="1" operator="lessThan">
      <formula>-0.03</formula>
    </cfRule>
  </conditionalFormatting>
  <conditionalFormatting sqref="Y10:Z10">
    <cfRule type="cellIs" dxfId="2009" priority="1089" operator="greaterThan">
      <formula>0.03</formula>
    </cfRule>
    <cfRule type="cellIs" dxfId="2008" priority="1090" stopIfTrue="1" operator="lessThan">
      <formula>-0.03</formula>
    </cfRule>
  </conditionalFormatting>
  <conditionalFormatting sqref="AR3">
    <cfRule type="cellIs" dxfId="2007" priority="1037" operator="greaterThan">
      <formula>0.03</formula>
    </cfRule>
    <cfRule type="cellIs" dxfId="2006" priority="1038" stopIfTrue="1" operator="lessThan">
      <formula>-0.03</formula>
    </cfRule>
  </conditionalFormatting>
  <conditionalFormatting sqref="AQ11">
    <cfRule type="cellIs" dxfId="2005" priority="1019" operator="greaterThan">
      <formula>0.03</formula>
    </cfRule>
    <cfRule type="cellIs" dxfId="2004" priority="1020" stopIfTrue="1" operator="lessThan">
      <formula>-0.03</formula>
    </cfRule>
  </conditionalFormatting>
  <conditionalFormatting sqref="AR7">
    <cfRule type="cellIs" dxfId="2003" priority="1027" operator="greaterThan">
      <formula>0.03</formula>
    </cfRule>
    <cfRule type="cellIs" dxfId="2002" priority="1028" stopIfTrue="1" operator="lessThan">
      <formula>-0.03</formula>
    </cfRule>
  </conditionalFormatting>
  <conditionalFormatting sqref="AP6:AQ6">
    <cfRule type="cellIs" dxfId="2001" priority="1035" operator="greaterThan">
      <formula>0.03</formula>
    </cfRule>
    <cfRule type="cellIs" dxfId="2000" priority="1036" stopIfTrue="1" operator="lessThan">
      <formula>-0.03</formula>
    </cfRule>
  </conditionalFormatting>
  <conditionalFormatting sqref="AM3:AO6">
    <cfRule type="cellIs" dxfId="1999" priority="1043" operator="greaterThan">
      <formula>0.03</formula>
    </cfRule>
    <cfRule type="cellIs" dxfId="1998" priority="1044" stopIfTrue="1" operator="lessThan">
      <formula>-0.03</formula>
    </cfRule>
  </conditionalFormatting>
  <conditionalFormatting sqref="AQ7">
    <cfRule type="cellIs" dxfId="1997" priority="1029" operator="greaterThan">
      <formula>0.03</formula>
    </cfRule>
    <cfRule type="cellIs" dxfId="1996" priority="1030" stopIfTrue="1" operator="lessThan">
      <formula>-0.03</formula>
    </cfRule>
  </conditionalFormatting>
  <conditionalFormatting sqref="AP11">
    <cfRule type="cellIs" dxfId="1995" priority="1021" operator="greaterThan">
      <formula>0.03</formula>
    </cfRule>
    <cfRule type="cellIs" dxfId="1994" priority="1022" stopIfTrue="1" operator="lessThan">
      <formula>-0.03</formula>
    </cfRule>
  </conditionalFormatting>
  <conditionalFormatting sqref="AR11">
    <cfRule type="cellIs" dxfId="1993" priority="1017" operator="greaterThan">
      <formula>0.03</formula>
    </cfRule>
    <cfRule type="cellIs" dxfId="1992" priority="1018" stopIfTrue="1" operator="lessThan">
      <formula>-0.03</formula>
    </cfRule>
  </conditionalFormatting>
  <conditionalFormatting sqref="AP14:AQ14">
    <cfRule type="cellIs" dxfId="1991" priority="1015" operator="greaterThan">
      <formula>0.03</formula>
    </cfRule>
    <cfRule type="cellIs" dxfId="1990" priority="1016" stopIfTrue="1" operator="lessThan">
      <formula>-0.03</formula>
    </cfRule>
  </conditionalFormatting>
  <conditionalFormatting sqref="AM7:AO10">
    <cfRule type="cellIs" dxfId="1989" priority="1033" operator="greaterThan">
      <formula>0.03</formula>
    </cfRule>
    <cfRule type="cellIs" dxfId="1988" priority="1034" stopIfTrue="1" operator="lessThan">
      <formula>-0.03</formula>
    </cfRule>
  </conditionalFormatting>
  <conditionalFormatting sqref="AP7">
    <cfRule type="cellIs" dxfId="1987" priority="1031" operator="greaterThan">
      <formula>0.03</formula>
    </cfRule>
    <cfRule type="cellIs" dxfId="1986" priority="1032" stopIfTrue="1" operator="lessThan">
      <formula>-0.03</formula>
    </cfRule>
  </conditionalFormatting>
  <conditionalFormatting sqref="AM11:AO14">
    <cfRule type="cellIs" dxfId="1985" priority="1023" operator="greaterThan">
      <formula>0.03</formula>
    </cfRule>
    <cfRule type="cellIs" dxfId="1984" priority="1024" stopIfTrue="1" operator="lessThan">
      <formula>-0.03</formula>
    </cfRule>
  </conditionalFormatting>
  <conditionalFormatting sqref="V110:AA110">
    <cfRule type="cellIs" dxfId="1983" priority="555" operator="greaterThan">
      <formula>0.03</formula>
    </cfRule>
    <cfRule type="cellIs" dxfId="1982" priority="556" stopIfTrue="1" operator="lessThan">
      <formula>-0.03</formula>
    </cfRule>
  </conditionalFormatting>
  <conditionalFormatting sqref="Y94:Z94">
    <cfRule type="cellIs" dxfId="1981" priority="103" operator="greaterThan">
      <formula>0.03</formula>
    </cfRule>
    <cfRule type="cellIs" dxfId="1980" priority="104" stopIfTrue="1" operator="lessThan">
      <formula>-0.03</formula>
    </cfRule>
  </conditionalFormatting>
  <conditionalFormatting sqref="V113:AA113">
    <cfRule type="cellIs" dxfId="1979" priority="553" operator="greaterThan">
      <formula>0.03</formula>
    </cfRule>
    <cfRule type="cellIs" dxfId="1978" priority="554" stopIfTrue="1" operator="lessThan">
      <formula>-0.03</formula>
    </cfRule>
  </conditionalFormatting>
  <conditionalFormatting sqref="V114:AA114">
    <cfRule type="cellIs" dxfId="1977" priority="561" operator="greaterThan">
      <formula>0.03</formula>
    </cfRule>
    <cfRule type="cellIs" dxfId="1976" priority="562" stopIfTrue="1" operator="lessThan">
      <formula>-0.03</formula>
    </cfRule>
  </conditionalFormatting>
  <conditionalFormatting sqref="V107:AA107 V109:AA109">
    <cfRule type="cellIs" dxfId="1975" priority="557" operator="greaterThan">
      <formula>0.03</formula>
    </cfRule>
    <cfRule type="cellIs" dxfId="1974" priority="558" stopIfTrue="1" operator="lessThan">
      <formula>-0.03</formula>
    </cfRule>
  </conditionalFormatting>
  <conditionalFormatting sqref="V111:AA112">
    <cfRule type="cellIs" dxfId="1973" priority="559" operator="greaterThan">
      <formula>0.03</formula>
    </cfRule>
    <cfRule type="cellIs" dxfId="1972" priority="560" stopIfTrue="1" operator="lessThan">
      <formula>-0.03</formula>
    </cfRule>
  </conditionalFormatting>
  <conditionalFormatting sqref="Z103">
    <cfRule type="cellIs" dxfId="1971" priority="107" operator="greaterThan">
      <formula>0.03</formula>
    </cfRule>
    <cfRule type="cellIs" dxfId="1970" priority="108" stopIfTrue="1" operator="lessThan">
      <formula>-0.03</formula>
    </cfRule>
  </conditionalFormatting>
  <conditionalFormatting sqref="Y103">
    <cfRule type="cellIs" dxfId="1969" priority="109" operator="greaterThan">
      <formula>0.03</formula>
    </cfRule>
    <cfRule type="cellIs" dxfId="1968" priority="110" stopIfTrue="1" operator="lessThan">
      <formula>-0.03</formula>
    </cfRule>
  </conditionalFormatting>
  <conditionalFormatting sqref="AA103">
    <cfRule type="cellIs" dxfId="1967" priority="105" operator="greaterThan">
      <formula>0.03</formula>
    </cfRule>
    <cfRule type="cellIs" dxfId="1966" priority="106" stopIfTrue="1" operator="lessThan">
      <formula>-0.03</formula>
    </cfRule>
  </conditionalFormatting>
  <conditionalFormatting sqref="AR91">
    <cfRule type="cellIs" dxfId="1965" priority="89" operator="greaterThan">
      <formula>0.03</formula>
    </cfRule>
    <cfRule type="cellIs" dxfId="1964" priority="90" stopIfTrue="1" operator="lessThan">
      <formula>-0.03</formula>
    </cfRule>
  </conditionalFormatting>
  <conditionalFormatting sqref="AM95:AO98">
    <cfRule type="cellIs" dxfId="1963" priority="85" operator="greaterThan">
      <formula>0.03</formula>
    </cfRule>
    <cfRule type="cellIs" dxfId="1962" priority="86" stopIfTrue="1" operator="lessThan">
      <formula>-0.03</formula>
    </cfRule>
  </conditionalFormatting>
  <conditionalFormatting sqref="AP94:AQ94">
    <cfRule type="cellIs" dxfId="1961" priority="87" operator="greaterThan">
      <formula>0.03</formula>
    </cfRule>
    <cfRule type="cellIs" dxfId="1960" priority="88" stopIfTrue="1" operator="lessThan">
      <formula>-0.03</formula>
    </cfRule>
  </conditionalFormatting>
  <conditionalFormatting sqref="AP95">
    <cfRule type="cellIs" dxfId="1959" priority="83" operator="greaterThan">
      <formula>0.03</formula>
    </cfRule>
    <cfRule type="cellIs" dxfId="1958" priority="84" stopIfTrue="1" operator="lessThan">
      <formula>-0.03</formula>
    </cfRule>
  </conditionalFormatting>
  <conditionalFormatting sqref="AQ95">
    <cfRule type="cellIs" dxfId="1957" priority="81" operator="greaterThan">
      <formula>0.03</formula>
    </cfRule>
    <cfRule type="cellIs" dxfId="1956" priority="82" stopIfTrue="1" operator="lessThan">
      <formula>-0.03</formula>
    </cfRule>
  </conditionalFormatting>
  <conditionalFormatting sqref="AP98:AQ98">
    <cfRule type="cellIs" dxfId="1955" priority="77" operator="greaterThan">
      <formula>0.03</formula>
    </cfRule>
    <cfRule type="cellIs" dxfId="1954" priority="78" stopIfTrue="1" operator="lessThan">
      <formula>-0.03</formula>
    </cfRule>
  </conditionalFormatting>
  <conditionalFormatting sqref="AQ91">
    <cfRule type="cellIs" dxfId="1953" priority="91" operator="greaterThan">
      <formula>0.03</formula>
    </cfRule>
    <cfRule type="cellIs" dxfId="1952" priority="92" stopIfTrue="1" operator="lessThan">
      <formula>-0.03</formula>
    </cfRule>
  </conditionalFormatting>
  <conditionalFormatting sqref="AR95">
    <cfRule type="cellIs" dxfId="1951" priority="79" operator="greaterThan">
      <formula>0.03</formula>
    </cfRule>
    <cfRule type="cellIs" dxfId="1950" priority="80" stopIfTrue="1" operator="lessThan">
      <formula>-0.03</formula>
    </cfRule>
  </conditionalFormatting>
  <conditionalFormatting sqref="AM99:AO102">
    <cfRule type="cellIs" dxfId="1949" priority="75" operator="greaterThan">
      <formula>0.03</formula>
    </cfRule>
    <cfRule type="cellIs" dxfId="1948" priority="76" stopIfTrue="1" operator="lessThan">
      <formula>-0.03</formula>
    </cfRule>
  </conditionalFormatting>
  <conditionalFormatting sqref="AP99">
    <cfRule type="cellIs" dxfId="1947" priority="73" operator="greaterThan">
      <formula>0.03</formula>
    </cfRule>
    <cfRule type="cellIs" dxfId="1946" priority="74" stopIfTrue="1" operator="lessThan">
      <formula>-0.03</formula>
    </cfRule>
  </conditionalFormatting>
  <conditionalFormatting sqref="AQ99">
    <cfRule type="cellIs" dxfId="1945" priority="71" operator="greaterThan">
      <formula>0.03</formula>
    </cfRule>
    <cfRule type="cellIs" dxfId="1944" priority="72" stopIfTrue="1" operator="lessThan">
      <formula>-0.03</formula>
    </cfRule>
  </conditionalFormatting>
  <conditionalFormatting sqref="AR99">
    <cfRule type="cellIs" dxfId="1943" priority="69" operator="greaterThan">
      <formula>0.03</formula>
    </cfRule>
    <cfRule type="cellIs" dxfId="1942" priority="70" stopIfTrue="1" operator="lessThan">
      <formula>-0.03</formula>
    </cfRule>
  </conditionalFormatting>
  <conditionalFormatting sqref="AP102:AQ102">
    <cfRule type="cellIs" dxfId="1941" priority="67" operator="greaterThan">
      <formula>0.03</formula>
    </cfRule>
    <cfRule type="cellIs" dxfId="1940" priority="68" stopIfTrue="1" operator="lessThan">
      <formula>-0.03</formula>
    </cfRule>
  </conditionalFormatting>
  <conditionalFormatting sqref="AQ103">
    <cfRule type="cellIs" dxfId="1939" priority="61" operator="greaterThan">
      <formula>0.03</formula>
    </cfRule>
    <cfRule type="cellIs" dxfId="1938" priority="62" stopIfTrue="1" operator="lessThan">
      <formula>-0.03</formula>
    </cfRule>
  </conditionalFormatting>
  <conditionalFormatting sqref="V79:X90">
    <cfRule type="cellIs" dxfId="1937" priority="55" operator="greaterThan">
      <formula>0.03</formula>
    </cfRule>
    <cfRule type="cellIs" dxfId="1936" priority="56" stopIfTrue="1" operator="lessThan">
      <formula>-0.03</formula>
    </cfRule>
  </conditionalFormatting>
  <conditionalFormatting sqref="Y79">
    <cfRule type="cellIs" dxfId="1935" priority="53" operator="greaterThan">
      <formula>0.03</formula>
    </cfRule>
    <cfRule type="cellIs" dxfId="1934" priority="54" stopIfTrue="1" operator="lessThan">
      <formula>-0.03</formula>
    </cfRule>
  </conditionalFormatting>
  <conditionalFormatting sqref="AM83:AO86">
    <cfRule type="cellIs" dxfId="1933" priority="19" operator="greaterThan">
      <formula>0.03</formula>
    </cfRule>
    <cfRule type="cellIs" dxfId="1932" priority="20" stopIfTrue="1" operator="lessThan">
      <formula>-0.03</formula>
    </cfRule>
  </conditionalFormatting>
  <conditionalFormatting sqref="Z87">
    <cfRule type="cellIs" dxfId="1931" priority="39" operator="greaterThan">
      <formula>0.03</formula>
    </cfRule>
    <cfRule type="cellIs" dxfId="1930" priority="40" stopIfTrue="1" operator="lessThan">
      <formula>-0.03</formula>
    </cfRule>
  </conditionalFormatting>
  <conditionalFormatting sqref="AM103:AO106">
    <cfRule type="cellIs" dxfId="1929" priority="65" operator="greaterThan">
      <formula>0.03</formula>
    </cfRule>
    <cfRule type="cellIs" dxfId="1928" priority="66" stopIfTrue="1" operator="lessThan">
      <formula>-0.03</formula>
    </cfRule>
  </conditionalFormatting>
  <conditionalFormatting sqref="AP103">
    <cfRule type="cellIs" dxfId="1927" priority="63" operator="greaterThan">
      <formula>0.03</formula>
    </cfRule>
    <cfRule type="cellIs" dxfId="1926" priority="64" stopIfTrue="1" operator="lessThan">
      <formula>-0.03</formula>
    </cfRule>
  </conditionalFormatting>
  <conditionalFormatting sqref="AR103">
    <cfRule type="cellIs" dxfId="1925" priority="59" operator="greaterThan">
      <formula>0.03</formula>
    </cfRule>
    <cfRule type="cellIs" dxfId="1924" priority="60" stopIfTrue="1" operator="lessThan">
      <formula>-0.03</formula>
    </cfRule>
  </conditionalFormatting>
  <conditionalFormatting sqref="Z79">
    <cfRule type="cellIs" dxfId="1923" priority="51" operator="greaterThan">
      <formula>0.03</formula>
    </cfRule>
    <cfRule type="cellIs" dxfId="1922" priority="52" stopIfTrue="1" operator="lessThan">
      <formula>-0.03</formula>
    </cfRule>
  </conditionalFormatting>
  <conditionalFormatting sqref="Y86:Z86">
    <cfRule type="cellIs" dxfId="1921" priority="33" operator="greaterThan">
      <formula>0.03</formula>
    </cfRule>
    <cfRule type="cellIs" dxfId="1920" priority="34" stopIfTrue="1" operator="lessThan">
      <formula>-0.03</formula>
    </cfRule>
  </conditionalFormatting>
  <conditionalFormatting sqref="Y87">
    <cfRule type="cellIs" dxfId="1919" priority="41" operator="greaterThan">
      <formula>0.03</formula>
    </cfRule>
    <cfRule type="cellIs" dxfId="1918" priority="42" stopIfTrue="1" operator="lessThan">
      <formula>-0.03</formula>
    </cfRule>
  </conditionalFormatting>
  <conditionalFormatting sqref="AA79">
    <cfRule type="cellIs" dxfId="1917" priority="49" operator="greaterThan">
      <formula>0.03</formula>
    </cfRule>
    <cfRule type="cellIs" dxfId="1916" priority="50" stopIfTrue="1" operator="lessThan">
      <formula>-0.03</formula>
    </cfRule>
  </conditionalFormatting>
  <conditionalFormatting sqref="AP106:AQ106">
    <cfRule type="cellIs" dxfId="1915" priority="57" operator="greaterThan">
      <formula>0.03</formula>
    </cfRule>
    <cfRule type="cellIs" dxfId="1914" priority="58" stopIfTrue="1" operator="lessThan">
      <formula>-0.03</formula>
    </cfRule>
  </conditionalFormatting>
  <conditionalFormatting sqref="AP82:AQ82">
    <cfRule type="cellIs" dxfId="1913" priority="21" operator="greaterThan">
      <formula>0.03</formula>
    </cfRule>
    <cfRule type="cellIs" dxfId="1912" priority="22" stopIfTrue="1" operator="lessThan">
      <formula>-0.03</formula>
    </cfRule>
  </conditionalFormatting>
  <conditionalFormatting sqref="AA83">
    <cfRule type="cellIs" dxfId="1911" priority="43" operator="greaterThan">
      <formula>0.03</formula>
    </cfRule>
    <cfRule type="cellIs" dxfId="1910" priority="44" stopIfTrue="1" operator="lessThan">
      <formula>-0.03</formula>
    </cfRule>
  </conditionalFormatting>
  <conditionalFormatting sqref="Y82:Z82">
    <cfRule type="cellIs" dxfId="1909" priority="35" operator="greaterThan">
      <formula>0.03</formula>
    </cfRule>
    <cfRule type="cellIs" dxfId="1908" priority="36" stopIfTrue="1" operator="lessThan">
      <formula>-0.03</formula>
    </cfRule>
  </conditionalFormatting>
  <conditionalFormatting sqref="Y90:Z90">
    <cfRule type="cellIs" dxfId="1907" priority="31" operator="greaterThan">
      <formula>0.03</formula>
    </cfRule>
    <cfRule type="cellIs" dxfId="1906" priority="32" stopIfTrue="1" operator="lessThan">
      <formula>-0.03</formula>
    </cfRule>
  </conditionalFormatting>
  <conditionalFormatting sqref="AM79:AO82">
    <cfRule type="cellIs" dxfId="1905" priority="29" operator="greaterThan">
      <formula>0.03</formula>
    </cfRule>
    <cfRule type="cellIs" dxfId="1904" priority="30" stopIfTrue="1" operator="lessThan">
      <formula>-0.03</formula>
    </cfRule>
  </conditionalFormatting>
  <conditionalFormatting sqref="AP79">
    <cfRule type="cellIs" dxfId="1903" priority="27" operator="greaterThan">
      <formula>0.03</formula>
    </cfRule>
    <cfRule type="cellIs" dxfId="1902" priority="28" stopIfTrue="1" operator="lessThan">
      <formula>-0.03</formula>
    </cfRule>
  </conditionalFormatting>
  <conditionalFormatting sqref="Y83">
    <cfRule type="cellIs" dxfId="1901" priority="47" operator="greaterThan">
      <formula>0.03</formula>
    </cfRule>
    <cfRule type="cellIs" dxfId="1900" priority="48" stopIfTrue="1" operator="lessThan">
      <formula>-0.03</formula>
    </cfRule>
  </conditionalFormatting>
  <conditionalFormatting sqref="Z83">
    <cfRule type="cellIs" dxfId="1899" priority="45" operator="greaterThan">
      <formula>0.03</formula>
    </cfRule>
    <cfRule type="cellIs" dxfId="1898" priority="46" stopIfTrue="1" operator="lessThan">
      <formula>-0.03</formula>
    </cfRule>
  </conditionalFormatting>
  <conditionalFormatting sqref="AA87">
    <cfRule type="cellIs" dxfId="1897" priority="37" operator="greaterThan">
      <formula>0.03</formula>
    </cfRule>
    <cfRule type="cellIs" dxfId="1896" priority="38" stopIfTrue="1" operator="lessThan">
      <formula>-0.03</formula>
    </cfRule>
  </conditionalFormatting>
  <conditionalFormatting sqref="AQ79">
    <cfRule type="cellIs" dxfId="1895" priority="25" operator="greaterThan">
      <formula>0.03</formula>
    </cfRule>
    <cfRule type="cellIs" dxfId="1894" priority="26" stopIfTrue="1" operator="lessThan">
      <formula>-0.03</formula>
    </cfRule>
  </conditionalFormatting>
  <conditionalFormatting sqref="AR79">
    <cfRule type="cellIs" dxfId="1893" priority="23" operator="greaterThan">
      <formula>0.03</formula>
    </cfRule>
    <cfRule type="cellIs" dxfId="1892" priority="24" stopIfTrue="1" operator="lessThan">
      <formula>-0.03</formula>
    </cfRule>
  </conditionalFormatting>
  <conditionalFormatting sqref="AM110:AR110">
    <cfRule type="cellIs" dxfId="1891" priority="453" operator="greaterThan">
      <formula>0.03</formula>
    </cfRule>
    <cfRule type="cellIs" dxfId="1890" priority="454" stopIfTrue="1" operator="lessThan">
      <formula>-0.03</formula>
    </cfRule>
  </conditionalFormatting>
  <conditionalFormatting sqref="V108:AA108">
    <cfRule type="cellIs" dxfId="1889" priority="463" operator="greaterThan">
      <formula>0.03</formula>
    </cfRule>
    <cfRule type="cellIs" dxfId="1888" priority="464" stopIfTrue="1" operator="lessThan">
      <formula>-0.03</formula>
    </cfRule>
  </conditionalFormatting>
  <conditionalFormatting sqref="AM108:AR108">
    <cfRule type="cellIs" dxfId="1887" priority="449" operator="greaterThan">
      <formula>0.03</formula>
    </cfRule>
    <cfRule type="cellIs" dxfId="1886" priority="450" stopIfTrue="1" operator="lessThan">
      <formula>-0.03</formula>
    </cfRule>
  </conditionalFormatting>
  <conditionalFormatting sqref="AM114:AR114">
    <cfRule type="cellIs" dxfId="1885" priority="459" operator="greaterThan">
      <formula>0.03</formula>
    </cfRule>
    <cfRule type="cellIs" dxfId="1884" priority="460" stopIfTrue="1" operator="lessThan">
      <formula>-0.03</formula>
    </cfRule>
  </conditionalFormatting>
  <conditionalFormatting sqref="AM111:AR112">
    <cfRule type="cellIs" dxfId="1883" priority="457" operator="greaterThan">
      <formula>0.03</formula>
    </cfRule>
    <cfRule type="cellIs" dxfId="1882" priority="458" stopIfTrue="1" operator="lessThan">
      <formula>-0.03</formula>
    </cfRule>
  </conditionalFormatting>
  <conditionalFormatting sqref="AQ87">
    <cfRule type="cellIs" dxfId="1881" priority="5" operator="greaterThan">
      <formula>0.03</formula>
    </cfRule>
    <cfRule type="cellIs" dxfId="1880" priority="6" stopIfTrue="1" operator="lessThan">
      <formula>-0.03</formula>
    </cfRule>
  </conditionalFormatting>
  <conditionalFormatting sqref="AM107:AR107 AM109:AR109">
    <cfRule type="cellIs" dxfId="1879" priority="455" operator="greaterThan">
      <formula>0.03</formula>
    </cfRule>
    <cfRule type="cellIs" dxfId="1878" priority="456" stopIfTrue="1" operator="lessThan">
      <formula>-0.03</formula>
    </cfRule>
  </conditionalFormatting>
  <conditionalFormatting sqref="AM113:AR113">
    <cfRule type="cellIs" dxfId="1877" priority="451" operator="greaterThan">
      <formula>0.03</formula>
    </cfRule>
    <cfRule type="cellIs" dxfId="1876" priority="452" stopIfTrue="1" operator="lessThan">
      <formula>-0.03</formula>
    </cfRule>
  </conditionalFormatting>
  <conditionalFormatting sqref="AP90:AQ90">
    <cfRule type="cellIs" dxfId="1875" priority="1" operator="greaterThan">
      <formula>0.03</formula>
    </cfRule>
    <cfRule type="cellIs" dxfId="1874" priority="2" stopIfTrue="1" operator="lessThan">
      <formula>-0.03</formula>
    </cfRule>
  </conditionalFormatting>
  <conditionalFormatting sqref="Y23">
    <cfRule type="cellIs" dxfId="1873" priority="433" operator="greaterThan">
      <formula>0.03</formula>
    </cfRule>
    <cfRule type="cellIs" dxfId="1872" priority="434" stopIfTrue="1" operator="lessThan">
      <formula>-0.03</formula>
    </cfRule>
  </conditionalFormatting>
  <conditionalFormatting sqref="V15:X26">
    <cfRule type="cellIs" dxfId="1871" priority="447" operator="greaterThan">
      <formula>0.03</formula>
    </cfRule>
    <cfRule type="cellIs" dxfId="1870" priority="448" stopIfTrue="1" operator="lessThan">
      <formula>-0.03</formula>
    </cfRule>
  </conditionalFormatting>
  <conditionalFormatting sqref="Y15">
    <cfRule type="cellIs" dxfId="1869" priority="445" operator="greaterThan">
      <formula>0.03</formula>
    </cfRule>
    <cfRule type="cellIs" dxfId="1868" priority="446" stopIfTrue="1" operator="lessThan">
      <formula>-0.03</formula>
    </cfRule>
  </conditionalFormatting>
  <conditionalFormatting sqref="Z15">
    <cfRule type="cellIs" dxfId="1867" priority="443" operator="greaterThan">
      <formula>0.03</formula>
    </cfRule>
    <cfRule type="cellIs" dxfId="1866" priority="444" stopIfTrue="1" operator="lessThan">
      <formula>-0.03</formula>
    </cfRule>
  </conditionalFormatting>
  <conditionalFormatting sqref="AA15">
    <cfRule type="cellIs" dxfId="1865" priority="441" operator="greaterThan">
      <formula>0.03</formula>
    </cfRule>
    <cfRule type="cellIs" dxfId="1864" priority="442" stopIfTrue="1" operator="lessThan">
      <formula>-0.03</formula>
    </cfRule>
  </conditionalFormatting>
  <conditionalFormatting sqref="Y19">
    <cfRule type="cellIs" dxfId="1863" priority="439" operator="greaterThan">
      <formula>0.03</formula>
    </cfRule>
    <cfRule type="cellIs" dxfId="1862" priority="440" stopIfTrue="1" operator="lessThan">
      <formula>-0.03</formula>
    </cfRule>
  </conditionalFormatting>
  <conditionalFormatting sqref="Z19">
    <cfRule type="cellIs" dxfId="1861" priority="437" operator="greaterThan">
      <formula>0.03</formula>
    </cfRule>
    <cfRule type="cellIs" dxfId="1860" priority="438" stopIfTrue="1" operator="lessThan">
      <formula>-0.03</formula>
    </cfRule>
  </conditionalFormatting>
  <conditionalFormatting sqref="AA19">
    <cfRule type="cellIs" dxfId="1859" priority="435" operator="greaterThan">
      <formula>0.03</formula>
    </cfRule>
    <cfRule type="cellIs" dxfId="1858" priority="436" stopIfTrue="1" operator="lessThan">
      <formula>-0.03</formula>
    </cfRule>
  </conditionalFormatting>
  <conditionalFormatting sqref="Z23">
    <cfRule type="cellIs" dxfId="1857" priority="431" operator="greaterThan">
      <formula>0.03</formula>
    </cfRule>
    <cfRule type="cellIs" dxfId="1856" priority="432" stopIfTrue="1" operator="lessThan">
      <formula>-0.03</formula>
    </cfRule>
  </conditionalFormatting>
  <conditionalFormatting sqref="AA23">
    <cfRule type="cellIs" dxfId="1855" priority="429" operator="greaterThan">
      <formula>0.03</formula>
    </cfRule>
    <cfRule type="cellIs" dxfId="1854" priority="430" stopIfTrue="1" operator="lessThan">
      <formula>-0.03</formula>
    </cfRule>
  </conditionalFormatting>
  <conditionalFormatting sqref="Y26:Z26">
    <cfRule type="cellIs" dxfId="1853" priority="417" operator="greaterThan">
      <formula>0.03</formula>
    </cfRule>
    <cfRule type="cellIs" dxfId="1852" priority="418" stopIfTrue="1" operator="lessThan">
      <formula>-0.03</formula>
    </cfRule>
  </conditionalFormatting>
  <conditionalFormatting sqref="AP15">
    <cfRule type="cellIs" dxfId="1851" priority="411" operator="greaterThan">
      <formula>0.03</formula>
    </cfRule>
    <cfRule type="cellIs" dxfId="1850" priority="412" stopIfTrue="1" operator="lessThan">
      <formula>-0.03</formula>
    </cfRule>
  </conditionalFormatting>
  <conditionalFormatting sqref="AQ15">
    <cfRule type="cellIs" dxfId="1849" priority="409" operator="greaterThan">
      <formula>0.03</formula>
    </cfRule>
    <cfRule type="cellIs" dxfId="1848" priority="410" stopIfTrue="1" operator="lessThan">
      <formula>-0.03</formula>
    </cfRule>
  </conditionalFormatting>
  <conditionalFormatting sqref="AP22:AQ22">
    <cfRule type="cellIs" dxfId="1847" priority="395" operator="greaterThan">
      <formula>0.03</formula>
    </cfRule>
    <cfRule type="cellIs" dxfId="1846" priority="396" stopIfTrue="1" operator="lessThan">
      <formula>-0.03</formula>
    </cfRule>
  </conditionalFormatting>
  <conditionalFormatting sqref="Y18:Z18">
    <cfRule type="cellIs" dxfId="1845" priority="421" operator="greaterThan">
      <formula>0.03</formula>
    </cfRule>
    <cfRule type="cellIs" dxfId="1844" priority="422" stopIfTrue="1" operator="lessThan">
      <formula>-0.03</formula>
    </cfRule>
  </conditionalFormatting>
  <conditionalFormatting sqref="Y22:Z22">
    <cfRule type="cellIs" dxfId="1843" priority="419" operator="greaterThan">
      <formula>0.03</formula>
    </cfRule>
    <cfRule type="cellIs" dxfId="1842" priority="420" stopIfTrue="1" operator="lessThan">
      <formula>-0.03</formula>
    </cfRule>
  </conditionalFormatting>
  <conditionalFormatting sqref="AR15">
    <cfRule type="cellIs" dxfId="1841" priority="407" operator="greaterThan">
      <formula>0.03</formula>
    </cfRule>
    <cfRule type="cellIs" dxfId="1840" priority="408" stopIfTrue="1" operator="lessThan">
      <formula>-0.03</formula>
    </cfRule>
  </conditionalFormatting>
  <conditionalFormatting sqref="AQ23">
    <cfRule type="cellIs" dxfId="1839" priority="389" operator="greaterThan">
      <formula>0.03</formula>
    </cfRule>
    <cfRule type="cellIs" dxfId="1838" priority="390" stopIfTrue="1" operator="lessThan">
      <formula>-0.03</formula>
    </cfRule>
  </conditionalFormatting>
  <conditionalFormatting sqref="AR19">
    <cfRule type="cellIs" dxfId="1837" priority="397" operator="greaterThan">
      <formula>0.03</formula>
    </cfRule>
    <cfRule type="cellIs" dxfId="1836" priority="398" stopIfTrue="1" operator="lessThan">
      <formula>-0.03</formula>
    </cfRule>
  </conditionalFormatting>
  <conditionalFormatting sqref="AP18:AQ18">
    <cfRule type="cellIs" dxfId="1835" priority="405" operator="greaterThan">
      <formula>0.03</formula>
    </cfRule>
    <cfRule type="cellIs" dxfId="1834" priority="406" stopIfTrue="1" operator="lessThan">
      <formula>-0.03</formula>
    </cfRule>
  </conditionalFormatting>
  <conditionalFormatting sqref="AM15:AO18">
    <cfRule type="cellIs" dxfId="1833" priority="413" operator="greaterThan">
      <formula>0.03</formula>
    </cfRule>
    <cfRule type="cellIs" dxfId="1832" priority="414" stopIfTrue="1" operator="lessThan">
      <formula>-0.03</formula>
    </cfRule>
  </conditionalFormatting>
  <conditionalFormatting sqref="AQ19">
    <cfRule type="cellIs" dxfId="1831" priority="399" operator="greaterThan">
      <formula>0.03</formula>
    </cfRule>
    <cfRule type="cellIs" dxfId="1830" priority="400" stopIfTrue="1" operator="lessThan">
      <formula>-0.03</formula>
    </cfRule>
  </conditionalFormatting>
  <conditionalFormatting sqref="AP23">
    <cfRule type="cellIs" dxfId="1829" priority="391" operator="greaterThan">
      <formula>0.03</formula>
    </cfRule>
    <cfRule type="cellIs" dxfId="1828" priority="392" stopIfTrue="1" operator="lessThan">
      <formula>-0.03</formula>
    </cfRule>
  </conditionalFormatting>
  <conditionalFormatting sqref="AR23">
    <cfRule type="cellIs" dxfId="1827" priority="387" operator="greaterThan">
      <formula>0.03</formula>
    </cfRule>
    <cfRule type="cellIs" dxfId="1826" priority="388" stopIfTrue="1" operator="lessThan">
      <formula>-0.03</formula>
    </cfRule>
  </conditionalFormatting>
  <conditionalFormatting sqref="AP26:AQ26">
    <cfRule type="cellIs" dxfId="1825" priority="385" operator="greaterThan">
      <formula>0.03</formula>
    </cfRule>
    <cfRule type="cellIs" dxfId="1824" priority="386" stopIfTrue="1" operator="lessThan">
      <formula>-0.03</formula>
    </cfRule>
  </conditionalFormatting>
  <conditionalFormatting sqref="AM19:AO22">
    <cfRule type="cellIs" dxfId="1823" priority="403" operator="greaterThan">
      <formula>0.03</formula>
    </cfRule>
    <cfRule type="cellIs" dxfId="1822" priority="404" stopIfTrue="1" operator="lessThan">
      <formula>-0.03</formula>
    </cfRule>
  </conditionalFormatting>
  <conditionalFormatting sqref="AP19">
    <cfRule type="cellIs" dxfId="1821" priority="401" operator="greaterThan">
      <formula>0.03</formula>
    </cfRule>
    <cfRule type="cellIs" dxfId="1820" priority="402" stopIfTrue="1" operator="lessThan">
      <formula>-0.03</formula>
    </cfRule>
  </conditionalFormatting>
  <conditionalFormatting sqref="AM23:AO26">
    <cfRule type="cellIs" dxfId="1819" priority="393" operator="greaterThan">
      <formula>0.03</formula>
    </cfRule>
    <cfRule type="cellIs" dxfId="1818" priority="394" stopIfTrue="1" operator="lessThan">
      <formula>-0.03</formula>
    </cfRule>
  </conditionalFormatting>
  <conditionalFormatting sqref="V27:X30">
    <cfRule type="cellIs" dxfId="1817" priority="373" operator="greaterThan">
      <formula>0.03</formula>
    </cfRule>
    <cfRule type="cellIs" dxfId="1816" priority="374" stopIfTrue="1" operator="lessThan">
      <formula>-0.03</formula>
    </cfRule>
  </conditionalFormatting>
  <conditionalFormatting sqref="Y27">
    <cfRule type="cellIs" dxfId="1815" priority="371" operator="greaterThan">
      <formula>0.03</formula>
    </cfRule>
    <cfRule type="cellIs" dxfId="1814" priority="372" stopIfTrue="1" operator="lessThan">
      <formula>-0.03</formula>
    </cfRule>
  </conditionalFormatting>
  <conditionalFormatting sqref="Z27">
    <cfRule type="cellIs" dxfId="1813" priority="369" operator="greaterThan">
      <formula>0.03</formula>
    </cfRule>
    <cfRule type="cellIs" dxfId="1812" priority="370" stopIfTrue="1" operator="lessThan">
      <formula>-0.03</formula>
    </cfRule>
  </conditionalFormatting>
  <conditionalFormatting sqref="AA27">
    <cfRule type="cellIs" dxfId="1811" priority="367" operator="greaterThan">
      <formula>0.03</formula>
    </cfRule>
    <cfRule type="cellIs" dxfId="1810" priority="368" stopIfTrue="1" operator="lessThan">
      <formula>-0.03</formula>
    </cfRule>
  </conditionalFormatting>
  <conditionalFormatting sqref="AP27">
    <cfRule type="cellIs" dxfId="1809" priority="361" operator="greaterThan">
      <formula>0.03</formula>
    </cfRule>
    <cfRule type="cellIs" dxfId="1808" priority="362" stopIfTrue="1" operator="lessThan">
      <formula>-0.03</formula>
    </cfRule>
  </conditionalFormatting>
  <conditionalFormatting sqref="AQ27">
    <cfRule type="cellIs" dxfId="1807" priority="359" operator="greaterThan">
      <formula>0.03</formula>
    </cfRule>
    <cfRule type="cellIs" dxfId="1806" priority="360" stopIfTrue="1" operator="lessThan">
      <formula>-0.03</formula>
    </cfRule>
  </conditionalFormatting>
  <conditionalFormatting sqref="Y30:Z30">
    <cfRule type="cellIs" dxfId="1805" priority="365" operator="greaterThan">
      <formula>0.03</formula>
    </cfRule>
    <cfRule type="cellIs" dxfId="1804" priority="366" stopIfTrue="1" operator="lessThan">
      <formula>-0.03</formula>
    </cfRule>
  </conditionalFormatting>
  <conditionalFormatting sqref="AR27">
    <cfRule type="cellIs" dxfId="1803" priority="357" operator="greaterThan">
      <formula>0.03</formula>
    </cfRule>
    <cfRule type="cellIs" dxfId="1802" priority="358" stopIfTrue="1" operator="lessThan">
      <formula>-0.03</formula>
    </cfRule>
  </conditionalFormatting>
  <conditionalFormatting sqref="AP30:AQ30">
    <cfRule type="cellIs" dxfId="1801" priority="355" operator="greaterThan">
      <formula>0.03</formula>
    </cfRule>
    <cfRule type="cellIs" dxfId="1800" priority="356" stopIfTrue="1" operator="lessThan">
      <formula>-0.03</formula>
    </cfRule>
  </conditionalFormatting>
  <conditionalFormatting sqref="AM27:AO30">
    <cfRule type="cellIs" dxfId="1799" priority="363" operator="greaterThan">
      <formula>0.03</formula>
    </cfRule>
    <cfRule type="cellIs" dxfId="1798" priority="364" stopIfTrue="1" operator="lessThan">
      <formula>-0.03</formula>
    </cfRule>
  </conditionalFormatting>
  <conditionalFormatting sqref="Y35">
    <cfRule type="cellIs" dxfId="1797" priority="345" operator="greaterThan">
      <formula>0.03</formula>
    </cfRule>
    <cfRule type="cellIs" dxfId="1796" priority="346" stopIfTrue="1" operator="lessThan">
      <formula>-0.03</formula>
    </cfRule>
  </conditionalFormatting>
  <conditionalFormatting sqref="V31:X38">
    <cfRule type="cellIs" dxfId="1795" priority="353" operator="greaterThan">
      <formula>0.03</formula>
    </cfRule>
    <cfRule type="cellIs" dxfId="1794" priority="354" stopIfTrue="1" operator="lessThan">
      <formula>-0.03</formula>
    </cfRule>
  </conditionalFormatting>
  <conditionalFormatting sqref="Y31">
    <cfRule type="cellIs" dxfId="1793" priority="351" operator="greaterThan">
      <formula>0.03</formula>
    </cfRule>
    <cfRule type="cellIs" dxfId="1792" priority="352" stopIfTrue="1" operator="lessThan">
      <formula>-0.03</formula>
    </cfRule>
  </conditionalFormatting>
  <conditionalFormatting sqref="Z31">
    <cfRule type="cellIs" dxfId="1791" priority="349" operator="greaterThan">
      <formula>0.03</formula>
    </cfRule>
    <cfRule type="cellIs" dxfId="1790" priority="350" stopIfTrue="1" operator="lessThan">
      <formula>-0.03</formula>
    </cfRule>
  </conditionalFormatting>
  <conditionalFormatting sqref="AA31">
    <cfRule type="cellIs" dxfId="1789" priority="347" operator="greaterThan">
      <formula>0.03</formula>
    </cfRule>
    <cfRule type="cellIs" dxfId="1788" priority="348" stopIfTrue="1" operator="lessThan">
      <formula>-0.03</formula>
    </cfRule>
  </conditionalFormatting>
  <conditionalFormatting sqref="Z35">
    <cfRule type="cellIs" dxfId="1787" priority="343" operator="greaterThan">
      <formula>0.03</formula>
    </cfRule>
    <cfRule type="cellIs" dxfId="1786" priority="344" stopIfTrue="1" operator="lessThan">
      <formula>-0.03</formula>
    </cfRule>
  </conditionalFormatting>
  <conditionalFormatting sqref="AA35">
    <cfRule type="cellIs" dxfId="1785" priority="341" operator="greaterThan">
      <formula>0.03</formula>
    </cfRule>
    <cfRule type="cellIs" dxfId="1784" priority="342" stopIfTrue="1" operator="lessThan">
      <formula>-0.03</formula>
    </cfRule>
  </conditionalFormatting>
  <conditionalFormatting sqref="Y38:Z38">
    <cfRule type="cellIs" dxfId="1783" priority="337" operator="greaterThan">
      <formula>0.03</formula>
    </cfRule>
    <cfRule type="cellIs" dxfId="1782" priority="338" stopIfTrue="1" operator="lessThan">
      <formula>-0.03</formula>
    </cfRule>
  </conditionalFormatting>
  <conditionalFormatting sqref="AP34:AQ34">
    <cfRule type="cellIs" dxfId="1781" priority="327" operator="greaterThan">
      <formula>0.03</formula>
    </cfRule>
    <cfRule type="cellIs" dxfId="1780" priority="328" stopIfTrue="1" operator="lessThan">
      <formula>-0.03</formula>
    </cfRule>
  </conditionalFormatting>
  <conditionalFormatting sqref="Y34:Z34">
    <cfRule type="cellIs" dxfId="1779" priority="339" operator="greaterThan">
      <formula>0.03</formula>
    </cfRule>
    <cfRule type="cellIs" dxfId="1778" priority="340" stopIfTrue="1" operator="lessThan">
      <formula>-0.03</formula>
    </cfRule>
  </conditionalFormatting>
  <conditionalFormatting sqref="AQ35">
    <cfRule type="cellIs" dxfId="1777" priority="321" operator="greaterThan">
      <formula>0.03</formula>
    </cfRule>
    <cfRule type="cellIs" dxfId="1776" priority="322" stopIfTrue="1" operator="lessThan">
      <formula>-0.03</formula>
    </cfRule>
  </conditionalFormatting>
  <conditionalFormatting sqref="AR31">
    <cfRule type="cellIs" dxfId="1775" priority="329" operator="greaterThan">
      <formula>0.03</formula>
    </cfRule>
    <cfRule type="cellIs" dxfId="1774" priority="330" stopIfTrue="1" operator="lessThan">
      <formula>-0.03</formula>
    </cfRule>
  </conditionalFormatting>
  <conditionalFormatting sqref="AQ31">
    <cfRule type="cellIs" dxfId="1773" priority="331" operator="greaterThan">
      <formula>0.03</formula>
    </cfRule>
    <cfRule type="cellIs" dxfId="1772" priority="332" stopIfTrue="1" operator="lessThan">
      <formula>-0.03</formula>
    </cfRule>
  </conditionalFormatting>
  <conditionalFormatting sqref="AP35">
    <cfRule type="cellIs" dxfId="1771" priority="323" operator="greaterThan">
      <formula>0.03</formula>
    </cfRule>
    <cfRule type="cellIs" dxfId="1770" priority="324" stopIfTrue="1" operator="lessThan">
      <formula>-0.03</formula>
    </cfRule>
  </conditionalFormatting>
  <conditionalFormatting sqref="AR35">
    <cfRule type="cellIs" dxfId="1769" priority="319" operator="greaterThan">
      <formula>0.03</formula>
    </cfRule>
    <cfRule type="cellIs" dxfId="1768" priority="320" stopIfTrue="1" operator="lessThan">
      <formula>-0.03</formula>
    </cfRule>
  </conditionalFormatting>
  <conditionalFormatting sqref="AP38:AQ38">
    <cfRule type="cellIs" dxfId="1767" priority="317" operator="greaterThan">
      <formula>0.03</formula>
    </cfRule>
    <cfRule type="cellIs" dxfId="1766" priority="318" stopIfTrue="1" operator="lessThan">
      <formula>-0.03</formula>
    </cfRule>
  </conditionalFormatting>
  <conditionalFormatting sqref="AM31:AO34">
    <cfRule type="cellIs" dxfId="1765" priority="335" operator="greaterThan">
      <formula>0.03</formula>
    </cfRule>
    <cfRule type="cellIs" dxfId="1764" priority="336" stopIfTrue="1" operator="lessThan">
      <formula>-0.03</formula>
    </cfRule>
  </conditionalFormatting>
  <conditionalFormatting sqref="AP31">
    <cfRule type="cellIs" dxfId="1763" priority="333" operator="greaterThan">
      <formula>0.03</formula>
    </cfRule>
    <cfRule type="cellIs" dxfId="1762" priority="334" stopIfTrue="1" operator="lessThan">
      <formula>-0.03</formula>
    </cfRule>
  </conditionalFormatting>
  <conditionalFormatting sqref="AM35:AO38">
    <cfRule type="cellIs" dxfId="1761" priority="325" operator="greaterThan">
      <formula>0.03</formula>
    </cfRule>
    <cfRule type="cellIs" dxfId="1760" priority="326" stopIfTrue="1" operator="lessThan">
      <formula>-0.03</formula>
    </cfRule>
  </conditionalFormatting>
  <conditionalFormatting sqref="Y43">
    <cfRule type="cellIs" dxfId="1759" priority="307" operator="greaterThan">
      <formula>0.03</formula>
    </cfRule>
    <cfRule type="cellIs" dxfId="1758" priority="308" stopIfTrue="1" operator="lessThan">
      <formula>-0.03</formula>
    </cfRule>
  </conditionalFormatting>
  <conditionalFormatting sqref="V39:X46">
    <cfRule type="cellIs" dxfId="1757" priority="315" operator="greaterThan">
      <formula>0.03</formula>
    </cfRule>
    <cfRule type="cellIs" dxfId="1756" priority="316" stopIfTrue="1" operator="lessThan">
      <formula>-0.03</formula>
    </cfRule>
  </conditionalFormatting>
  <conditionalFormatting sqref="Y39">
    <cfRule type="cellIs" dxfId="1755" priority="313" operator="greaterThan">
      <formula>0.03</formula>
    </cfRule>
    <cfRule type="cellIs" dxfId="1754" priority="314" stopIfTrue="1" operator="lessThan">
      <formula>-0.03</formula>
    </cfRule>
  </conditionalFormatting>
  <conditionalFormatting sqref="Z39">
    <cfRule type="cellIs" dxfId="1753" priority="311" operator="greaterThan">
      <formula>0.03</formula>
    </cfRule>
    <cfRule type="cellIs" dxfId="1752" priority="312" stopIfTrue="1" operator="lessThan">
      <formula>-0.03</formula>
    </cfRule>
  </conditionalFormatting>
  <conditionalFormatting sqref="AA39">
    <cfRule type="cellIs" dxfId="1751" priority="309" operator="greaterThan">
      <formula>0.03</formula>
    </cfRule>
    <cfRule type="cellIs" dxfId="1750" priority="310" stopIfTrue="1" operator="lessThan">
      <formula>-0.03</formula>
    </cfRule>
  </conditionalFormatting>
  <conditionalFormatting sqref="Z43">
    <cfRule type="cellIs" dxfId="1749" priority="305" operator="greaterThan">
      <formula>0.03</formula>
    </cfRule>
    <cfRule type="cellIs" dxfId="1748" priority="306" stopIfTrue="1" operator="lessThan">
      <formula>-0.03</formula>
    </cfRule>
  </conditionalFormatting>
  <conditionalFormatting sqref="AA43">
    <cfRule type="cellIs" dxfId="1747" priority="303" operator="greaterThan">
      <formula>0.03</formula>
    </cfRule>
    <cfRule type="cellIs" dxfId="1746" priority="304" stopIfTrue="1" operator="lessThan">
      <formula>-0.03</formula>
    </cfRule>
  </conditionalFormatting>
  <conditionalFormatting sqref="Y46:Z46">
    <cfRule type="cellIs" dxfId="1745" priority="299" operator="greaterThan">
      <formula>0.03</formula>
    </cfRule>
    <cfRule type="cellIs" dxfId="1744" priority="300" stopIfTrue="1" operator="lessThan">
      <formula>-0.03</formula>
    </cfRule>
  </conditionalFormatting>
  <conditionalFormatting sqref="AP42:AQ42">
    <cfRule type="cellIs" dxfId="1743" priority="289" operator="greaterThan">
      <formula>0.03</formula>
    </cfRule>
    <cfRule type="cellIs" dxfId="1742" priority="290" stopIfTrue="1" operator="lessThan">
      <formula>-0.03</formula>
    </cfRule>
  </conditionalFormatting>
  <conditionalFormatting sqref="Y42:Z42">
    <cfRule type="cellIs" dxfId="1741" priority="301" operator="greaterThan">
      <formula>0.03</formula>
    </cfRule>
    <cfRule type="cellIs" dxfId="1740" priority="302" stopIfTrue="1" operator="lessThan">
      <formula>-0.03</formula>
    </cfRule>
  </conditionalFormatting>
  <conditionalFormatting sqref="AQ43">
    <cfRule type="cellIs" dxfId="1739" priority="283" operator="greaterThan">
      <formula>0.03</formula>
    </cfRule>
    <cfRule type="cellIs" dxfId="1738" priority="284" stopIfTrue="1" operator="lessThan">
      <formula>-0.03</formula>
    </cfRule>
  </conditionalFormatting>
  <conditionalFormatting sqref="AR39">
    <cfRule type="cellIs" dxfId="1737" priority="291" operator="greaterThan">
      <formula>0.03</formula>
    </cfRule>
    <cfRule type="cellIs" dxfId="1736" priority="292" stopIfTrue="1" operator="lessThan">
      <formula>-0.03</formula>
    </cfRule>
  </conditionalFormatting>
  <conditionalFormatting sqref="AQ39">
    <cfRule type="cellIs" dxfId="1735" priority="293" operator="greaterThan">
      <formula>0.03</formula>
    </cfRule>
    <cfRule type="cellIs" dxfId="1734" priority="294" stopIfTrue="1" operator="lessThan">
      <formula>-0.03</formula>
    </cfRule>
  </conditionalFormatting>
  <conditionalFormatting sqref="AP43">
    <cfRule type="cellIs" dxfId="1733" priority="285" operator="greaterThan">
      <formula>0.03</formula>
    </cfRule>
    <cfRule type="cellIs" dxfId="1732" priority="286" stopIfTrue="1" operator="lessThan">
      <formula>-0.03</formula>
    </cfRule>
  </conditionalFormatting>
  <conditionalFormatting sqref="AR43">
    <cfRule type="cellIs" dxfId="1731" priority="281" operator="greaterThan">
      <formula>0.03</formula>
    </cfRule>
    <cfRule type="cellIs" dxfId="1730" priority="282" stopIfTrue="1" operator="lessThan">
      <formula>-0.03</formula>
    </cfRule>
  </conditionalFormatting>
  <conditionalFormatting sqref="AP46:AQ46">
    <cfRule type="cellIs" dxfId="1729" priority="279" operator="greaterThan">
      <formula>0.03</formula>
    </cfRule>
    <cfRule type="cellIs" dxfId="1728" priority="280" stopIfTrue="1" operator="lessThan">
      <formula>-0.03</formula>
    </cfRule>
  </conditionalFormatting>
  <conditionalFormatting sqref="AM39:AO42">
    <cfRule type="cellIs" dxfId="1727" priority="297" operator="greaterThan">
      <formula>0.03</formula>
    </cfRule>
    <cfRule type="cellIs" dxfId="1726" priority="298" stopIfTrue="1" operator="lessThan">
      <formula>-0.03</formula>
    </cfRule>
  </conditionalFormatting>
  <conditionalFormatting sqref="AP39">
    <cfRule type="cellIs" dxfId="1725" priority="295" operator="greaterThan">
      <formula>0.03</formula>
    </cfRule>
    <cfRule type="cellIs" dxfId="1724" priority="296" stopIfTrue="1" operator="lessThan">
      <formula>-0.03</formula>
    </cfRule>
  </conditionalFormatting>
  <conditionalFormatting sqref="AM43:AO46">
    <cfRule type="cellIs" dxfId="1723" priority="287" operator="greaterThan">
      <formula>0.03</formula>
    </cfRule>
    <cfRule type="cellIs" dxfId="1722" priority="288" stopIfTrue="1" operator="lessThan">
      <formula>-0.03</formula>
    </cfRule>
  </conditionalFormatting>
  <conditionalFormatting sqref="Y55">
    <cfRule type="cellIs" dxfId="1721" priority="263" operator="greaterThan">
      <formula>0.03</formula>
    </cfRule>
    <cfRule type="cellIs" dxfId="1720" priority="264" stopIfTrue="1" operator="lessThan">
      <formula>-0.03</formula>
    </cfRule>
  </conditionalFormatting>
  <conditionalFormatting sqref="V47:X62">
    <cfRule type="cellIs" dxfId="1719" priority="277" operator="greaterThan">
      <formula>0.03</formula>
    </cfRule>
    <cfRule type="cellIs" dxfId="1718" priority="278" stopIfTrue="1" operator="lessThan">
      <formula>-0.03</formula>
    </cfRule>
  </conditionalFormatting>
  <conditionalFormatting sqref="Y47">
    <cfRule type="cellIs" dxfId="1717" priority="275" operator="greaterThan">
      <formula>0.03</formula>
    </cfRule>
    <cfRule type="cellIs" dxfId="1716" priority="276" stopIfTrue="1" operator="lessThan">
      <formula>-0.03</formula>
    </cfRule>
  </conditionalFormatting>
  <conditionalFormatting sqref="Z47">
    <cfRule type="cellIs" dxfId="1715" priority="273" operator="greaterThan">
      <formula>0.03</formula>
    </cfRule>
    <cfRule type="cellIs" dxfId="1714" priority="274" stopIfTrue="1" operator="lessThan">
      <formula>-0.03</formula>
    </cfRule>
  </conditionalFormatting>
  <conditionalFormatting sqref="AA47">
    <cfRule type="cellIs" dxfId="1713" priority="271" operator="greaterThan">
      <formula>0.03</formula>
    </cfRule>
    <cfRule type="cellIs" dxfId="1712" priority="272" stopIfTrue="1" operator="lessThan">
      <formula>-0.03</formula>
    </cfRule>
  </conditionalFormatting>
  <conditionalFormatting sqref="Y51">
    <cfRule type="cellIs" dxfId="1711" priority="269" operator="greaterThan">
      <formula>0.03</formula>
    </cfRule>
    <cfRule type="cellIs" dxfId="1710" priority="270" stopIfTrue="1" operator="lessThan">
      <formula>-0.03</formula>
    </cfRule>
  </conditionalFormatting>
  <conditionalFormatting sqref="Z51">
    <cfRule type="cellIs" dxfId="1709" priority="267" operator="greaterThan">
      <formula>0.03</formula>
    </cfRule>
    <cfRule type="cellIs" dxfId="1708" priority="268" stopIfTrue="1" operator="lessThan">
      <formula>-0.03</formula>
    </cfRule>
  </conditionalFormatting>
  <conditionalFormatting sqref="AA51">
    <cfRule type="cellIs" dxfId="1707" priority="265" operator="greaterThan">
      <formula>0.03</formula>
    </cfRule>
    <cfRule type="cellIs" dxfId="1706" priority="266" stopIfTrue="1" operator="lessThan">
      <formula>-0.03</formula>
    </cfRule>
  </conditionalFormatting>
  <conditionalFormatting sqref="Z55">
    <cfRule type="cellIs" dxfId="1705" priority="261" operator="greaterThan">
      <formula>0.03</formula>
    </cfRule>
    <cfRule type="cellIs" dxfId="1704" priority="262" stopIfTrue="1" operator="lessThan">
      <formula>-0.03</formula>
    </cfRule>
  </conditionalFormatting>
  <conditionalFormatting sqref="AA55">
    <cfRule type="cellIs" dxfId="1703" priority="259" operator="greaterThan">
      <formula>0.03</formula>
    </cfRule>
    <cfRule type="cellIs" dxfId="1702" priority="260" stopIfTrue="1" operator="lessThan">
      <formula>-0.03</formula>
    </cfRule>
  </conditionalFormatting>
  <conditionalFormatting sqref="Y59">
    <cfRule type="cellIs" dxfId="1701" priority="257" operator="greaterThan">
      <formula>0.03</formula>
    </cfRule>
    <cfRule type="cellIs" dxfId="1700" priority="258" stopIfTrue="1" operator="lessThan">
      <formula>-0.03</formula>
    </cfRule>
  </conditionalFormatting>
  <conditionalFormatting sqref="Z59">
    <cfRule type="cellIs" dxfId="1699" priority="255" operator="greaterThan">
      <formula>0.03</formula>
    </cfRule>
    <cfRule type="cellIs" dxfId="1698" priority="256" stopIfTrue="1" operator="lessThan">
      <formula>-0.03</formula>
    </cfRule>
  </conditionalFormatting>
  <conditionalFormatting sqref="AA59">
    <cfRule type="cellIs" dxfId="1697" priority="253" operator="greaterThan">
      <formula>0.03</formula>
    </cfRule>
    <cfRule type="cellIs" dxfId="1696" priority="254" stopIfTrue="1" operator="lessThan">
      <formula>-0.03</formula>
    </cfRule>
  </conditionalFormatting>
  <conditionalFormatting sqref="Y58:Z58">
    <cfRule type="cellIs" dxfId="1695" priority="247" operator="greaterThan">
      <formula>0.03</formula>
    </cfRule>
    <cfRule type="cellIs" dxfId="1694" priority="248" stopIfTrue="1" operator="lessThan">
      <formula>-0.03</formula>
    </cfRule>
  </conditionalFormatting>
  <conditionalFormatting sqref="AP47">
    <cfRule type="cellIs" dxfId="1693" priority="241" operator="greaterThan">
      <formula>0.03</formula>
    </cfRule>
    <cfRule type="cellIs" dxfId="1692" priority="242" stopIfTrue="1" operator="lessThan">
      <formula>-0.03</formula>
    </cfRule>
  </conditionalFormatting>
  <conditionalFormatting sqref="AQ47">
    <cfRule type="cellIs" dxfId="1691" priority="239" operator="greaterThan">
      <formula>0.03</formula>
    </cfRule>
    <cfRule type="cellIs" dxfId="1690" priority="240" stopIfTrue="1" operator="lessThan">
      <formula>-0.03</formula>
    </cfRule>
  </conditionalFormatting>
  <conditionalFormatting sqref="AP62:AQ62">
    <cfRule type="cellIs" dxfId="1689" priority="205" operator="greaterThan">
      <formula>0.03</formula>
    </cfRule>
    <cfRule type="cellIs" dxfId="1688" priority="206" stopIfTrue="1" operator="lessThan">
      <formula>-0.03</formula>
    </cfRule>
  </conditionalFormatting>
  <conditionalFormatting sqref="AP54:AQ54">
    <cfRule type="cellIs" dxfId="1687" priority="225" operator="greaterThan">
      <formula>0.03</formula>
    </cfRule>
    <cfRule type="cellIs" dxfId="1686" priority="226" stopIfTrue="1" operator="lessThan">
      <formula>-0.03</formula>
    </cfRule>
  </conditionalFormatting>
  <conditionalFormatting sqref="Y50:Z50">
    <cfRule type="cellIs" dxfId="1685" priority="251" operator="greaterThan">
      <formula>0.03</formula>
    </cfRule>
    <cfRule type="cellIs" dxfId="1684" priority="252" stopIfTrue="1" operator="lessThan">
      <formula>-0.03</formula>
    </cfRule>
  </conditionalFormatting>
  <conditionalFormatting sqref="Y54:Z54">
    <cfRule type="cellIs" dxfId="1683" priority="249" operator="greaterThan">
      <formula>0.03</formula>
    </cfRule>
    <cfRule type="cellIs" dxfId="1682" priority="250" stopIfTrue="1" operator="lessThan">
      <formula>-0.03</formula>
    </cfRule>
  </conditionalFormatting>
  <conditionalFormatting sqref="Y62:Z62">
    <cfRule type="cellIs" dxfId="1681" priority="245" operator="greaterThan">
      <formula>0.03</formula>
    </cfRule>
    <cfRule type="cellIs" dxfId="1680" priority="246" stopIfTrue="1" operator="lessThan">
      <formula>-0.03</formula>
    </cfRule>
  </conditionalFormatting>
  <conditionalFormatting sqref="AR47">
    <cfRule type="cellIs" dxfId="1679" priority="237" operator="greaterThan">
      <formula>0.03</formula>
    </cfRule>
    <cfRule type="cellIs" dxfId="1678" priority="238" stopIfTrue="1" operator="lessThan">
      <formula>-0.03</formula>
    </cfRule>
  </conditionalFormatting>
  <conditionalFormatting sqref="AQ55">
    <cfRule type="cellIs" dxfId="1677" priority="219" operator="greaterThan">
      <formula>0.03</formula>
    </cfRule>
    <cfRule type="cellIs" dxfId="1676" priority="220" stopIfTrue="1" operator="lessThan">
      <formula>-0.03</formula>
    </cfRule>
  </conditionalFormatting>
  <conditionalFormatting sqref="AR51">
    <cfRule type="cellIs" dxfId="1675" priority="227" operator="greaterThan">
      <formula>0.03</formula>
    </cfRule>
    <cfRule type="cellIs" dxfId="1674" priority="228" stopIfTrue="1" operator="lessThan">
      <formula>-0.03</formula>
    </cfRule>
  </conditionalFormatting>
  <conditionalFormatting sqref="AP50:AQ50">
    <cfRule type="cellIs" dxfId="1673" priority="235" operator="greaterThan">
      <formula>0.03</formula>
    </cfRule>
    <cfRule type="cellIs" dxfId="1672" priority="236" stopIfTrue="1" operator="lessThan">
      <formula>-0.03</formula>
    </cfRule>
  </conditionalFormatting>
  <conditionalFormatting sqref="AM47:AO50">
    <cfRule type="cellIs" dxfId="1671" priority="243" operator="greaterThan">
      <formula>0.03</formula>
    </cfRule>
    <cfRule type="cellIs" dxfId="1670" priority="244" stopIfTrue="1" operator="lessThan">
      <formula>-0.03</formula>
    </cfRule>
  </conditionalFormatting>
  <conditionalFormatting sqref="AR59">
    <cfRule type="cellIs" dxfId="1669" priority="207" operator="greaterThan">
      <formula>0.03</formula>
    </cfRule>
    <cfRule type="cellIs" dxfId="1668" priority="208" stopIfTrue="1" operator="lessThan">
      <formula>-0.03</formula>
    </cfRule>
  </conditionalFormatting>
  <conditionalFormatting sqref="AQ51">
    <cfRule type="cellIs" dxfId="1667" priority="229" operator="greaterThan">
      <formula>0.03</formula>
    </cfRule>
    <cfRule type="cellIs" dxfId="1666" priority="230" stopIfTrue="1" operator="lessThan">
      <formula>-0.03</formula>
    </cfRule>
  </conditionalFormatting>
  <conditionalFormatting sqref="AP55">
    <cfRule type="cellIs" dxfId="1665" priority="221" operator="greaterThan">
      <formula>0.03</formula>
    </cfRule>
    <cfRule type="cellIs" dxfId="1664" priority="222" stopIfTrue="1" operator="lessThan">
      <formula>-0.03</formula>
    </cfRule>
  </conditionalFormatting>
  <conditionalFormatting sqref="AR55">
    <cfRule type="cellIs" dxfId="1663" priority="217" operator="greaterThan">
      <formula>0.03</formula>
    </cfRule>
    <cfRule type="cellIs" dxfId="1662" priority="218" stopIfTrue="1" operator="lessThan">
      <formula>-0.03</formula>
    </cfRule>
  </conditionalFormatting>
  <conditionalFormatting sqref="AP58:AQ58">
    <cfRule type="cellIs" dxfId="1661" priority="215" operator="greaterThan">
      <formula>0.03</formula>
    </cfRule>
    <cfRule type="cellIs" dxfId="1660" priority="216" stopIfTrue="1" operator="lessThan">
      <formula>-0.03</formula>
    </cfRule>
  </conditionalFormatting>
  <conditionalFormatting sqref="AM59:AO62">
    <cfRule type="cellIs" dxfId="1659" priority="213" operator="greaterThan">
      <formula>0.03</formula>
    </cfRule>
    <cfRule type="cellIs" dxfId="1658" priority="214" stopIfTrue="1" operator="lessThan">
      <formula>-0.03</formula>
    </cfRule>
  </conditionalFormatting>
  <conditionalFormatting sqref="AM51:AO54">
    <cfRule type="cellIs" dxfId="1657" priority="233" operator="greaterThan">
      <formula>0.03</formula>
    </cfRule>
    <cfRule type="cellIs" dxfId="1656" priority="234" stopIfTrue="1" operator="lessThan">
      <formula>-0.03</formula>
    </cfRule>
  </conditionalFormatting>
  <conditionalFormatting sqref="AP51">
    <cfRule type="cellIs" dxfId="1655" priority="231" operator="greaterThan">
      <formula>0.03</formula>
    </cfRule>
    <cfRule type="cellIs" dxfId="1654" priority="232" stopIfTrue="1" operator="lessThan">
      <formula>-0.03</formula>
    </cfRule>
  </conditionalFormatting>
  <conditionalFormatting sqref="AM55:AO58">
    <cfRule type="cellIs" dxfId="1653" priority="223" operator="greaterThan">
      <formula>0.03</formula>
    </cfRule>
    <cfRule type="cellIs" dxfId="1652" priority="224" stopIfTrue="1" operator="lessThan">
      <formula>-0.03</formula>
    </cfRule>
  </conditionalFormatting>
  <conditionalFormatting sqref="AP59">
    <cfRule type="cellIs" dxfId="1651" priority="211" operator="greaterThan">
      <formula>0.03</formula>
    </cfRule>
    <cfRule type="cellIs" dxfId="1650" priority="212" stopIfTrue="1" operator="lessThan">
      <formula>-0.03</formula>
    </cfRule>
  </conditionalFormatting>
  <conditionalFormatting sqref="AQ59">
    <cfRule type="cellIs" dxfId="1649" priority="209" operator="greaterThan">
      <formula>0.03</formula>
    </cfRule>
    <cfRule type="cellIs" dxfId="1648" priority="210" stopIfTrue="1" operator="lessThan">
      <formula>-0.03</formula>
    </cfRule>
  </conditionalFormatting>
  <conditionalFormatting sqref="Y71">
    <cfRule type="cellIs" dxfId="1647" priority="189" operator="greaterThan">
      <formula>0.03</formula>
    </cfRule>
    <cfRule type="cellIs" dxfId="1646" priority="190" stopIfTrue="1" operator="lessThan">
      <formula>-0.03</formula>
    </cfRule>
  </conditionalFormatting>
  <conditionalFormatting sqref="V63:X78">
    <cfRule type="cellIs" dxfId="1645" priority="203" operator="greaterThan">
      <formula>0.03</formula>
    </cfRule>
    <cfRule type="cellIs" dxfId="1644" priority="204" stopIfTrue="1" operator="lessThan">
      <formula>-0.03</formula>
    </cfRule>
  </conditionalFormatting>
  <conditionalFormatting sqref="Y63">
    <cfRule type="cellIs" dxfId="1643" priority="201" operator="greaterThan">
      <formula>0.03</formula>
    </cfRule>
    <cfRule type="cellIs" dxfId="1642" priority="202" stopIfTrue="1" operator="lessThan">
      <formula>-0.03</formula>
    </cfRule>
  </conditionalFormatting>
  <conditionalFormatting sqref="Z63">
    <cfRule type="cellIs" dxfId="1641" priority="199" operator="greaterThan">
      <formula>0.03</formula>
    </cfRule>
    <cfRule type="cellIs" dxfId="1640" priority="200" stopIfTrue="1" operator="lessThan">
      <formula>-0.03</formula>
    </cfRule>
  </conditionalFormatting>
  <conditionalFormatting sqref="AA63">
    <cfRule type="cellIs" dxfId="1639" priority="197" operator="greaterThan">
      <formula>0.03</formula>
    </cfRule>
    <cfRule type="cellIs" dxfId="1638" priority="198" stopIfTrue="1" operator="lessThan">
      <formula>-0.03</formula>
    </cfRule>
  </conditionalFormatting>
  <conditionalFormatting sqref="Y67">
    <cfRule type="cellIs" dxfId="1637" priority="195" operator="greaterThan">
      <formula>0.03</formula>
    </cfRule>
    <cfRule type="cellIs" dxfId="1636" priority="196" stopIfTrue="1" operator="lessThan">
      <formula>-0.03</formula>
    </cfRule>
  </conditionalFormatting>
  <conditionalFormatting sqref="Z67">
    <cfRule type="cellIs" dxfId="1635" priority="193" operator="greaterThan">
      <formula>0.03</formula>
    </cfRule>
    <cfRule type="cellIs" dxfId="1634" priority="194" stopIfTrue="1" operator="lessThan">
      <formula>-0.03</formula>
    </cfRule>
  </conditionalFormatting>
  <conditionalFormatting sqref="AA67">
    <cfRule type="cellIs" dxfId="1633" priority="191" operator="greaterThan">
      <formula>0.03</formula>
    </cfRule>
    <cfRule type="cellIs" dxfId="1632" priority="192" stopIfTrue="1" operator="lessThan">
      <formula>-0.03</formula>
    </cfRule>
  </conditionalFormatting>
  <conditionalFormatting sqref="Z71">
    <cfRule type="cellIs" dxfId="1631" priority="187" operator="greaterThan">
      <formula>0.03</formula>
    </cfRule>
    <cfRule type="cellIs" dxfId="1630" priority="188" stopIfTrue="1" operator="lessThan">
      <formula>-0.03</formula>
    </cfRule>
  </conditionalFormatting>
  <conditionalFormatting sqref="AA71">
    <cfRule type="cellIs" dxfId="1629" priority="185" operator="greaterThan">
      <formula>0.03</formula>
    </cfRule>
    <cfRule type="cellIs" dxfId="1628" priority="186" stopIfTrue="1" operator="lessThan">
      <formula>-0.03</formula>
    </cfRule>
  </conditionalFormatting>
  <conditionalFormatting sqref="Y75">
    <cfRule type="cellIs" dxfId="1627" priority="183" operator="greaterThan">
      <formula>0.03</formula>
    </cfRule>
    <cfRule type="cellIs" dxfId="1626" priority="184" stopIfTrue="1" operator="lessThan">
      <formula>-0.03</formula>
    </cfRule>
  </conditionalFormatting>
  <conditionalFormatting sqref="Z75">
    <cfRule type="cellIs" dxfId="1625" priority="181" operator="greaterThan">
      <formula>0.03</formula>
    </cfRule>
    <cfRule type="cellIs" dxfId="1624" priority="182" stopIfTrue="1" operator="lessThan">
      <formula>-0.03</formula>
    </cfRule>
  </conditionalFormatting>
  <conditionalFormatting sqref="AA75">
    <cfRule type="cellIs" dxfId="1623" priority="179" operator="greaterThan">
      <formula>0.03</formula>
    </cfRule>
    <cfRule type="cellIs" dxfId="1622" priority="180" stopIfTrue="1" operator="lessThan">
      <formula>-0.03</formula>
    </cfRule>
  </conditionalFormatting>
  <conditionalFormatting sqref="Y74:Z74">
    <cfRule type="cellIs" dxfId="1621" priority="173" operator="greaterThan">
      <formula>0.03</formula>
    </cfRule>
    <cfRule type="cellIs" dxfId="1620" priority="174" stopIfTrue="1" operator="lessThan">
      <formula>-0.03</formula>
    </cfRule>
  </conditionalFormatting>
  <conditionalFormatting sqref="AP63">
    <cfRule type="cellIs" dxfId="1619" priority="167" operator="greaterThan">
      <formula>0.03</formula>
    </cfRule>
    <cfRule type="cellIs" dxfId="1618" priority="168" stopIfTrue="1" operator="lessThan">
      <formula>-0.03</formula>
    </cfRule>
  </conditionalFormatting>
  <conditionalFormatting sqref="AQ63">
    <cfRule type="cellIs" dxfId="1617" priority="165" operator="greaterThan">
      <formula>0.03</formula>
    </cfRule>
    <cfRule type="cellIs" dxfId="1616" priority="166" stopIfTrue="1" operator="lessThan">
      <formula>-0.03</formula>
    </cfRule>
  </conditionalFormatting>
  <conditionalFormatting sqref="AP78:AQ78">
    <cfRule type="cellIs" dxfId="1615" priority="131" operator="greaterThan">
      <formula>0.03</formula>
    </cfRule>
    <cfRule type="cellIs" dxfId="1614" priority="132" stopIfTrue="1" operator="lessThan">
      <formula>-0.03</formula>
    </cfRule>
  </conditionalFormatting>
  <conditionalFormatting sqref="AP70:AQ70">
    <cfRule type="cellIs" dxfId="1613" priority="151" operator="greaterThan">
      <formula>0.03</formula>
    </cfRule>
    <cfRule type="cellIs" dxfId="1612" priority="152" stopIfTrue="1" operator="lessThan">
      <formula>-0.03</formula>
    </cfRule>
  </conditionalFormatting>
  <conditionalFormatting sqref="Y66:Z66">
    <cfRule type="cellIs" dxfId="1611" priority="177" operator="greaterThan">
      <formula>0.03</formula>
    </cfRule>
    <cfRule type="cellIs" dxfId="1610" priority="178" stopIfTrue="1" operator="lessThan">
      <formula>-0.03</formula>
    </cfRule>
  </conditionalFormatting>
  <conditionalFormatting sqref="Y70:Z70">
    <cfRule type="cellIs" dxfId="1609" priority="175" operator="greaterThan">
      <formula>0.03</formula>
    </cfRule>
    <cfRule type="cellIs" dxfId="1608" priority="176" stopIfTrue="1" operator="lessThan">
      <formula>-0.03</formula>
    </cfRule>
  </conditionalFormatting>
  <conditionalFormatting sqref="Y78:Z78">
    <cfRule type="cellIs" dxfId="1607" priority="171" operator="greaterThan">
      <formula>0.03</formula>
    </cfRule>
    <cfRule type="cellIs" dxfId="1606" priority="172" stopIfTrue="1" operator="lessThan">
      <formula>-0.03</formula>
    </cfRule>
  </conditionalFormatting>
  <conditionalFormatting sqref="AR63">
    <cfRule type="cellIs" dxfId="1605" priority="163" operator="greaterThan">
      <formula>0.03</formula>
    </cfRule>
    <cfRule type="cellIs" dxfId="1604" priority="164" stopIfTrue="1" operator="lessThan">
      <formula>-0.03</formula>
    </cfRule>
  </conditionalFormatting>
  <conditionalFormatting sqref="AQ71">
    <cfRule type="cellIs" dxfId="1603" priority="145" operator="greaterThan">
      <formula>0.03</formula>
    </cfRule>
    <cfRule type="cellIs" dxfId="1602" priority="146" stopIfTrue="1" operator="lessThan">
      <formula>-0.03</formula>
    </cfRule>
  </conditionalFormatting>
  <conditionalFormatting sqref="AR67">
    <cfRule type="cellIs" dxfId="1601" priority="153" operator="greaterThan">
      <formula>0.03</formula>
    </cfRule>
    <cfRule type="cellIs" dxfId="1600" priority="154" stopIfTrue="1" operator="lessThan">
      <formula>-0.03</formula>
    </cfRule>
  </conditionalFormatting>
  <conditionalFormatting sqref="AP66:AQ66">
    <cfRule type="cellIs" dxfId="1599" priority="161" operator="greaterThan">
      <formula>0.03</formula>
    </cfRule>
    <cfRule type="cellIs" dxfId="1598" priority="162" stopIfTrue="1" operator="lessThan">
      <formula>-0.03</formula>
    </cfRule>
  </conditionalFormatting>
  <conditionalFormatting sqref="AM63:AO66">
    <cfRule type="cellIs" dxfId="1597" priority="169" operator="greaterThan">
      <formula>0.03</formula>
    </cfRule>
    <cfRule type="cellIs" dxfId="1596" priority="170" stopIfTrue="1" operator="lessThan">
      <formula>-0.03</formula>
    </cfRule>
  </conditionalFormatting>
  <conditionalFormatting sqref="AR75">
    <cfRule type="cellIs" dxfId="1595" priority="133" operator="greaterThan">
      <formula>0.03</formula>
    </cfRule>
    <cfRule type="cellIs" dxfId="1594" priority="134" stopIfTrue="1" operator="lessThan">
      <formula>-0.03</formula>
    </cfRule>
  </conditionalFormatting>
  <conditionalFormatting sqref="AQ67">
    <cfRule type="cellIs" dxfId="1593" priority="155" operator="greaterThan">
      <formula>0.03</formula>
    </cfRule>
    <cfRule type="cellIs" dxfId="1592" priority="156" stopIfTrue="1" operator="lessThan">
      <formula>-0.03</formula>
    </cfRule>
  </conditionalFormatting>
  <conditionalFormatting sqref="AP71">
    <cfRule type="cellIs" dxfId="1591" priority="147" operator="greaterThan">
      <formula>0.03</formula>
    </cfRule>
    <cfRule type="cellIs" dxfId="1590" priority="148" stopIfTrue="1" operator="lessThan">
      <formula>-0.03</formula>
    </cfRule>
  </conditionalFormatting>
  <conditionalFormatting sqref="AR71">
    <cfRule type="cellIs" dxfId="1589" priority="143" operator="greaterThan">
      <formula>0.03</formula>
    </cfRule>
    <cfRule type="cellIs" dxfId="1588" priority="144" stopIfTrue="1" operator="lessThan">
      <formula>-0.03</formula>
    </cfRule>
  </conditionalFormatting>
  <conditionalFormatting sqref="AP74:AQ74">
    <cfRule type="cellIs" dxfId="1587" priority="141" operator="greaterThan">
      <formula>0.03</formula>
    </cfRule>
    <cfRule type="cellIs" dxfId="1586" priority="142" stopIfTrue="1" operator="lessThan">
      <formula>-0.03</formula>
    </cfRule>
  </conditionalFormatting>
  <conditionalFormatting sqref="AM75:AO78">
    <cfRule type="cellIs" dxfId="1585" priority="139" operator="greaterThan">
      <formula>0.03</formula>
    </cfRule>
    <cfRule type="cellIs" dxfId="1584" priority="140" stopIfTrue="1" operator="lessThan">
      <formula>-0.03</formula>
    </cfRule>
  </conditionalFormatting>
  <conditionalFormatting sqref="AM67:AO70">
    <cfRule type="cellIs" dxfId="1583" priority="159" operator="greaterThan">
      <formula>0.03</formula>
    </cfRule>
    <cfRule type="cellIs" dxfId="1582" priority="160" stopIfTrue="1" operator="lessThan">
      <formula>-0.03</formula>
    </cfRule>
  </conditionalFormatting>
  <conditionalFormatting sqref="AP67">
    <cfRule type="cellIs" dxfId="1581" priority="157" operator="greaterThan">
      <formula>0.03</formula>
    </cfRule>
    <cfRule type="cellIs" dxfId="1580" priority="158" stopIfTrue="1" operator="lessThan">
      <formula>-0.03</formula>
    </cfRule>
  </conditionalFormatting>
  <conditionalFormatting sqref="AM71:AO74">
    <cfRule type="cellIs" dxfId="1579" priority="149" operator="greaterThan">
      <formula>0.03</formula>
    </cfRule>
    <cfRule type="cellIs" dxfId="1578" priority="150" stopIfTrue="1" operator="lessThan">
      <formula>-0.03</formula>
    </cfRule>
  </conditionalFormatting>
  <conditionalFormatting sqref="AP75">
    <cfRule type="cellIs" dxfId="1577" priority="137" operator="greaterThan">
      <formula>0.03</formula>
    </cfRule>
    <cfRule type="cellIs" dxfId="1576" priority="138" stopIfTrue="1" operator="lessThan">
      <formula>-0.03</formula>
    </cfRule>
  </conditionalFormatting>
  <conditionalFormatting sqref="AQ75">
    <cfRule type="cellIs" dxfId="1575" priority="135" operator="greaterThan">
      <formula>0.03</formula>
    </cfRule>
    <cfRule type="cellIs" dxfId="1574" priority="136" stopIfTrue="1" operator="lessThan">
      <formula>-0.03</formula>
    </cfRule>
  </conditionalFormatting>
  <conditionalFormatting sqref="Y99">
    <cfRule type="cellIs" dxfId="1573" priority="115" operator="greaterThan">
      <formula>0.03</formula>
    </cfRule>
    <cfRule type="cellIs" dxfId="1572" priority="116" stopIfTrue="1" operator="lessThan">
      <formula>-0.03</formula>
    </cfRule>
  </conditionalFormatting>
  <conditionalFormatting sqref="V91:X106">
    <cfRule type="cellIs" dxfId="1571" priority="129" operator="greaterThan">
      <formula>0.03</formula>
    </cfRule>
    <cfRule type="cellIs" dxfId="1570" priority="130" stopIfTrue="1" operator="lessThan">
      <formula>-0.03</formula>
    </cfRule>
  </conditionalFormatting>
  <conditionalFormatting sqref="Y91">
    <cfRule type="cellIs" dxfId="1569" priority="127" operator="greaterThan">
      <formula>0.03</formula>
    </cfRule>
    <cfRule type="cellIs" dxfId="1568" priority="128" stopIfTrue="1" operator="lessThan">
      <formula>-0.03</formula>
    </cfRule>
  </conditionalFormatting>
  <conditionalFormatting sqref="Z91">
    <cfRule type="cellIs" dxfId="1567" priority="125" operator="greaterThan">
      <formula>0.03</formula>
    </cfRule>
    <cfRule type="cellIs" dxfId="1566" priority="126" stopIfTrue="1" operator="lessThan">
      <formula>-0.03</formula>
    </cfRule>
  </conditionalFormatting>
  <conditionalFormatting sqref="AA91">
    <cfRule type="cellIs" dxfId="1565" priority="123" operator="greaterThan">
      <formula>0.03</formula>
    </cfRule>
    <cfRule type="cellIs" dxfId="1564" priority="124" stopIfTrue="1" operator="lessThan">
      <formula>-0.03</formula>
    </cfRule>
  </conditionalFormatting>
  <conditionalFormatting sqref="Y95">
    <cfRule type="cellIs" dxfId="1563" priority="121" operator="greaterThan">
      <formula>0.03</formula>
    </cfRule>
    <cfRule type="cellIs" dxfId="1562" priority="122" stopIfTrue="1" operator="lessThan">
      <formula>-0.03</formula>
    </cfRule>
  </conditionalFormatting>
  <conditionalFormatting sqref="Z95">
    <cfRule type="cellIs" dxfId="1561" priority="119" operator="greaterThan">
      <formula>0.03</formula>
    </cfRule>
    <cfRule type="cellIs" dxfId="1560" priority="120" stopIfTrue="1" operator="lessThan">
      <formula>-0.03</formula>
    </cfRule>
  </conditionalFormatting>
  <conditionalFormatting sqref="AA95">
    <cfRule type="cellIs" dxfId="1559" priority="117" operator="greaterThan">
      <formula>0.03</formula>
    </cfRule>
    <cfRule type="cellIs" dxfId="1558" priority="118" stopIfTrue="1" operator="lessThan">
      <formula>-0.03</formula>
    </cfRule>
  </conditionalFormatting>
  <conditionalFormatting sqref="Z99">
    <cfRule type="cellIs" dxfId="1557" priority="113" operator="greaterThan">
      <formula>0.03</formula>
    </cfRule>
    <cfRule type="cellIs" dxfId="1556" priority="114" stopIfTrue="1" operator="lessThan">
      <formula>-0.03</formula>
    </cfRule>
  </conditionalFormatting>
  <conditionalFormatting sqref="AA99">
    <cfRule type="cellIs" dxfId="1555" priority="111" operator="greaterThan">
      <formula>0.03</formula>
    </cfRule>
    <cfRule type="cellIs" dxfId="1554" priority="112" stopIfTrue="1" operator="lessThan">
      <formula>-0.03</formula>
    </cfRule>
  </conditionalFormatting>
  <conditionalFormatting sqref="Y102:Z102">
    <cfRule type="cellIs" dxfId="1553" priority="99" operator="greaterThan">
      <formula>0.03</formula>
    </cfRule>
    <cfRule type="cellIs" dxfId="1552" priority="100" stopIfTrue="1" operator="lessThan">
      <formula>-0.03</formula>
    </cfRule>
  </conditionalFormatting>
  <conditionalFormatting sqref="AP91">
    <cfRule type="cellIs" dxfId="1551" priority="93" operator="greaterThan">
      <formula>0.03</formula>
    </cfRule>
    <cfRule type="cellIs" dxfId="1550" priority="94" stopIfTrue="1" operator="lessThan">
      <formula>-0.03</formula>
    </cfRule>
  </conditionalFormatting>
  <conditionalFormatting sqref="Y98:Z98">
    <cfRule type="cellIs" dxfId="1549" priority="101" operator="greaterThan">
      <formula>0.03</formula>
    </cfRule>
    <cfRule type="cellIs" dxfId="1548" priority="102" stopIfTrue="1" operator="lessThan">
      <formula>-0.03</formula>
    </cfRule>
  </conditionalFormatting>
  <conditionalFormatting sqref="Y106:Z106">
    <cfRule type="cellIs" dxfId="1547" priority="97" operator="greaterThan">
      <formula>0.03</formula>
    </cfRule>
    <cfRule type="cellIs" dxfId="1546" priority="98" stopIfTrue="1" operator="lessThan">
      <formula>-0.03</formula>
    </cfRule>
  </conditionalFormatting>
  <conditionalFormatting sqref="AM91:AO94">
    <cfRule type="cellIs" dxfId="1545" priority="95" operator="greaterThan">
      <formula>0.03</formula>
    </cfRule>
    <cfRule type="cellIs" dxfId="1544" priority="96" stopIfTrue="1" operator="lessThan">
      <formula>-0.03</formula>
    </cfRule>
  </conditionalFormatting>
  <conditionalFormatting sqref="AP86:AQ86">
    <cfRule type="cellIs" dxfId="1543" priority="11" operator="greaterThan">
      <formula>0.03</formula>
    </cfRule>
    <cfRule type="cellIs" dxfId="1542" priority="12" stopIfTrue="1" operator="lessThan">
      <formula>-0.03</formula>
    </cfRule>
  </conditionalFormatting>
  <conditionalFormatting sqref="AR83">
    <cfRule type="cellIs" dxfId="1541" priority="13" operator="greaterThan">
      <formula>0.03</formula>
    </cfRule>
    <cfRule type="cellIs" dxfId="1540" priority="14" stopIfTrue="1" operator="lessThan">
      <formula>-0.03</formula>
    </cfRule>
  </conditionalFormatting>
  <conditionalFormatting sqref="AQ83">
    <cfRule type="cellIs" dxfId="1539" priority="15" operator="greaterThan">
      <formula>0.03</formula>
    </cfRule>
    <cfRule type="cellIs" dxfId="1538" priority="16" stopIfTrue="1" operator="lessThan">
      <formula>-0.03</formula>
    </cfRule>
  </conditionalFormatting>
  <conditionalFormatting sqref="AP87">
    <cfRule type="cellIs" dxfId="1537" priority="7" operator="greaterThan">
      <formula>0.03</formula>
    </cfRule>
    <cfRule type="cellIs" dxfId="1536" priority="8" stopIfTrue="1" operator="lessThan">
      <formula>-0.03</formula>
    </cfRule>
  </conditionalFormatting>
  <conditionalFormatting sqref="AR87">
    <cfRule type="cellIs" dxfId="1535" priority="3" operator="greaterThan">
      <formula>0.03</formula>
    </cfRule>
    <cfRule type="cellIs" dxfId="1534" priority="4" stopIfTrue="1" operator="lessThan">
      <formula>-0.03</formula>
    </cfRule>
  </conditionalFormatting>
  <conditionalFormatting sqref="AP83">
    <cfRule type="cellIs" dxfId="1533" priority="17" operator="greaterThan">
      <formula>0.03</formula>
    </cfRule>
    <cfRule type="cellIs" dxfId="1532" priority="18" stopIfTrue="1" operator="lessThan">
      <formula>-0.03</formula>
    </cfRule>
  </conditionalFormatting>
  <conditionalFormatting sqref="AM87:AO90">
    <cfRule type="cellIs" dxfId="1531" priority="9" operator="greaterThan">
      <formula>0.03</formula>
    </cfRule>
    <cfRule type="cellIs" dxfId="1530" priority="10" stopIfTrue="1" operator="lessThan">
      <formula>-0.03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R117"/>
  <sheetViews>
    <sheetView topLeftCell="O1" workbookViewId="0">
      <selection activeCell="P121" sqref="P121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28" width="10.875" style="1"/>
    <col min="29" max="29" width="9.875" style="1" customWidth="1"/>
    <col min="30" max="32" width="6.875" style="1" customWidth="1"/>
    <col min="33" max="35" width="8.875" style="1" customWidth="1"/>
    <col min="36" max="37" width="5.125" style="1" customWidth="1"/>
    <col min="38" max="38" width="4.625" style="1" customWidth="1"/>
    <col min="39" max="44" width="8.875" style="1" customWidth="1"/>
    <col min="45" max="16384" width="10.875" style="1"/>
  </cols>
  <sheetData>
    <row r="1" spans="1:44" ht="12.75" thickBot="1" x14ac:dyDescent="0.25">
      <c r="D1" s="116" t="s">
        <v>12</v>
      </c>
      <c r="E1" s="117"/>
      <c r="F1" s="117"/>
      <c r="G1" s="117"/>
      <c r="H1" s="117"/>
      <c r="I1" s="117"/>
      <c r="J1" s="118"/>
      <c r="L1" s="116" t="s">
        <v>13</v>
      </c>
      <c r="M1" s="117"/>
      <c r="N1" s="117"/>
      <c r="O1" s="117"/>
      <c r="P1" s="117"/>
      <c r="Q1" s="117"/>
      <c r="R1" s="118"/>
      <c r="S1" s="38"/>
      <c r="T1" s="38"/>
      <c r="U1" s="2"/>
      <c r="V1" s="116" t="s">
        <v>24</v>
      </c>
      <c r="W1" s="117"/>
      <c r="X1" s="118"/>
      <c r="Y1" s="116" t="s">
        <v>25</v>
      </c>
      <c r="Z1" s="117"/>
      <c r="AA1" s="118"/>
      <c r="AC1" s="116" t="s">
        <v>37</v>
      </c>
      <c r="AD1" s="117"/>
      <c r="AE1" s="117"/>
      <c r="AF1" s="117"/>
      <c r="AG1" s="117"/>
      <c r="AH1" s="117"/>
      <c r="AI1" s="118"/>
      <c r="AJ1" s="38"/>
      <c r="AK1" s="38"/>
      <c r="AM1" s="116" t="s">
        <v>24</v>
      </c>
      <c r="AN1" s="117"/>
      <c r="AO1" s="118"/>
      <c r="AP1" s="116" t="s">
        <v>25</v>
      </c>
      <c r="AQ1" s="117"/>
      <c r="AR1" s="118"/>
    </row>
    <row r="2" spans="1:44" ht="12.75" thickBot="1" x14ac:dyDescent="0.25">
      <c r="A2" s="58"/>
      <c r="B2" s="54"/>
      <c r="C2" s="53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40</v>
      </c>
      <c r="T2" s="7" t="s">
        <v>41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  <c r="AC2" s="8" t="s">
        <v>14</v>
      </c>
      <c r="AD2" s="9" t="s">
        <v>15</v>
      </c>
      <c r="AE2" s="9" t="s">
        <v>16</v>
      </c>
      <c r="AF2" s="9" t="s">
        <v>17</v>
      </c>
      <c r="AG2" s="9" t="s">
        <v>18</v>
      </c>
      <c r="AH2" s="9" t="s">
        <v>19</v>
      </c>
      <c r="AI2" s="10" t="s">
        <v>20</v>
      </c>
      <c r="AJ2" s="7" t="s">
        <v>40</v>
      </c>
      <c r="AK2" s="7" t="s">
        <v>41</v>
      </c>
      <c r="AM2" s="8" t="s">
        <v>21</v>
      </c>
      <c r="AN2" s="9" t="s">
        <v>22</v>
      </c>
      <c r="AO2" s="10" t="s">
        <v>23</v>
      </c>
      <c r="AP2" s="8" t="s">
        <v>21</v>
      </c>
      <c r="AQ2" s="9" t="s">
        <v>22</v>
      </c>
      <c r="AR2" s="10" t="s">
        <v>23</v>
      </c>
    </row>
    <row r="3" spans="1:44" x14ac:dyDescent="0.2">
      <c r="A3" s="11" t="s">
        <v>75</v>
      </c>
      <c r="B3" s="11" t="s">
        <v>420</v>
      </c>
      <c r="C3" s="11">
        <v>22</v>
      </c>
      <c r="D3" s="12">
        <f>TM!B105</f>
        <v>0</v>
      </c>
      <c r="E3" s="13">
        <f>TM!C105</f>
        <v>0</v>
      </c>
      <c r="F3" s="13">
        <f>TM!D105</f>
        <v>0</v>
      </c>
      <c r="G3" s="13">
        <f>TM!E105</f>
        <v>0</v>
      </c>
      <c r="H3" s="13">
        <f>TM!F105</f>
        <v>0</v>
      </c>
      <c r="I3" s="13">
        <f>TM!G105</f>
        <v>0</v>
      </c>
      <c r="J3" s="14">
        <f>H3/3600</f>
        <v>0</v>
      </c>
      <c r="L3" s="12">
        <f>Test!B105</f>
        <v>0</v>
      </c>
      <c r="M3" s="13">
        <f>Test!C105</f>
        <v>0</v>
      </c>
      <c r="N3" s="13">
        <f>Test!D105</f>
        <v>0</v>
      </c>
      <c r="O3" s="13">
        <f>Test!E105</f>
        <v>0</v>
      </c>
      <c r="P3" s="13">
        <f>Test!F105</f>
        <v>0</v>
      </c>
      <c r="Q3" s="13">
        <f>Test!G105</f>
        <v>0</v>
      </c>
      <c r="R3" s="14">
        <f>P3/3600</f>
        <v>0</v>
      </c>
      <c r="S3" s="13" t="e">
        <f>P3/H3</f>
        <v>#DIV/0!</v>
      </c>
      <c r="T3" s="13" t="e">
        <f>Q3/I3</f>
        <v>#DIV/0!</v>
      </c>
      <c r="U3" s="59"/>
      <c r="V3" s="42" t="e">
        <f>bdrate($D3:$D6,E3:E6,$L3:$L6,M3:M6)</f>
        <v>#VALUE!</v>
      </c>
      <c r="W3" s="47" t="e">
        <f>bdrate($D3:$D6,F3:F6,$L3:$L6,N3:N6)</f>
        <v>#VALUE!</v>
      </c>
      <c r="X3" s="48" t="e">
        <f>bdrate($D3:$D6,G3:G6,$L3:$L6,O3:O6)</f>
        <v>#VALUE!</v>
      </c>
      <c r="Y3" s="42" t="e">
        <f>bdrateOld($D3:$D6,E3:E6,$L3:$L6,M3:M6)</f>
        <v>#VALUE!</v>
      </c>
      <c r="Z3" s="47" t="e">
        <f>bdrateOld($D3:$D6,F3:F6,$L3:$L6,N3:N6)</f>
        <v>#VALUE!</v>
      </c>
      <c r="AA3" s="48" t="e">
        <f>bdrateOld($D3:$D6,G3:G6,$L3:$L6,O3:O6)</f>
        <v>#VALUE!</v>
      </c>
      <c r="AB3" s="54"/>
      <c r="AC3" s="12">
        <f>BMS!B105</f>
        <v>0</v>
      </c>
      <c r="AD3" s="13">
        <f>BMS!C105</f>
        <v>0</v>
      </c>
      <c r="AE3" s="13">
        <f>BMS!D105</f>
        <v>0</v>
      </c>
      <c r="AF3" s="13">
        <f>BMS!E105</f>
        <v>0</v>
      </c>
      <c r="AG3" s="13">
        <f>BMS!F105</f>
        <v>0</v>
      </c>
      <c r="AH3" s="13">
        <f>BMS!G105</f>
        <v>0</v>
      </c>
      <c r="AI3" s="14">
        <f>AG3/3600</f>
        <v>0</v>
      </c>
      <c r="AJ3" s="13" t="e">
        <f>R3/AI3</f>
        <v>#DIV/0!</v>
      </c>
      <c r="AK3" s="13" t="e">
        <f>Q3/AH3</f>
        <v>#DIV/0!</v>
      </c>
      <c r="AL3" s="54"/>
      <c r="AM3" s="42" t="e">
        <f>bdrate($AC3:$AC6,AD3:AD6,$L3:$L6, M3:M6)</f>
        <v>#VALUE!</v>
      </c>
      <c r="AN3" s="47" t="e">
        <f>bdrate($AC3:$AC6,AE3:AE6,$L3:$L6, N3:N6)</f>
        <v>#VALUE!</v>
      </c>
      <c r="AO3" s="48" t="e">
        <f>bdrate($AC3:$AC6,AF3:AF6,$L3:$L6, O3:O6)</f>
        <v>#VALUE!</v>
      </c>
      <c r="AP3" s="42" t="e">
        <f>bdrateOld($AC3:$AC6,AD3:AD6,$L3:$L6, M3:M6)</f>
        <v>#VALUE!</v>
      </c>
      <c r="AQ3" s="47" t="e">
        <f>bdrateOld($AC3:$AC6,AE3:AE6,$L3:$L6, N3:N6)</f>
        <v>#VALUE!</v>
      </c>
      <c r="AR3" s="48" t="e">
        <f>bdrateOld($AC3:$AC6,AF3:AF6,$L3:$L6, O3:O6)</f>
        <v>#VALUE!</v>
      </c>
    </row>
    <row r="4" spans="1:44" x14ac:dyDescent="0.2">
      <c r="A4" s="16" t="s">
        <v>48</v>
      </c>
      <c r="B4" s="16"/>
      <c r="C4" s="16">
        <v>27</v>
      </c>
      <c r="D4" s="17">
        <f>TM!B106</f>
        <v>0</v>
      </c>
      <c r="E4" s="18">
        <f>TM!C106</f>
        <v>0</v>
      </c>
      <c r="F4" s="18">
        <f>TM!D106</f>
        <v>0</v>
      </c>
      <c r="G4" s="18">
        <f>TM!E106</f>
        <v>0</v>
      </c>
      <c r="H4" s="18">
        <f>TM!F106</f>
        <v>0</v>
      </c>
      <c r="I4" s="18">
        <f>TM!G106</f>
        <v>0</v>
      </c>
      <c r="J4" s="19">
        <f t="shared" ref="J4:J59" si="0">H4/3600</f>
        <v>0</v>
      </c>
      <c r="L4" s="17">
        <f>Test!B106</f>
        <v>0</v>
      </c>
      <c r="M4" s="18">
        <f>Test!C106</f>
        <v>0</v>
      </c>
      <c r="N4" s="18">
        <f>Test!D106</f>
        <v>0</v>
      </c>
      <c r="O4" s="18">
        <f>Test!E106</f>
        <v>0</v>
      </c>
      <c r="P4" s="18">
        <f>Test!F106</f>
        <v>0</v>
      </c>
      <c r="Q4" s="18">
        <f>Test!G106</f>
        <v>0</v>
      </c>
      <c r="R4" s="19">
        <f t="shared" ref="R4:R59" si="1">P4/3600</f>
        <v>0</v>
      </c>
      <c r="S4" s="18" t="e">
        <f t="shared" ref="S4:T46" si="2">P4/H4</f>
        <v>#DIV/0!</v>
      </c>
      <c r="T4" s="18" t="e">
        <f t="shared" si="2"/>
        <v>#DIV/0!</v>
      </c>
      <c r="U4" s="60"/>
      <c r="V4" s="43"/>
      <c r="W4" s="26"/>
      <c r="X4" s="55"/>
      <c r="Y4" s="43"/>
      <c r="Z4" s="26"/>
      <c r="AA4" s="55"/>
      <c r="AB4" s="20"/>
      <c r="AC4" s="17">
        <f>BMS!B106</f>
        <v>0</v>
      </c>
      <c r="AD4" s="18">
        <f>BMS!C106</f>
        <v>0</v>
      </c>
      <c r="AE4" s="18">
        <f>BMS!D106</f>
        <v>0</v>
      </c>
      <c r="AF4" s="18">
        <f>BMS!E106</f>
        <v>0</v>
      </c>
      <c r="AG4" s="18">
        <f>BMS!F106</f>
        <v>0</v>
      </c>
      <c r="AH4" s="18">
        <f>BMS!G106</f>
        <v>0</v>
      </c>
      <c r="AI4" s="19">
        <f t="shared" ref="AI4:AI78" si="3">AG4/3600</f>
        <v>0</v>
      </c>
      <c r="AJ4" s="18" t="e">
        <f t="shared" ref="AJ4:AJ75" si="4">R4/AI4</f>
        <v>#DIV/0!</v>
      </c>
      <c r="AK4" s="18" t="e">
        <f t="shared" ref="AK4:AK75" si="5">Q4/AH4</f>
        <v>#DIV/0!</v>
      </c>
      <c r="AL4" s="20"/>
      <c r="AM4" s="43"/>
      <c r="AN4" s="26"/>
      <c r="AO4" s="55"/>
      <c r="AP4" s="43"/>
      <c r="AQ4" s="26"/>
      <c r="AR4" s="55"/>
    </row>
    <row r="5" spans="1:44" x14ac:dyDescent="0.2">
      <c r="A5" s="16"/>
      <c r="B5" s="16"/>
      <c r="C5" s="16">
        <v>32</v>
      </c>
      <c r="D5" s="17">
        <f>TM!B107</f>
        <v>0</v>
      </c>
      <c r="E5" s="18">
        <f>TM!C107</f>
        <v>0</v>
      </c>
      <c r="F5" s="18">
        <f>TM!D107</f>
        <v>0</v>
      </c>
      <c r="G5" s="18">
        <f>TM!E107</f>
        <v>0</v>
      </c>
      <c r="H5" s="18">
        <f>TM!F107</f>
        <v>0</v>
      </c>
      <c r="I5" s="18">
        <f>TM!G107</f>
        <v>0</v>
      </c>
      <c r="J5" s="19">
        <f t="shared" si="0"/>
        <v>0</v>
      </c>
      <c r="L5" s="17">
        <f>Test!B107</f>
        <v>0</v>
      </c>
      <c r="M5" s="18">
        <f>Test!C107</f>
        <v>0</v>
      </c>
      <c r="N5" s="18">
        <f>Test!D107</f>
        <v>0</v>
      </c>
      <c r="O5" s="18">
        <f>Test!E107</f>
        <v>0</v>
      </c>
      <c r="P5" s="18">
        <f>Test!F107</f>
        <v>0</v>
      </c>
      <c r="Q5" s="18">
        <f>Test!G107</f>
        <v>0</v>
      </c>
      <c r="R5" s="19">
        <f t="shared" si="1"/>
        <v>0</v>
      </c>
      <c r="S5" s="18" t="e">
        <f t="shared" si="2"/>
        <v>#DIV/0!</v>
      </c>
      <c r="T5" s="18" t="e">
        <f t="shared" si="2"/>
        <v>#DIV/0!</v>
      </c>
      <c r="U5" s="60"/>
      <c r="V5" s="43"/>
      <c r="W5" s="26"/>
      <c r="X5" s="55"/>
      <c r="Y5" s="43"/>
      <c r="Z5" s="26"/>
      <c r="AA5" s="55"/>
      <c r="AB5" s="20"/>
      <c r="AC5" s="17">
        <f>BMS!B107</f>
        <v>0</v>
      </c>
      <c r="AD5" s="18">
        <f>BMS!C107</f>
        <v>0</v>
      </c>
      <c r="AE5" s="18">
        <f>BMS!D107</f>
        <v>0</v>
      </c>
      <c r="AF5" s="18">
        <f>BMS!E107</f>
        <v>0</v>
      </c>
      <c r="AG5" s="18">
        <f>BMS!F107</f>
        <v>0</v>
      </c>
      <c r="AH5" s="18">
        <f>BMS!G107</f>
        <v>0</v>
      </c>
      <c r="AI5" s="19">
        <f t="shared" si="3"/>
        <v>0</v>
      </c>
      <c r="AJ5" s="18" t="e">
        <f t="shared" si="4"/>
        <v>#DIV/0!</v>
      </c>
      <c r="AK5" s="18" t="e">
        <f t="shared" si="5"/>
        <v>#DIV/0!</v>
      </c>
      <c r="AL5" s="20"/>
      <c r="AM5" s="43"/>
      <c r="AN5" s="26"/>
      <c r="AO5" s="55"/>
      <c r="AP5" s="43"/>
      <c r="AQ5" s="26"/>
      <c r="AR5" s="55"/>
    </row>
    <row r="6" spans="1:44" ht="12.75" thickBot="1" x14ac:dyDescent="0.25">
      <c r="A6" s="16"/>
      <c r="B6" s="21"/>
      <c r="C6" s="21">
        <v>37</v>
      </c>
      <c r="D6" s="22">
        <f>TM!B108</f>
        <v>0</v>
      </c>
      <c r="E6" s="23">
        <f>TM!C108</f>
        <v>0</v>
      </c>
      <c r="F6" s="23">
        <f>TM!D108</f>
        <v>0</v>
      </c>
      <c r="G6" s="23">
        <f>TM!E108</f>
        <v>0</v>
      </c>
      <c r="H6" s="23">
        <f>TM!F108</f>
        <v>0</v>
      </c>
      <c r="I6" s="23">
        <f>TM!G108</f>
        <v>0</v>
      </c>
      <c r="J6" s="24">
        <f t="shared" si="0"/>
        <v>0</v>
      </c>
      <c r="L6" s="22">
        <f>Test!B108</f>
        <v>0</v>
      </c>
      <c r="M6" s="23">
        <f>Test!C108</f>
        <v>0</v>
      </c>
      <c r="N6" s="23">
        <f>Test!D108</f>
        <v>0</v>
      </c>
      <c r="O6" s="23">
        <f>Test!E108</f>
        <v>0</v>
      </c>
      <c r="P6" s="23">
        <f>Test!F108</f>
        <v>0</v>
      </c>
      <c r="Q6" s="23">
        <f>Test!G108</f>
        <v>0</v>
      </c>
      <c r="R6" s="24">
        <f t="shared" si="1"/>
        <v>0</v>
      </c>
      <c r="S6" s="18" t="e">
        <f t="shared" si="2"/>
        <v>#DIV/0!</v>
      </c>
      <c r="T6" s="18" t="e">
        <f t="shared" si="2"/>
        <v>#DIV/0!</v>
      </c>
      <c r="U6" s="60"/>
      <c r="V6" s="44"/>
      <c r="W6" s="56"/>
      <c r="X6" s="57"/>
      <c r="Y6" s="44"/>
      <c r="Z6" s="56"/>
      <c r="AA6" s="57"/>
      <c r="AB6" s="20"/>
      <c r="AC6" s="22">
        <f>BMS!B108</f>
        <v>0</v>
      </c>
      <c r="AD6" s="23">
        <f>BMS!C108</f>
        <v>0</v>
      </c>
      <c r="AE6" s="23">
        <f>BMS!D108</f>
        <v>0</v>
      </c>
      <c r="AF6" s="23">
        <f>BMS!E108</f>
        <v>0</v>
      </c>
      <c r="AG6" s="23">
        <f>BMS!F108</f>
        <v>0</v>
      </c>
      <c r="AH6" s="23">
        <f>BMS!G108</f>
        <v>0</v>
      </c>
      <c r="AI6" s="24">
        <f t="shared" si="3"/>
        <v>0</v>
      </c>
      <c r="AJ6" s="18" t="e">
        <f t="shared" si="4"/>
        <v>#DIV/0!</v>
      </c>
      <c r="AK6" s="18" t="e">
        <f t="shared" si="5"/>
        <v>#DIV/0!</v>
      </c>
      <c r="AL6" s="20"/>
      <c r="AM6" s="44"/>
      <c r="AN6" s="56"/>
      <c r="AO6" s="57"/>
      <c r="AP6" s="44"/>
      <c r="AQ6" s="56"/>
      <c r="AR6" s="57"/>
    </row>
    <row r="7" spans="1:44" x14ac:dyDescent="0.2">
      <c r="A7" s="16"/>
      <c r="B7" s="11" t="s">
        <v>421</v>
      </c>
      <c r="C7" s="11">
        <v>22</v>
      </c>
      <c r="D7" s="12">
        <f>TM!B109</f>
        <v>0</v>
      </c>
      <c r="E7" s="13">
        <f>TM!C109</f>
        <v>0</v>
      </c>
      <c r="F7" s="13">
        <f>TM!D109</f>
        <v>0</v>
      </c>
      <c r="G7" s="13">
        <f>TM!E109</f>
        <v>0</v>
      </c>
      <c r="H7" s="13">
        <f>TM!F109</f>
        <v>0</v>
      </c>
      <c r="I7" s="13">
        <f>TM!G109</f>
        <v>0</v>
      </c>
      <c r="J7" s="14">
        <f t="shared" si="0"/>
        <v>0</v>
      </c>
      <c r="L7" s="12">
        <f>Test!B109</f>
        <v>0</v>
      </c>
      <c r="M7" s="13">
        <f>Test!C109</f>
        <v>0</v>
      </c>
      <c r="N7" s="13">
        <f>Test!D109</f>
        <v>0</v>
      </c>
      <c r="O7" s="13">
        <f>Test!E109</f>
        <v>0</v>
      </c>
      <c r="P7" s="13">
        <f>Test!F109</f>
        <v>0</v>
      </c>
      <c r="Q7" s="13">
        <f>Test!G109</f>
        <v>0</v>
      </c>
      <c r="R7" s="14">
        <f t="shared" si="1"/>
        <v>0</v>
      </c>
      <c r="S7" s="18" t="e">
        <f t="shared" si="2"/>
        <v>#DIV/0!</v>
      </c>
      <c r="T7" s="18" t="e">
        <f t="shared" si="2"/>
        <v>#DIV/0!</v>
      </c>
      <c r="U7" s="60"/>
      <c r="V7" s="42" t="e">
        <f>bdrate($D7:$D10,E7:E10,$L7:$L10,M7:M10)</f>
        <v>#VALUE!</v>
      </c>
      <c r="W7" s="47" t="e">
        <f>bdrate($D7:$D10,F7:F10,$L7:$L10,N7:N10)</f>
        <v>#VALUE!</v>
      </c>
      <c r="X7" s="47" t="e">
        <f>bdrate($D7:$D10,G7:G10,$L7:$L10,O7:O10)</f>
        <v>#VALUE!</v>
      </c>
      <c r="Y7" s="45" t="e">
        <f>bdrateOld($D7:$D10,E7:E10,$L7:$L10,M7:M10)</f>
        <v>#VALUE!</v>
      </c>
      <c r="Z7" s="49" t="e">
        <f>bdrateOld($D7:$D10,F7:F10,$L7:$L10,N7:N10)</f>
        <v>#VALUE!</v>
      </c>
      <c r="AA7" s="50" t="e">
        <f>bdrateOld($D7:$D10,G7:G10,$L7:$L10,O7:O10)</f>
        <v>#VALUE!</v>
      </c>
      <c r="AB7" s="20"/>
      <c r="AC7" s="12">
        <f>BMS!B109</f>
        <v>0</v>
      </c>
      <c r="AD7" s="13">
        <f>BMS!C109</f>
        <v>0</v>
      </c>
      <c r="AE7" s="13">
        <f>BMS!D109</f>
        <v>0</v>
      </c>
      <c r="AF7" s="13">
        <f>BMS!E109</f>
        <v>0</v>
      </c>
      <c r="AG7" s="13">
        <f>BMS!F109</f>
        <v>0</v>
      </c>
      <c r="AH7" s="13">
        <f>BMS!G109</f>
        <v>0</v>
      </c>
      <c r="AI7" s="14">
        <f t="shared" si="3"/>
        <v>0</v>
      </c>
      <c r="AJ7" s="18" t="e">
        <f t="shared" si="4"/>
        <v>#DIV/0!</v>
      </c>
      <c r="AK7" s="18" t="e">
        <f t="shared" si="5"/>
        <v>#DIV/0!</v>
      </c>
      <c r="AL7" s="20"/>
      <c r="AM7" s="42" t="e">
        <f>bdrate($AC7:$AC10,AD7:AD10,$L7:$L10, M7:M10)</f>
        <v>#VALUE!</v>
      </c>
      <c r="AN7" s="47" t="e">
        <f>bdrate($AC7:$AC10,AE7:AE10,$L7:$L10, N7:N10)</f>
        <v>#VALUE!</v>
      </c>
      <c r="AO7" s="48" t="e">
        <f>bdrate($AC7:$AC10,AF7:AF10,$L7:$L10, O7:O10)</f>
        <v>#VALUE!</v>
      </c>
      <c r="AP7" s="42" t="e">
        <f>bdrateOld($AC7:$AC10,AD7:AD10,$L7:$L10, M7:M10)</f>
        <v>#VALUE!</v>
      </c>
      <c r="AQ7" s="47" t="e">
        <f>bdrateOld($AC7:$AC10,AE7:AE10,$L7:$L10, N7:N10)</f>
        <v>#VALUE!</v>
      </c>
      <c r="AR7" s="48" t="e">
        <f>bdrateOld($AC7:$AC10,AF7:AF10,$L7:$L10, O7:O10)</f>
        <v>#VALUE!</v>
      </c>
    </row>
    <row r="8" spans="1:44" x14ac:dyDescent="0.2">
      <c r="A8" s="16"/>
      <c r="B8" s="16"/>
      <c r="C8" s="16">
        <v>27</v>
      </c>
      <c r="D8" s="17">
        <f>TM!B110</f>
        <v>0</v>
      </c>
      <c r="E8" s="18">
        <f>TM!C110</f>
        <v>0</v>
      </c>
      <c r="F8" s="18">
        <f>TM!D110</f>
        <v>0</v>
      </c>
      <c r="G8" s="18">
        <f>TM!E110</f>
        <v>0</v>
      </c>
      <c r="H8" s="18">
        <f>TM!F110</f>
        <v>0</v>
      </c>
      <c r="I8" s="18">
        <f>TM!G110</f>
        <v>0</v>
      </c>
      <c r="J8" s="19">
        <f t="shared" si="0"/>
        <v>0</v>
      </c>
      <c r="L8" s="17">
        <f>Test!B110</f>
        <v>0</v>
      </c>
      <c r="M8" s="18">
        <f>Test!C110</f>
        <v>0</v>
      </c>
      <c r="N8" s="18">
        <f>Test!D110</f>
        <v>0</v>
      </c>
      <c r="O8" s="18">
        <f>Test!E110</f>
        <v>0</v>
      </c>
      <c r="P8" s="18">
        <f>Test!F110</f>
        <v>0</v>
      </c>
      <c r="Q8" s="18">
        <f>Test!G110</f>
        <v>0</v>
      </c>
      <c r="R8" s="19">
        <f t="shared" si="1"/>
        <v>0</v>
      </c>
      <c r="S8" s="18" t="e">
        <f t="shared" si="2"/>
        <v>#DIV/0!</v>
      </c>
      <c r="T8" s="18" t="e">
        <f t="shared" si="2"/>
        <v>#DIV/0!</v>
      </c>
      <c r="U8" s="60"/>
      <c r="V8" s="43"/>
      <c r="W8" s="26"/>
      <c r="X8" s="26"/>
      <c r="Y8" s="43"/>
      <c r="Z8" s="26"/>
      <c r="AA8" s="55"/>
      <c r="AB8" s="20"/>
      <c r="AC8" s="17">
        <f>BMS!B110</f>
        <v>0</v>
      </c>
      <c r="AD8" s="18">
        <f>BMS!C110</f>
        <v>0</v>
      </c>
      <c r="AE8" s="18">
        <f>BMS!D110</f>
        <v>0</v>
      </c>
      <c r="AF8" s="18">
        <f>BMS!E110</f>
        <v>0</v>
      </c>
      <c r="AG8" s="18">
        <f>BMS!F110</f>
        <v>0</v>
      </c>
      <c r="AH8" s="18">
        <f>BMS!G110</f>
        <v>0</v>
      </c>
      <c r="AI8" s="19">
        <f t="shared" si="3"/>
        <v>0</v>
      </c>
      <c r="AJ8" s="18" t="e">
        <f t="shared" si="4"/>
        <v>#DIV/0!</v>
      </c>
      <c r="AK8" s="18" t="e">
        <f t="shared" si="5"/>
        <v>#DIV/0!</v>
      </c>
      <c r="AL8" s="20"/>
      <c r="AM8" s="43"/>
      <c r="AN8" s="26"/>
      <c r="AO8" s="55"/>
      <c r="AP8" s="43"/>
      <c r="AQ8" s="26"/>
      <c r="AR8" s="55"/>
    </row>
    <row r="9" spans="1:44" x14ac:dyDescent="0.2">
      <c r="A9" s="16"/>
      <c r="B9" s="16"/>
      <c r="C9" s="16">
        <v>32</v>
      </c>
      <c r="D9" s="17">
        <f>TM!B111</f>
        <v>0</v>
      </c>
      <c r="E9" s="18">
        <f>TM!C111</f>
        <v>0</v>
      </c>
      <c r="F9" s="18">
        <f>TM!D111</f>
        <v>0</v>
      </c>
      <c r="G9" s="18">
        <f>TM!E111</f>
        <v>0</v>
      </c>
      <c r="H9" s="18">
        <f>TM!F111</f>
        <v>0</v>
      </c>
      <c r="I9" s="18">
        <f>TM!G111</f>
        <v>0</v>
      </c>
      <c r="J9" s="19">
        <f t="shared" si="0"/>
        <v>0</v>
      </c>
      <c r="L9" s="17">
        <f>Test!B111</f>
        <v>0</v>
      </c>
      <c r="M9" s="18">
        <f>Test!C111</f>
        <v>0</v>
      </c>
      <c r="N9" s="18">
        <f>Test!D111</f>
        <v>0</v>
      </c>
      <c r="O9" s="18">
        <f>Test!E111</f>
        <v>0</v>
      </c>
      <c r="P9" s="18">
        <f>Test!F111</f>
        <v>0</v>
      </c>
      <c r="Q9" s="18">
        <f>Test!G111</f>
        <v>0</v>
      </c>
      <c r="R9" s="19">
        <f t="shared" si="1"/>
        <v>0</v>
      </c>
      <c r="S9" s="18" t="e">
        <f t="shared" si="2"/>
        <v>#DIV/0!</v>
      </c>
      <c r="T9" s="18" t="e">
        <f t="shared" si="2"/>
        <v>#DIV/0!</v>
      </c>
      <c r="U9" s="60"/>
      <c r="V9" s="43"/>
      <c r="W9" s="26"/>
      <c r="X9" s="26"/>
      <c r="Y9" s="43"/>
      <c r="Z9" s="26"/>
      <c r="AA9" s="55"/>
      <c r="AB9" s="20"/>
      <c r="AC9" s="17">
        <f>BMS!B111</f>
        <v>0</v>
      </c>
      <c r="AD9" s="18">
        <f>BMS!C111</f>
        <v>0</v>
      </c>
      <c r="AE9" s="18">
        <f>BMS!D111</f>
        <v>0</v>
      </c>
      <c r="AF9" s="18">
        <f>BMS!E111</f>
        <v>0</v>
      </c>
      <c r="AG9" s="18">
        <f>BMS!F111</f>
        <v>0</v>
      </c>
      <c r="AH9" s="18">
        <f>BMS!G111</f>
        <v>0</v>
      </c>
      <c r="AI9" s="19">
        <f t="shared" si="3"/>
        <v>0</v>
      </c>
      <c r="AJ9" s="18" t="e">
        <f t="shared" si="4"/>
        <v>#DIV/0!</v>
      </c>
      <c r="AK9" s="18" t="e">
        <f t="shared" si="5"/>
        <v>#DIV/0!</v>
      </c>
      <c r="AL9" s="20"/>
      <c r="AM9" s="43"/>
      <c r="AN9" s="26"/>
      <c r="AO9" s="55"/>
      <c r="AP9" s="43"/>
      <c r="AQ9" s="26"/>
      <c r="AR9" s="55"/>
    </row>
    <row r="10" spans="1:44" ht="12.75" thickBot="1" x14ac:dyDescent="0.25">
      <c r="A10" s="16"/>
      <c r="B10" s="21"/>
      <c r="C10" s="21">
        <v>37</v>
      </c>
      <c r="D10" s="22">
        <f>TM!B112</f>
        <v>0</v>
      </c>
      <c r="E10" s="23">
        <f>TM!C112</f>
        <v>0</v>
      </c>
      <c r="F10" s="23">
        <f>TM!D112</f>
        <v>0</v>
      </c>
      <c r="G10" s="23">
        <f>TM!E112</f>
        <v>0</v>
      </c>
      <c r="H10" s="23">
        <f>TM!F112</f>
        <v>0</v>
      </c>
      <c r="I10" s="23">
        <f>TM!G112</f>
        <v>0</v>
      </c>
      <c r="J10" s="24">
        <f t="shared" si="0"/>
        <v>0</v>
      </c>
      <c r="L10" s="22">
        <f>Test!B112</f>
        <v>0</v>
      </c>
      <c r="M10" s="23">
        <f>Test!C112</f>
        <v>0</v>
      </c>
      <c r="N10" s="23">
        <f>Test!D112</f>
        <v>0</v>
      </c>
      <c r="O10" s="23">
        <f>Test!E112</f>
        <v>0</v>
      </c>
      <c r="P10" s="23">
        <f>Test!F112</f>
        <v>0</v>
      </c>
      <c r="Q10" s="23">
        <f>Test!G112</f>
        <v>0</v>
      </c>
      <c r="R10" s="24">
        <f t="shared" si="1"/>
        <v>0</v>
      </c>
      <c r="S10" s="18" t="e">
        <f t="shared" si="2"/>
        <v>#DIV/0!</v>
      </c>
      <c r="T10" s="18" t="e">
        <f t="shared" si="2"/>
        <v>#DIV/0!</v>
      </c>
      <c r="U10" s="60"/>
      <c r="V10" s="44"/>
      <c r="W10" s="56"/>
      <c r="X10" s="56"/>
      <c r="Y10" s="44"/>
      <c r="Z10" s="56"/>
      <c r="AA10" s="57"/>
      <c r="AB10" s="20"/>
      <c r="AC10" s="22">
        <f>BMS!B112</f>
        <v>0</v>
      </c>
      <c r="AD10" s="23">
        <f>BMS!C112</f>
        <v>0</v>
      </c>
      <c r="AE10" s="23">
        <f>BMS!D112</f>
        <v>0</v>
      </c>
      <c r="AF10" s="23">
        <f>BMS!E112</f>
        <v>0</v>
      </c>
      <c r="AG10" s="23">
        <f>BMS!F112</f>
        <v>0</v>
      </c>
      <c r="AH10" s="23">
        <f>BMS!G112</f>
        <v>0</v>
      </c>
      <c r="AI10" s="24">
        <f t="shared" si="3"/>
        <v>0</v>
      </c>
      <c r="AJ10" s="18" t="e">
        <f t="shared" si="4"/>
        <v>#DIV/0!</v>
      </c>
      <c r="AK10" s="18" t="e">
        <f t="shared" si="5"/>
        <v>#DIV/0!</v>
      </c>
      <c r="AL10" s="20"/>
      <c r="AM10" s="44"/>
      <c r="AN10" s="56"/>
      <c r="AO10" s="57"/>
      <c r="AP10" s="44"/>
      <c r="AQ10" s="56"/>
      <c r="AR10" s="57"/>
    </row>
    <row r="11" spans="1:44" x14ac:dyDescent="0.2">
      <c r="A11" s="36"/>
      <c r="B11" s="35" t="s">
        <v>422</v>
      </c>
      <c r="C11" s="35">
        <v>22</v>
      </c>
      <c r="D11" s="12">
        <f>TM!B113</f>
        <v>0</v>
      </c>
      <c r="E11" s="13">
        <f>TM!C113</f>
        <v>0</v>
      </c>
      <c r="F11" s="13">
        <f>TM!D113</f>
        <v>0</v>
      </c>
      <c r="G11" s="13">
        <f>TM!E113</f>
        <v>0</v>
      </c>
      <c r="H11" s="13">
        <f>TM!F113</f>
        <v>0</v>
      </c>
      <c r="I11" s="13">
        <f>TM!G113</f>
        <v>0</v>
      </c>
      <c r="J11" s="14">
        <f t="shared" si="0"/>
        <v>0</v>
      </c>
      <c r="L11" s="12">
        <f>Test!B113</f>
        <v>0</v>
      </c>
      <c r="M11" s="13">
        <f>Test!C113</f>
        <v>0</v>
      </c>
      <c r="N11" s="13">
        <f>Test!D113</f>
        <v>0</v>
      </c>
      <c r="O11" s="13">
        <f>Test!E113</f>
        <v>0</v>
      </c>
      <c r="P11" s="13">
        <f>Test!F113</f>
        <v>0</v>
      </c>
      <c r="Q11" s="13">
        <f>Test!G113</f>
        <v>0</v>
      </c>
      <c r="R11" s="14">
        <f t="shared" si="1"/>
        <v>0</v>
      </c>
      <c r="S11" s="18" t="e">
        <f t="shared" si="2"/>
        <v>#DIV/0!</v>
      </c>
      <c r="T11" s="18" t="e">
        <f t="shared" si="2"/>
        <v>#DIV/0!</v>
      </c>
      <c r="U11" s="60"/>
      <c r="V11" s="42" t="e">
        <f>bdrate($D11:$D14,E11:E14,$L11:$L14,M11:M14)</f>
        <v>#VALUE!</v>
      </c>
      <c r="W11" s="47" t="e">
        <f>bdrate($D11:$D14,F11:F14,$L11:$L14,N11:N14)</f>
        <v>#VALUE!</v>
      </c>
      <c r="X11" s="47" t="e">
        <f>bdrate($D11:$D14,G11:G14,$L11:$L14,O11:O14)</f>
        <v>#VALUE!</v>
      </c>
      <c r="Y11" s="45" t="e">
        <f>bdrateOld($D11:$D14,E11:E14,$L11:$L14,M11:M14)</f>
        <v>#VALUE!</v>
      </c>
      <c r="Z11" s="49" t="e">
        <f>bdrateOld($D11:$D14,F11:F14,$L11:$L14,N11:N14)</f>
        <v>#VALUE!</v>
      </c>
      <c r="AA11" s="50" t="e">
        <f>bdrateOld($D11:$D14,G11:G14,$L11:$L14,O11:O14)</f>
        <v>#VALUE!</v>
      </c>
      <c r="AB11" s="20"/>
      <c r="AC11" s="12">
        <f>BMS!B113</f>
        <v>0</v>
      </c>
      <c r="AD11" s="13">
        <f>BMS!C113</f>
        <v>0</v>
      </c>
      <c r="AE11" s="13">
        <f>BMS!D113</f>
        <v>0</v>
      </c>
      <c r="AF11" s="13">
        <f>BMS!E113</f>
        <v>0</v>
      </c>
      <c r="AG11" s="13">
        <f>BMS!F113</f>
        <v>0</v>
      </c>
      <c r="AH11" s="13">
        <f>BMS!G113</f>
        <v>0</v>
      </c>
      <c r="AI11" s="14">
        <f t="shared" si="3"/>
        <v>0</v>
      </c>
      <c r="AJ11" s="18" t="e">
        <f t="shared" si="4"/>
        <v>#DIV/0!</v>
      </c>
      <c r="AK11" s="18" t="e">
        <f t="shared" si="5"/>
        <v>#DIV/0!</v>
      </c>
      <c r="AL11" s="20"/>
      <c r="AM11" s="42" t="e">
        <f>bdrate($AC11:$AC14,AD11:AD14,$L11:$L14, M11:M14)</f>
        <v>#VALUE!</v>
      </c>
      <c r="AN11" s="47" t="e">
        <f>bdrate($AC11:$AC14,AE11:AE14,$L11:$L14, N11:N14)</f>
        <v>#VALUE!</v>
      </c>
      <c r="AO11" s="48" t="e">
        <f>bdrate($AC11:$AC14,AF11:AF14,$L11:$L14, O11:O14)</f>
        <v>#VALUE!</v>
      </c>
      <c r="AP11" s="42" t="e">
        <f>bdrateOld($AC11:$AC14,AD11:AD14,$L11:$L14, M11:M14)</f>
        <v>#VALUE!</v>
      </c>
      <c r="AQ11" s="47" t="e">
        <f>bdrateOld($AC11:$AC14,AE11:AE14,$L11:$L14, N11:N14)</f>
        <v>#VALUE!</v>
      </c>
      <c r="AR11" s="48" t="e">
        <f>bdrateOld($AC11:$AC14,AF11:AF14,$L11:$L14, O11:O14)</f>
        <v>#VALUE!</v>
      </c>
    </row>
    <row r="12" spans="1:44" x14ac:dyDescent="0.2">
      <c r="A12" s="36"/>
      <c r="B12" s="36"/>
      <c r="C12" s="36">
        <v>27</v>
      </c>
      <c r="D12" s="17">
        <f>TM!B114</f>
        <v>0</v>
      </c>
      <c r="E12" s="18">
        <f>TM!C114</f>
        <v>0</v>
      </c>
      <c r="F12" s="18">
        <f>TM!D114</f>
        <v>0</v>
      </c>
      <c r="G12" s="18">
        <f>TM!E114</f>
        <v>0</v>
      </c>
      <c r="H12" s="18">
        <f>TM!F114</f>
        <v>0</v>
      </c>
      <c r="I12" s="18">
        <f>TM!G114</f>
        <v>0</v>
      </c>
      <c r="J12" s="19">
        <f t="shared" si="0"/>
        <v>0</v>
      </c>
      <c r="L12" s="17">
        <f>Test!B114</f>
        <v>0</v>
      </c>
      <c r="M12" s="18">
        <f>Test!C114</f>
        <v>0</v>
      </c>
      <c r="N12" s="18">
        <f>Test!D114</f>
        <v>0</v>
      </c>
      <c r="O12" s="18">
        <f>Test!E114</f>
        <v>0</v>
      </c>
      <c r="P12" s="18">
        <f>Test!F114</f>
        <v>0</v>
      </c>
      <c r="Q12" s="18">
        <f>Test!G114</f>
        <v>0</v>
      </c>
      <c r="R12" s="19">
        <f t="shared" si="1"/>
        <v>0</v>
      </c>
      <c r="S12" s="18" t="e">
        <f t="shared" si="2"/>
        <v>#DIV/0!</v>
      </c>
      <c r="T12" s="18" t="e">
        <f t="shared" si="2"/>
        <v>#DIV/0!</v>
      </c>
      <c r="U12" s="60"/>
      <c r="V12" s="43"/>
      <c r="W12" s="26"/>
      <c r="X12" s="26"/>
      <c r="Y12" s="43"/>
      <c r="Z12" s="26"/>
      <c r="AA12" s="55"/>
      <c r="AB12" s="20"/>
      <c r="AC12" s="17">
        <f>BMS!B114</f>
        <v>0</v>
      </c>
      <c r="AD12" s="18">
        <f>BMS!C114</f>
        <v>0</v>
      </c>
      <c r="AE12" s="18">
        <f>BMS!D114</f>
        <v>0</v>
      </c>
      <c r="AF12" s="18">
        <f>BMS!E114</f>
        <v>0</v>
      </c>
      <c r="AG12" s="18">
        <f>BMS!F114</f>
        <v>0</v>
      </c>
      <c r="AH12" s="18">
        <f>BMS!G114</f>
        <v>0</v>
      </c>
      <c r="AI12" s="19">
        <f t="shared" si="3"/>
        <v>0</v>
      </c>
      <c r="AJ12" s="18" t="e">
        <f t="shared" si="4"/>
        <v>#DIV/0!</v>
      </c>
      <c r="AK12" s="18" t="e">
        <f t="shared" si="5"/>
        <v>#DIV/0!</v>
      </c>
      <c r="AL12" s="20"/>
      <c r="AM12" s="43"/>
      <c r="AN12" s="26"/>
      <c r="AO12" s="55"/>
      <c r="AP12" s="43"/>
      <c r="AQ12" s="26"/>
      <c r="AR12" s="55"/>
    </row>
    <row r="13" spans="1:44" x14ac:dyDescent="0.2">
      <c r="A13" s="36"/>
      <c r="B13" s="36"/>
      <c r="C13" s="36">
        <v>32</v>
      </c>
      <c r="D13" s="17">
        <f>TM!B115</f>
        <v>0</v>
      </c>
      <c r="E13" s="18">
        <f>TM!C115</f>
        <v>0</v>
      </c>
      <c r="F13" s="18">
        <f>TM!D115</f>
        <v>0</v>
      </c>
      <c r="G13" s="18">
        <f>TM!E115</f>
        <v>0</v>
      </c>
      <c r="H13" s="18">
        <f>TM!F115</f>
        <v>0</v>
      </c>
      <c r="I13" s="18">
        <f>TM!G115</f>
        <v>0</v>
      </c>
      <c r="J13" s="19">
        <f t="shared" si="0"/>
        <v>0</v>
      </c>
      <c r="L13" s="17">
        <f>Test!B115</f>
        <v>0</v>
      </c>
      <c r="M13" s="18">
        <f>Test!C115</f>
        <v>0</v>
      </c>
      <c r="N13" s="18">
        <f>Test!D115</f>
        <v>0</v>
      </c>
      <c r="O13" s="18">
        <f>Test!E115</f>
        <v>0</v>
      </c>
      <c r="P13" s="18">
        <f>Test!F115</f>
        <v>0</v>
      </c>
      <c r="Q13" s="18">
        <f>Test!G115</f>
        <v>0</v>
      </c>
      <c r="R13" s="19">
        <f t="shared" si="1"/>
        <v>0</v>
      </c>
      <c r="S13" s="18" t="e">
        <f t="shared" si="2"/>
        <v>#DIV/0!</v>
      </c>
      <c r="T13" s="18" t="e">
        <f t="shared" si="2"/>
        <v>#DIV/0!</v>
      </c>
      <c r="U13" s="60"/>
      <c r="V13" s="43"/>
      <c r="W13" s="26"/>
      <c r="X13" s="26"/>
      <c r="Y13" s="43"/>
      <c r="Z13" s="26"/>
      <c r="AA13" s="55"/>
      <c r="AB13" s="20"/>
      <c r="AC13" s="17">
        <f>BMS!B115</f>
        <v>0</v>
      </c>
      <c r="AD13" s="18">
        <f>BMS!C115</f>
        <v>0</v>
      </c>
      <c r="AE13" s="18">
        <f>BMS!D115</f>
        <v>0</v>
      </c>
      <c r="AF13" s="18">
        <f>BMS!E115</f>
        <v>0</v>
      </c>
      <c r="AG13" s="18">
        <f>BMS!F115</f>
        <v>0</v>
      </c>
      <c r="AH13" s="18">
        <f>BMS!G115</f>
        <v>0</v>
      </c>
      <c r="AI13" s="19">
        <f t="shared" si="3"/>
        <v>0</v>
      </c>
      <c r="AJ13" s="18" t="e">
        <f t="shared" si="4"/>
        <v>#DIV/0!</v>
      </c>
      <c r="AK13" s="18" t="e">
        <f t="shared" si="5"/>
        <v>#DIV/0!</v>
      </c>
      <c r="AL13" s="20"/>
      <c r="AM13" s="43"/>
      <c r="AN13" s="26"/>
      <c r="AO13" s="55"/>
      <c r="AP13" s="43"/>
      <c r="AQ13" s="26"/>
      <c r="AR13" s="55"/>
    </row>
    <row r="14" spans="1:44" ht="12.75" thickBot="1" x14ac:dyDescent="0.25">
      <c r="A14" s="36"/>
      <c r="B14" s="37"/>
      <c r="C14" s="37">
        <v>37</v>
      </c>
      <c r="D14" s="22">
        <f>TM!B116</f>
        <v>0</v>
      </c>
      <c r="E14" s="23">
        <f>TM!C116</f>
        <v>0</v>
      </c>
      <c r="F14" s="23">
        <f>TM!D116</f>
        <v>0</v>
      </c>
      <c r="G14" s="23">
        <f>TM!E116</f>
        <v>0</v>
      </c>
      <c r="H14" s="23">
        <f>TM!F116</f>
        <v>0</v>
      </c>
      <c r="I14" s="23">
        <f>TM!G116</f>
        <v>0</v>
      </c>
      <c r="J14" s="24">
        <f t="shared" si="0"/>
        <v>0</v>
      </c>
      <c r="L14" s="22">
        <f>Test!B116</f>
        <v>0</v>
      </c>
      <c r="M14" s="23">
        <f>Test!C116</f>
        <v>0</v>
      </c>
      <c r="N14" s="23">
        <f>Test!D116</f>
        <v>0</v>
      </c>
      <c r="O14" s="23">
        <f>Test!E116</f>
        <v>0</v>
      </c>
      <c r="P14" s="23">
        <f>Test!F116</f>
        <v>0</v>
      </c>
      <c r="Q14" s="23">
        <f>Test!G116</f>
        <v>0</v>
      </c>
      <c r="R14" s="24">
        <f t="shared" si="1"/>
        <v>0</v>
      </c>
      <c r="S14" s="18" t="e">
        <f t="shared" si="2"/>
        <v>#DIV/0!</v>
      </c>
      <c r="T14" s="18" t="e">
        <f t="shared" si="2"/>
        <v>#DIV/0!</v>
      </c>
      <c r="U14" s="60"/>
      <c r="V14" s="44"/>
      <c r="W14" s="56"/>
      <c r="X14" s="56"/>
      <c r="Y14" s="44"/>
      <c r="Z14" s="56"/>
      <c r="AA14" s="57"/>
      <c r="AB14" s="20"/>
      <c r="AC14" s="22">
        <f>BMS!B116</f>
        <v>0</v>
      </c>
      <c r="AD14" s="23">
        <f>BMS!C116</f>
        <v>0</v>
      </c>
      <c r="AE14" s="23">
        <f>BMS!D116</f>
        <v>0</v>
      </c>
      <c r="AF14" s="23">
        <f>BMS!E116</f>
        <v>0</v>
      </c>
      <c r="AG14" s="23">
        <f>BMS!F116</f>
        <v>0</v>
      </c>
      <c r="AH14" s="23">
        <f>BMS!G116</f>
        <v>0</v>
      </c>
      <c r="AI14" s="24">
        <f t="shared" si="3"/>
        <v>0</v>
      </c>
      <c r="AJ14" s="18" t="e">
        <f t="shared" si="4"/>
        <v>#DIV/0!</v>
      </c>
      <c r="AK14" s="18" t="e">
        <f t="shared" si="5"/>
        <v>#DIV/0!</v>
      </c>
      <c r="AL14" s="20"/>
      <c r="AM14" s="44"/>
      <c r="AN14" s="56"/>
      <c r="AO14" s="57"/>
      <c r="AP14" s="44"/>
      <c r="AQ14" s="56"/>
      <c r="AR14" s="57"/>
    </row>
    <row r="15" spans="1:44" x14ac:dyDescent="0.2">
      <c r="A15" s="11" t="s">
        <v>76</v>
      </c>
      <c r="B15" s="11" t="s">
        <v>423</v>
      </c>
      <c r="C15" s="11">
        <v>22</v>
      </c>
      <c r="D15" s="12">
        <f>TM!B117</f>
        <v>0</v>
      </c>
      <c r="E15" s="13">
        <f>TM!C117</f>
        <v>0</v>
      </c>
      <c r="F15" s="13">
        <f>TM!D117</f>
        <v>0</v>
      </c>
      <c r="G15" s="13">
        <f>TM!E117</f>
        <v>0</v>
      </c>
      <c r="H15" s="13">
        <f>TM!F117</f>
        <v>0</v>
      </c>
      <c r="I15" s="13">
        <f>TM!G117</f>
        <v>0</v>
      </c>
      <c r="J15" s="14">
        <f t="shared" si="0"/>
        <v>0</v>
      </c>
      <c r="L15" s="12">
        <f>Test!B117</f>
        <v>0</v>
      </c>
      <c r="M15" s="13">
        <f>Test!C117</f>
        <v>0</v>
      </c>
      <c r="N15" s="13">
        <f>Test!D117</f>
        <v>0</v>
      </c>
      <c r="O15" s="13">
        <f>Test!E117</f>
        <v>0</v>
      </c>
      <c r="P15" s="13">
        <f>Test!F117</f>
        <v>0</v>
      </c>
      <c r="Q15" s="13">
        <f>Test!G117</f>
        <v>0</v>
      </c>
      <c r="R15" s="14">
        <f t="shared" si="1"/>
        <v>0</v>
      </c>
      <c r="S15" s="13" t="e">
        <f>P15/H15</f>
        <v>#DIV/0!</v>
      </c>
      <c r="T15" s="13" t="e">
        <f>Q15/I15</f>
        <v>#DIV/0!</v>
      </c>
      <c r="U15" s="59"/>
      <c r="V15" s="42" t="e">
        <f>bdrate($D15:$D18,E15:E18,$L15:$L18,M15:M18)</f>
        <v>#VALUE!</v>
      </c>
      <c r="W15" s="47" t="e">
        <f>bdrate($D15:$D18,F15:F18,$L15:$L18,N15:N18)</f>
        <v>#VALUE!</v>
      </c>
      <c r="X15" s="48" t="e">
        <f>bdrate($D15:$D18,G15:G18,$L15:$L18,O15:O18)</f>
        <v>#VALUE!</v>
      </c>
      <c r="Y15" s="42" t="e">
        <f>bdrateOld($D15:$D18,E15:E18,$L15:$L18,M15:M18)</f>
        <v>#VALUE!</v>
      </c>
      <c r="Z15" s="47" t="e">
        <f>bdrateOld($D15:$D18,F15:F18,$L15:$L18,N15:N18)</f>
        <v>#VALUE!</v>
      </c>
      <c r="AA15" s="48" t="e">
        <f>bdrateOld($D15:$D18,G15:G18,$L15:$L18,O15:O18)</f>
        <v>#VALUE!</v>
      </c>
      <c r="AB15" s="54"/>
      <c r="AC15" s="12">
        <f>BMS!B117</f>
        <v>0</v>
      </c>
      <c r="AD15" s="13">
        <f>BMS!C117</f>
        <v>0</v>
      </c>
      <c r="AE15" s="13">
        <f>BMS!D117</f>
        <v>0</v>
      </c>
      <c r="AF15" s="13">
        <f>BMS!E117</f>
        <v>0</v>
      </c>
      <c r="AG15" s="13">
        <f>BMS!F117</f>
        <v>0</v>
      </c>
      <c r="AH15" s="13">
        <f>BMS!G117</f>
        <v>0</v>
      </c>
      <c r="AI15" s="14">
        <f>AG15/3600</f>
        <v>0</v>
      </c>
      <c r="AJ15" s="13" t="e">
        <f>R15/AI15</f>
        <v>#DIV/0!</v>
      </c>
      <c r="AK15" s="13" t="e">
        <f>Q15/AH15</f>
        <v>#DIV/0!</v>
      </c>
      <c r="AL15" s="54"/>
      <c r="AM15" s="42" t="e">
        <f>bdrate($AC15:$AC18,AD15:AD18,$L15:$L18, M15:M18)</f>
        <v>#VALUE!</v>
      </c>
      <c r="AN15" s="47" t="e">
        <f>bdrate($AC15:$AC18,AE15:AE18,$L15:$L18, N15:N18)</f>
        <v>#VALUE!</v>
      </c>
      <c r="AO15" s="48" t="e">
        <f>bdrate($AC15:$AC18,AF15:AF18,$L15:$L18, O15:O18)</f>
        <v>#VALUE!</v>
      </c>
      <c r="AP15" s="42" t="e">
        <f>bdrateOld($AC15:$AC18,AD15:AD18,$L15:$L18, M15:M18)</f>
        <v>#VALUE!</v>
      </c>
      <c r="AQ15" s="47" t="e">
        <f>bdrateOld($AC15:$AC18,AE15:AE18,$L15:$L18, N15:N18)</f>
        <v>#VALUE!</v>
      </c>
      <c r="AR15" s="48" t="e">
        <f>bdrateOld($AC15:$AC18,AF15:AF18,$L15:$L18, O15:O18)</f>
        <v>#VALUE!</v>
      </c>
    </row>
    <row r="16" spans="1:44" x14ac:dyDescent="0.2">
      <c r="A16" s="16" t="s">
        <v>48</v>
      </c>
      <c r="B16" s="16"/>
      <c r="C16" s="16">
        <v>27</v>
      </c>
      <c r="D16" s="17">
        <f>TM!B118</f>
        <v>0</v>
      </c>
      <c r="E16" s="18">
        <f>TM!C118</f>
        <v>0</v>
      </c>
      <c r="F16" s="18">
        <f>TM!D118</f>
        <v>0</v>
      </c>
      <c r="G16" s="18">
        <f>TM!E118</f>
        <v>0</v>
      </c>
      <c r="H16" s="18">
        <f>TM!F118</f>
        <v>0</v>
      </c>
      <c r="I16" s="18">
        <f>TM!G118</f>
        <v>0</v>
      </c>
      <c r="J16" s="19">
        <f t="shared" si="0"/>
        <v>0</v>
      </c>
      <c r="L16" s="17">
        <f>Test!B118</f>
        <v>0</v>
      </c>
      <c r="M16" s="18">
        <f>Test!C118</f>
        <v>0</v>
      </c>
      <c r="N16" s="18">
        <f>Test!D118</f>
        <v>0</v>
      </c>
      <c r="O16" s="18">
        <f>Test!E118</f>
        <v>0</v>
      </c>
      <c r="P16" s="18">
        <f>Test!F118</f>
        <v>0</v>
      </c>
      <c r="Q16" s="18">
        <f>Test!G118</f>
        <v>0</v>
      </c>
      <c r="R16" s="19">
        <f t="shared" si="1"/>
        <v>0</v>
      </c>
      <c r="S16" s="18" t="e">
        <f t="shared" ref="S16:S26" si="6">P16/H16</f>
        <v>#DIV/0!</v>
      </c>
      <c r="T16" s="18" t="e">
        <f t="shared" ref="T16:T26" si="7">Q16/I16</f>
        <v>#DIV/0!</v>
      </c>
      <c r="U16" s="60"/>
      <c r="V16" s="43"/>
      <c r="W16" s="26"/>
      <c r="X16" s="55"/>
      <c r="Y16" s="43"/>
      <c r="Z16" s="26"/>
      <c r="AA16" s="55"/>
      <c r="AB16" s="20"/>
      <c r="AC16" s="17">
        <f>BMS!B118</f>
        <v>0</v>
      </c>
      <c r="AD16" s="18">
        <f>BMS!C118</f>
        <v>0</v>
      </c>
      <c r="AE16" s="18">
        <f>BMS!D118</f>
        <v>0</v>
      </c>
      <c r="AF16" s="18">
        <f>BMS!E118</f>
        <v>0</v>
      </c>
      <c r="AG16" s="18">
        <f>BMS!F118</f>
        <v>0</v>
      </c>
      <c r="AH16" s="18">
        <f>BMS!G118</f>
        <v>0</v>
      </c>
      <c r="AI16" s="19">
        <f t="shared" ref="AI16:AI26" si="8">AG16/3600</f>
        <v>0</v>
      </c>
      <c r="AJ16" s="18" t="e">
        <f t="shared" ref="AJ16:AJ26" si="9">R16/AI16</f>
        <v>#DIV/0!</v>
      </c>
      <c r="AK16" s="18" t="e">
        <f t="shared" ref="AK16:AK26" si="10">Q16/AH16</f>
        <v>#DIV/0!</v>
      </c>
      <c r="AL16" s="20"/>
      <c r="AM16" s="43"/>
      <c r="AN16" s="26"/>
      <c r="AO16" s="55"/>
      <c r="AP16" s="43"/>
      <c r="AQ16" s="26"/>
      <c r="AR16" s="55"/>
    </row>
    <row r="17" spans="1:44" x14ac:dyDescent="0.2">
      <c r="A17" s="16"/>
      <c r="B17" s="16"/>
      <c r="C17" s="16">
        <v>32</v>
      </c>
      <c r="D17" s="17">
        <f>TM!B119</f>
        <v>0</v>
      </c>
      <c r="E17" s="18">
        <f>TM!C119</f>
        <v>0</v>
      </c>
      <c r="F17" s="18">
        <f>TM!D119</f>
        <v>0</v>
      </c>
      <c r="G17" s="18">
        <f>TM!E119</f>
        <v>0</v>
      </c>
      <c r="H17" s="18">
        <f>TM!F119</f>
        <v>0</v>
      </c>
      <c r="I17" s="18">
        <f>TM!G119</f>
        <v>0</v>
      </c>
      <c r="J17" s="19">
        <f t="shared" si="0"/>
        <v>0</v>
      </c>
      <c r="L17" s="17">
        <f>Test!B119</f>
        <v>0</v>
      </c>
      <c r="M17" s="18">
        <f>Test!C119</f>
        <v>0</v>
      </c>
      <c r="N17" s="18">
        <f>Test!D119</f>
        <v>0</v>
      </c>
      <c r="O17" s="18">
        <f>Test!E119</f>
        <v>0</v>
      </c>
      <c r="P17" s="18">
        <f>Test!F119</f>
        <v>0</v>
      </c>
      <c r="Q17" s="18">
        <f>Test!G119</f>
        <v>0</v>
      </c>
      <c r="R17" s="19">
        <f t="shared" si="1"/>
        <v>0</v>
      </c>
      <c r="S17" s="18" t="e">
        <f t="shared" si="6"/>
        <v>#DIV/0!</v>
      </c>
      <c r="T17" s="18" t="e">
        <f t="shared" si="7"/>
        <v>#DIV/0!</v>
      </c>
      <c r="U17" s="60"/>
      <c r="V17" s="43"/>
      <c r="W17" s="26"/>
      <c r="X17" s="55"/>
      <c r="Y17" s="43"/>
      <c r="Z17" s="26"/>
      <c r="AA17" s="55"/>
      <c r="AB17" s="20"/>
      <c r="AC17" s="17">
        <f>BMS!B119</f>
        <v>0</v>
      </c>
      <c r="AD17" s="18">
        <f>BMS!C119</f>
        <v>0</v>
      </c>
      <c r="AE17" s="18">
        <f>BMS!D119</f>
        <v>0</v>
      </c>
      <c r="AF17" s="18">
        <f>BMS!E119</f>
        <v>0</v>
      </c>
      <c r="AG17" s="18">
        <f>BMS!F119</f>
        <v>0</v>
      </c>
      <c r="AH17" s="18">
        <f>BMS!G119</f>
        <v>0</v>
      </c>
      <c r="AI17" s="19">
        <f t="shared" si="8"/>
        <v>0</v>
      </c>
      <c r="AJ17" s="18" t="e">
        <f t="shared" si="9"/>
        <v>#DIV/0!</v>
      </c>
      <c r="AK17" s="18" t="e">
        <f t="shared" si="10"/>
        <v>#DIV/0!</v>
      </c>
      <c r="AL17" s="20"/>
      <c r="AM17" s="43"/>
      <c r="AN17" s="26"/>
      <c r="AO17" s="55"/>
      <c r="AP17" s="43"/>
      <c r="AQ17" s="26"/>
      <c r="AR17" s="55"/>
    </row>
    <row r="18" spans="1:44" ht="12.75" thickBot="1" x14ac:dyDescent="0.25">
      <c r="A18" s="16"/>
      <c r="B18" s="21"/>
      <c r="C18" s="21">
        <v>37</v>
      </c>
      <c r="D18" s="22">
        <f>TM!B120</f>
        <v>0</v>
      </c>
      <c r="E18" s="23">
        <f>TM!C120</f>
        <v>0</v>
      </c>
      <c r="F18" s="23">
        <f>TM!D120</f>
        <v>0</v>
      </c>
      <c r="G18" s="23">
        <f>TM!E120</f>
        <v>0</v>
      </c>
      <c r="H18" s="23">
        <f>TM!F120</f>
        <v>0</v>
      </c>
      <c r="I18" s="23">
        <f>TM!G120</f>
        <v>0</v>
      </c>
      <c r="J18" s="24">
        <f t="shared" si="0"/>
        <v>0</v>
      </c>
      <c r="L18" s="22">
        <f>Test!B120</f>
        <v>0</v>
      </c>
      <c r="M18" s="23">
        <f>Test!C120</f>
        <v>0</v>
      </c>
      <c r="N18" s="23">
        <f>Test!D120</f>
        <v>0</v>
      </c>
      <c r="O18" s="23">
        <f>Test!E120</f>
        <v>0</v>
      </c>
      <c r="P18" s="23">
        <f>Test!F120</f>
        <v>0</v>
      </c>
      <c r="Q18" s="23">
        <f>Test!G120</f>
        <v>0</v>
      </c>
      <c r="R18" s="24">
        <f t="shared" si="1"/>
        <v>0</v>
      </c>
      <c r="S18" s="18" t="e">
        <f t="shared" si="6"/>
        <v>#DIV/0!</v>
      </c>
      <c r="T18" s="18" t="e">
        <f t="shared" si="7"/>
        <v>#DIV/0!</v>
      </c>
      <c r="U18" s="60"/>
      <c r="V18" s="44"/>
      <c r="W18" s="56"/>
      <c r="X18" s="57"/>
      <c r="Y18" s="44"/>
      <c r="Z18" s="56"/>
      <c r="AA18" s="57"/>
      <c r="AB18" s="20"/>
      <c r="AC18" s="22">
        <f>BMS!B120</f>
        <v>0</v>
      </c>
      <c r="AD18" s="23">
        <f>BMS!C120</f>
        <v>0</v>
      </c>
      <c r="AE18" s="23">
        <f>BMS!D120</f>
        <v>0</v>
      </c>
      <c r="AF18" s="23">
        <f>BMS!E120</f>
        <v>0</v>
      </c>
      <c r="AG18" s="23">
        <f>BMS!F120</f>
        <v>0</v>
      </c>
      <c r="AH18" s="23">
        <f>BMS!G120</f>
        <v>0</v>
      </c>
      <c r="AI18" s="24">
        <f t="shared" si="8"/>
        <v>0</v>
      </c>
      <c r="AJ18" s="18" t="e">
        <f t="shared" si="9"/>
        <v>#DIV/0!</v>
      </c>
      <c r="AK18" s="18" t="e">
        <f t="shared" si="10"/>
        <v>#DIV/0!</v>
      </c>
      <c r="AL18" s="20"/>
      <c r="AM18" s="44"/>
      <c r="AN18" s="56"/>
      <c r="AO18" s="57"/>
      <c r="AP18" s="44"/>
      <c r="AQ18" s="56"/>
      <c r="AR18" s="57"/>
    </row>
    <row r="19" spans="1:44" x14ac:dyDescent="0.2">
      <c r="A19" s="16"/>
      <c r="B19" s="16" t="s">
        <v>424</v>
      </c>
      <c r="C19" s="11">
        <v>22</v>
      </c>
      <c r="D19" s="12">
        <f>TM!B121</f>
        <v>0</v>
      </c>
      <c r="E19" s="13">
        <f>TM!C121</f>
        <v>0</v>
      </c>
      <c r="F19" s="13">
        <f>TM!D121</f>
        <v>0</v>
      </c>
      <c r="G19" s="13">
        <f>TM!E121</f>
        <v>0</v>
      </c>
      <c r="H19" s="13">
        <f>TM!F121</f>
        <v>0</v>
      </c>
      <c r="I19" s="13">
        <f>TM!G121</f>
        <v>0</v>
      </c>
      <c r="J19" s="14">
        <f t="shared" si="0"/>
        <v>0</v>
      </c>
      <c r="L19" s="12">
        <f>Test!B121</f>
        <v>0</v>
      </c>
      <c r="M19" s="13">
        <f>Test!C121</f>
        <v>0</v>
      </c>
      <c r="N19" s="13">
        <f>Test!D121</f>
        <v>0</v>
      </c>
      <c r="O19" s="13">
        <f>Test!E121</f>
        <v>0</v>
      </c>
      <c r="P19" s="13">
        <f>Test!F121</f>
        <v>0</v>
      </c>
      <c r="Q19" s="13">
        <f>Test!G121</f>
        <v>0</v>
      </c>
      <c r="R19" s="14">
        <f t="shared" si="1"/>
        <v>0</v>
      </c>
      <c r="S19" s="18" t="e">
        <f t="shared" si="6"/>
        <v>#DIV/0!</v>
      </c>
      <c r="T19" s="18" t="e">
        <f t="shared" si="7"/>
        <v>#DIV/0!</v>
      </c>
      <c r="U19" s="60"/>
      <c r="V19" s="42" t="e">
        <f>bdrate($D19:$D22,E19:E22,$L19:$L22,M19:M22)</f>
        <v>#VALUE!</v>
      </c>
      <c r="W19" s="47" t="e">
        <f>bdrate($D19:$D22,F19:F22,$L19:$L22,N19:N22)</f>
        <v>#VALUE!</v>
      </c>
      <c r="X19" s="47" t="e">
        <f>bdrate($D19:$D22,G19:G22,$L19:$L22,O19:O22)</f>
        <v>#VALUE!</v>
      </c>
      <c r="Y19" s="45" t="e">
        <f>bdrateOld($D19:$D22,E19:E22,$L19:$L22,M19:M22)</f>
        <v>#VALUE!</v>
      </c>
      <c r="Z19" s="49" t="e">
        <f>bdrateOld($D19:$D22,F19:F22,$L19:$L22,N19:N22)</f>
        <v>#VALUE!</v>
      </c>
      <c r="AA19" s="50" t="e">
        <f>bdrateOld($D19:$D22,G19:G22,$L19:$L22,O19:O22)</f>
        <v>#VALUE!</v>
      </c>
      <c r="AB19" s="20"/>
      <c r="AC19" s="12">
        <f>BMS!B121</f>
        <v>0</v>
      </c>
      <c r="AD19" s="13">
        <f>BMS!C121</f>
        <v>0</v>
      </c>
      <c r="AE19" s="13">
        <f>BMS!D121</f>
        <v>0</v>
      </c>
      <c r="AF19" s="13">
        <f>BMS!E121</f>
        <v>0</v>
      </c>
      <c r="AG19" s="13">
        <f>BMS!F121</f>
        <v>0</v>
      </c>
      <c r="AH19" s="13">
        <f>BMS!G121</f>
        <v>0</v>
      </c>
      <c r="AI19" s="14">
        <f t="shared" si="8"/>
        <v>0</v>
      </c>
      <c r="AJ19" s="18" t="e">
        <f t="shared" si="9"/>
        <v>#DIV/0!</v>
      </c>
      <c r="AK19" s="18" t="e">
        <f t="shared" si="10"/>
        <v>#DIV/0!</v>
      </c>
      <c r="AL19" s="20"/>
      <c r="AM19" s="42" t="e">
        <f>bdrate($AC19:$AC22,AD19:AD22,$L19:$L22, M19:M22)</f>
        <v>#VALUE!</v>
      </c>
      <c r="AN19" s="47" t="e">
        <f>bdrate($AC19:$AC22,AE19:AE22,$L19:$L22, N19:N22)</f>
        <v>#VALUE!</v>
      </c>
      <c r="AO19" s="48" t="e">
        <f>bdrate($AC19:$AC22,AF19:AF22,$L19:$L22, O19:O22)</f>
        <v>#VALUE!</v>
      </c>
      <c r="AP19" s="42" t="e">
        <f>bdrateOld($AC19:$AC22,AD19:AD22,$L19:$L22, M19:M22)</f>
        <v>#VALUE!</v>
      </c>
      <c r="AQ19" s="47" t="e">
        <f>bdrateOld($AC19:$AC22,AE19:AE22,$L19:$L22, N19:N22)</f>
        <v>#VALUE!</v>
      </c>
      <c r="AR19" s="48" t="e">
        <f>bdrateOld($AC19:$AC22,AF19:AF22,$L19:$L22, O19:O22)</f>
        <v>#VALUE!</v>
      </c>
    </row>
    <row r="20" spans="1:44" x14ac:dyDescent="0.2">
      <c r="A20" s="16"/>
      <c r="B20" s="16"/>
      <c r="C20" s="16">
        <v>27</v>
      </c>
      <c r="D20" s="17">
        <f>TM!B122</f>
        <v>0</v>
      </c>
      <c r="E20" s="18">
        <f>TM!C122</f>
        <v>0</v>
      </c>
      <c r="F20" s="18">
        <f>TM!D122</f>
        <v>0</v>
      </c>
      <c r="G20" s="18">
        <f>TM!E122</f>
        <v>0</v>
      </c>
      <c r="H20" s="18">
        <f>TM!F122</f>
        <v>0</v>
      </c>
      <c r="I20" s="18">
        <f>TM!G122</f>
        <v>0</v>
      </c>
      <c r="J20" s="19">
        <f t="shared" si="0"/>
        <v>0</v>
      </c>
      <c r="L20" s="17">
        <f>Test!B122</f>
        <v>0</v>
      </c>
      <c r="M20" s="18">
        <f>Test!C122</f>
        <v>0</v>
      </c>
      <c r="N20" s="18">
        <f>Test!D122</f>
        <v>0</v>
      </c>
      <c r="O20" s="18">
        <f>Test!E122</f>
        <v>0</v>
      </c>
      <c r="P20" s="18">
        <f>Test!F122</f>
        <v>0</v>
      </c>
      <c r="Q20" s="18">
        <f>Test!G122</f>
        <v>0</v>
      </c>
      <c r="R20" s="19">
        <f t="shared" si="1"/>
        <v>0</v>
      </c>
      <c r="S20" s="18" t="e">
        <f t="shared" si="6"/>
        <v>#DIV/0!</v>
      </c>
      <c r="T20" s="18" t="e">
        <f t="shared" si="7"/>
        <v>#DIV/0!</v>
      </c>
      <c r="U20" s="60"/>
      <c r="V20" s="43"/>
      <c r="W20" s="26"/>
      <c r="X20" s="26"/>
      <c r="Y20" s="43"/>
      <c r="Z20" s="26"/>
      <c r="AA20" s="55"/>
      <c r="AB20" s="20"/>
      <c r="AC20" s="17">
        <f>BMS!B122</f>
        <v>0</v>
      </c>
      <c r="AD20" s="18">
        <f>BMS!C122</f>
        <v>0</v>
      </c>
      <c r="AE20" s="18">
        <f>BMS!D122</f>
        <v>0</v>
      </c>
      <c r="AF20" s="18">
        <f>BMS!E122</f>
        <v>0</v>
      </c>
      <c r="AG20" s="18">
        <f>BMS!F122</f>
        <v>0</v>
      </c>
      <c r="AH20" s="18">
        <f>BMS!G122</f>
        <v>0</v>
      </c>
      <c r="AI20" s="19">
        <f t="shared" si="8"/>
        <v>0</v>
      </c>
      <c r="AJ20" s="18" t="e">
        <f t="shared" si="9"/>
        <v>#DIV/0!</v>
      </c>
      <c r="AK20" s="18" t="e">
        <f t="shared" si="10"/>
        <v>#DIV/0!</v>
      </c>
      <c r="AL20" s="20"/>
      <c r="AM20" s="43"/>
      <c r="AN20" s="26"/>
      <c r="AO20" s="55"/>
      <c r="AP20" s="43"/>
      <c r="AQ20" s="26"/>
      <c r="AR20" s="55"/>
    </row>
    <row r="21" spans="1:44" x14ac:dyDescent="0.2">
      <c r="A21" s="16"/>
      <c r="B21" s="16"/>
      <c r="C21" s="16">
        <v>32</v>
      </c>
      <c r="D21" s="17">
        <f>TM!B123</f>
        <v>0</v>
      </c>
      <c r="E21" s="18">
        <f>TM!C123</f>
        <v>0</v>
      </c>
      <c r="F21" s="18">
        <f>TM!D123</f>
        <v>0</v>
      </c>
      <c r="G21" s="18">
        <f>TM!E123</f>
        <v>0</v>
      </c>
      <c r="H21" s="18">
        <f>TM!F123</f>
        <v>0</v>
      </c>
      <c r="I21" s="18">
        <f>TM!G123</f>
        <v>0</v>
      </c>
      <c r="J21" s="19">
        <f t="shared" si="0"/>
        <v>0</v>
      </c>
      <c r="L21" s="17">
        <f>Test!B123</f>
        <v>0</v>
      </c>
      <c r="M21" s="18">
        <f>Test!C123</f>
        <v>0</v>
      </c>
      <c r="N21" s="18">
        <f>Test!D123</f>
        <v>0</v>
      </c>
      <c r="O21" s="18">
        <f>Test!E123</f>
        <v>0</v>
      </c>
      <c r="P21" s="18">
        <f>Test!F123</f>
        <v>0</v>
      </c>
      <c r="Q21" s="18">
        <f>Test!G123</f>
        <v>0</v>
      </c>
      <c r="R21" s="19">
        <f t="shared" si="1"/>
        <v>0</v>
      </c>
      <c r="S21" s="18" t="e">
        <f t="shared" si="6"/>
        <v>#DIV/0!</v>
      </c>
      <c r="T21" s="18" t="e">
        <f t="shared" si="7"/>
        <v>#DIV/0!</v>
      </c>
      <c r="U21" s="60"/>
      <c r="V21" s="43"/>
      <c r="W21" s="26"/>
      <c r="X21" s="26"/>
      <c r="Y21" s="43"/>
      <c r="Z21" s="26"/>
      <c r="AA21" s="55"/>
      <c r="AB21" s="20"/>
      <c r="AC21" s="17">
        <f>BMS!B123</f>
        <v>0</v>
      </c>
      <c r="AD21" s="18">
        <f>BMS!C123</f>
        <v>0</v>
      </c>
      <c r="AE21" s="18">
        <f>BMS!D123</f>
        <v>0</v>
      </c>
      <c r="AF21" s="18">
        <f>BMS!E123</f>
        <v>0</v>
      </c>
      <c r="AG21" s="18">
        <f>BMS!F123</f>
        <v>0</v>
      </c>
      <c r="AH21" s="18">
        <f>BMS!G123</f>
        <v>0</v>
      </c>
      <c r="AI21" s="19">
        <f t="shared" si="8"/>
        <v>0</v>
      </c>
      <c r="AJ21" s="18" t="e">
        <f t="shared" si="9"/>
        <v>#DIV/0!</v>
      </c>
      <c r="AK21" s="18" t="e">
        <f t="shared" si="10"/>
        <v>#DIV/0!</v>
      </c>
      <c r="AL21" s="20"/>
      <c r="AM21" s="43"/>
      <c r="AN21" s="26"/>
      <c r="AO21" s="55"/>
      <c r="AP21" s="43"/>
      <c r="AQ21" s="26"/>
      <c r="AR21" s="55"/>
    </row>
    <row r="22" spans="1:44" ht="12.75" thickBot="1" x14ac:dyDescent="0.25">
      <c r="A22" s="16"/>
      <c r="B22" s="21"/>
      <c r="C22" s="21">
        <v>37</v>
      </c>
      <c r="D22" s="22">
        <f>TM!B124</f>
        <v>0</v>
      </c>
      <c r="E22" s="23">
        <f>TM!C124</f>
        <v>0</v>
      </c>
      <c r="F22" s="23">
        <f>TM!D124</f>
        <v>0</v>
      </c>
      <c r="G22" s="23">
        <f>TM!E124</f>
        <v>0</v>
      </c>
      <c r="H22" s="23">
        <f>TM!F124</f>
        <v>0</v>
      </c>
      <c r="I22" s="23">
        <f>TM!G124</f>
        <v>0</v>
      </c>
      <c r="J22" s="24">
        <f t="shared" si="0"/>
        <v>0</v>
      </c>
      <c r="L22" s="22">
        <f>Test!B124</f>
        <v>0</v>
      </c>
      <c r="M22" s="23">
        <f>Test!C124</f>
        <v>0</v>
      </c>
      <c r="N22" s="23">
        <f>Test!D124</f>
        <v>0</v>
      </c>
      <c r="O22" s="23">
        <f>Test!E124</f>
        <v>0</v>
      </c>
      <c r="P22" s="23">
        <f>Test!F124</f>
        <v>0</v>
      </c>
      <c r="Q22" s="23">
        <f>Test!G124</f>
        <v>0</v>
      </c>
      <c r="R22" s="24">
        <f t="shared" si="1"/>
        <v>0</v>
      </c>
      <c r="S22" s="18" t="e">
        <f t="shared" si="6"/>
        <v>#DIV/0!</v>
      </c>
      <c r="T22" s="18" t="e">
        <f t="shared" si="7"/>
        <v>#DIV/0!</v>
      </c>
      <c r="U22" s="60"/>
      <c r="V22" s="44"/>
      <c r="W22" s="56"/>
      <c r="X22" s="56"/>
      <c r="Y22" s="44"/>
      <c r="Z22" s="56"/>
      <c r="AA22" s="57"/>
      <c r="AB22" s="20"/>
      <c r="AC22" s="22">
        <f>BMS!B124</f>
        <v>0</v>
      </c>
      <c r="AD22" s="23">
        <f>BMS!C124</f>
        <v>0</v>
      </c>
      <c r="AE22" s="23">
        <f>BMS!D124</f>
        <v>0</v>
      </c>
      <c r="AF22" s="23">
        <f>BMS!E124</f>
        <v>0</v>
      </c>
      <c r="AG22" s="23">
        <f>BMS!F124</f>
        <v>0</v>
      </c>
      <c r="AH22" s="23">
        <f>BMS!G124</f>
        <v>0</v>
      </c>
      <c r="AI22" s="24">
        <f t="shared" si="8"/>
        <v>0</v>
      </c>
      <c r="AJ22" s="18" t="e">
        <f t="shared" si="9"/>
        <v>#DIV/0!</v>
      </c>
      <c r="AK22" s="18" t="e">
        <f t="shared" si="10"/>
        <v>#DIV/0!</v>
      </c>
      <c r="AL22" s="20"/>
      <c r="AM22" s="44"/>
      <c r="AN22" s="56"/>
      <c r="AO22" s="57"/>
      <c r="AP22" s="44"/>
      <c r="AQ22" s="56"/>
      <c r="AR22" s="57"/>
    </row>
    <row r="23" spans="1:44" x14ac:dyDescent="0.2">
      <c r="A23" s="36"/>
      <c r="B23" s="16" t="s">
        <v>425</v>
      </c>
      <c r="C23" s="35">
        <v>22</v>
      </c>
      <c r="D23" s="12">
        <f>TM!B125</f>
        <v>0</v>
      </c>
      <c r="E23" s="13">
        <f>TM!C125</f>
        <v>0</v>
      </c>
      <c r="F23" s="13">
        <f>TM!D125</f>
        <v>0</v>
      </c>
      <c r="G23" s="13">
        <f>TM!E125</f>
        <v>0</v>
      </c>
      <c r="H23" s="13">
        <f>TM!F125</f>
        <v>0</v>
      </c>
      <c r="I23" s="13">
        <f>TM!G125</f>
        <v>0</v>
      </c>
      <c r="J23" s="14">
        <f t="shared" si="0"/>
        <v>0</v>
      </c>
      <c r="L23" s="12">
        <f>Test!B125</f>
        <v>0</v>
      </c>
      <c r="M23" s="13">
        <f>Test!C125</f>
        <v>0</v>
      </c>
      <c r="N23" s="13">
        <f>Test!D125</f>
        <v>0</v>
      </c>
      <c r="O23" s="13">
        <f>Test!E125</f>
        <v>0</v>
      </c>
      <c r="P23" s="13">
        <f>Test!F125</f>
        <v>0</v>
      </c>
      <c r="Q23" s="13">
        <f>Test!G125</f>
        <v>0</v>
      </c>
      <c r="R23" s="14">
        <f t="shared" si="1"/>
        <v>0</v>
      </c>
      <c r="S23" s="18" t="e">
        <f t="shared" si="6"/>
        <v>#DIV/0!</v>
      </c>
      <c r="T23" s="18" t="e">
        <f t="shared" si="7"/>
        <v>#DIV/0!</v>
      </c>
      <c r="U23" s="60"/>
      <c r="V23" s="42" t="e">
        <f>bdrate($D23:$D26,E23:E26,$L23:$L26,M23:M26)</f>
        <v>#VALUE!</v>
      </c>
      <c r="W23" s="47" t="e">
        <f>bdrate($D23:$D26,F23:F26,$L23:$L26,N23:N26)</f>
        <v>#VALUE!</v>
      </c>
      <c r="X23" s="47" t="e">
        <f>bdrate($D23:$D26,G23:G26,$L23:$L26,O23:O26)</f>
        <v>#VALUE!</v>
      </c>
      <c r="Y23" s="45" t="e">
        <f>bdrateOld($D23:$D26,E23:E26,$L23:$L26,M23:M26)</f>
        <v>#VALUE!</v>
      </c>
      <c r="Z23" s="49" t="e">
        <f>bdrateOld($D23:$D26,F23:F26,$L23:$L26,N23:N26)</f>
        <v>#VALUE!</v>
      </c>
      <c r="AA23" s="50" t="e">
        <f>bdrateOld($D23:$D26,G23:G26,$L23:$L26,O23:O26)</f>
        <v>#VALUE!</v>
      </c>
      <c r="AB23" s="20"/>
      <c r="AC23" s="12">
        <f>BMS!B125</f>
        <v>0</v>
      </c>
      <c r="AD23" s="13">
        <f>BMS!C125</f>
        <v>0</v>
      </c>
      <c r="AE23" s="13">
        <f>BMS!D125</f>
        <v>0</v>
      </c>
      <c r="AF23" s="13">
        <f>BMS!E125</f>
        <v>0</v>
      </c>
      <c r="AG23" s="13">
        <f>BMS!F125</f>
        <v>0</v>
      </c>
      <c r="AH23" s="13">
        <f>BMS!G125</f>
        <v>0</v>
      </c>
      <c r="AI23" s="14">
        <f t="shared" si="8"/>
        <v>0</v>
      </c>
      <c r="AJ23" s="18" t="e">
        <f t="shared" si="9"/>
        <v>#DIV/0!</v>
      </c>
      <c r="AK23" s="18" t="e">
        <f t="shared" si="10"/>
        <v>#DIV/0!</v>
      </c>
      <c r="AL23" s="20"/>
      <c r="AM23" s="42" t="e">
        <f>bdrate($AC23:$AC26,AD23:AD26,$L23:$L26, M23:M26)</f>
        <v>#VALUE!</v>
      </c>
      <c r="AN23" s="47" t="e">
        <f>bdrate($AC23:$AC26,AE23:AE26,$L23:$L26, N23:N26)</f>
        <v>#VALUE!</v>
      </c>
      <c r="AO23" s="48" t="e">
        <f>bdrate($AC23:$AC26,AF23:AF26,$L23:$L26, O23:O26)</f>
        <v>#VALUE!</v>
      </c>
      <c r="AP23" s="42" t="e">
        <f>bdrateOld($AC23:$AC26,AD23:AD26,$L23:$L26, M23:M26)</f>
        <v>#VALUE!</v>
      </c>
      <c r="AQ23" s="47" t="e">
        <f>bdrateOld($AC23:$AC26,AE23:AE26,$L23:$L26, N23:N26)</f>
        <v>#VALUE!</v>
      </c>
      <c r="AR23" s="48" t="e">
        <f>bdrateOld($AC23:$AC26,AF23:AF26,$L23:$L26, O23:O26)</f>
        <v>#VALUE!</v>
      </c>
    </row>
    <row r="24" spans="1:44" x14ac:dyDescent="0.2">
      <c r="A24" s="36"/>
      <c r="B24" s="16"/>
      <c r="C24" s="36">
        <v>27</v>
      </c>
      <c r="D24" s="17">
        <f>TM!B126</f>
        <v>0</v>
      </c>
      <c r="E24" s="18">
        <f>TM!C126</f>
        <v>0</v>
      </c>
      <c r="F24" s="18">
        <f>TM!D126</f>
        <v>0</v>
      </c>
      <c r="G24" s="18">
        <f>TM!E126</f>
        <v>0</v>
      </c>
      <c r="H24" s="18">
        <f>TM!F126</f>
        <v>0</v>
      </c>
      <c r="I24" s="18">
        <f>TM!G126</f>
        <v>0</v>
      </c>
      <c r="J24" s="19">
        <f t="shared" si="0"/>
        <v>0</v>
      </c>
      <c r="L24" s="17">
        <f>Test!B126</f>
        <v>0</v>
      </c>
      <c r="M24" s="18">
        <f>Test!C126</f>
        <v>0</v>
      </c>
      <c r="N24" s="18">
        <f>Test!D126</f>
        <v>0</v>
      </c>
      <c r="O24" s="18">
        <f>Test!E126</f>
        <v>0</v>
      </c>
      <c r="P24" s="18">
        <f>Test!F126</f>
        <v>0</v>
      </c>
      <c r="Q24" s="18">
        <f>Test!G126</f>
        <v>0</v>
      </c>
      <c r="R24" s="19">
        <f t="shared" si="1"/>
        <v>0</v>
      </c>
      <c r="S24" s="18" t="e">
        <f t="shared" si="6"/>
        <v>#DIV/0!</v>
      </c>
      <c r="T24" s="18" t="e">
        <f t="shared" si="7"/>
        <v>#DIV/0!</v>
      </c>
      <c r="U24" s="60"/>
      <c r="V24" s="43"/>
      <c r="W24" s="26"/>
      <c r="X24" s="26"/>
      <c r="Y24" s="43"/>
      <c r="Z24" s="26"/>
      <c r="AA24" s="55"/>
      <c r="AB24" s="20"/>
      <c r="AC24" s="17">
        <f>BMS!B126</f>
        <v>0</v>
      </c>
      <c r="AD24" s="18">
        <f>BMS!C126</f>
        <v>0</v>
      </c>
      <c r="AE24" s="18">
        <f>BMS!D126</f>
        <v>0</v>
      </c>
      <c r="AF24" s="18">
        <f>BMS!E126</f>
        <v>0</v>
      </c>
      <c r="AG24" s="18">
        <f>BMS!F126</f>
        <v>0</v>
      </c>
      <c r="AH24" s="18">
        <f>BMS!G126</f>
        <v>0</v>
      </c>
      <c r="AI24" s="19">
        <f t="shared" si="8"/>
        <v>0</v>
      </c>
      <c r="AJ24" s="18" t="e">
        <f t="shared" si="9"/>
        <v>#DIV/0!</v>
      </c>
      <c r="AK24" s="18" t="e">
        <f t="shared" si="10"/>
        <v>#DIV/0!</v>
      </c>
      <c r="AL24" s="20"/>
      <c r="AM24" s="43"/>
      <c r="AN24" s="26"/>
      <c r="AO24" s="55"/>
      <c r="AP24" s="43"/>
      <c r="AQ24" s="26"/>
      <c r="AR24" s="55"/>
    </row>
    <row r="25" spans="1:44" x14ac:dyDescent="0.2">
      <c r="A25" s="36"/>
      <c r="B25" s="36"/>
      <c r="C25" s="36">
        <v>32</v>
      </c>
      <c r="D25" s="17">
        <f>TM!B127</f>
        <v>0</v>
      </c>
      <c r="E25" s="18">
        <f>TM!C127</f>
        <v>0</v>
      </c>
      <c r="F25" s="18">
        <f>TM!D127</f>
        <v>0</v>
      </c>
      <c r="G25" s="18">
        <f>TM!E127</f>
        <v>0</v>
      </c>
      <c r="H25" s="18">
        <f>TM!F127</f>
        <v>0</v>
      </c>
      <c r="I25" s="18">
        <f>TM!G127</f>
        <v>0</v>
      </c>
      <c r="J25" s="19">
        <f t="shared" si="0"/>
        <v>0</v>
      </c>
      <c r="L25" s="17">
        <f>Test!B127</f>
        <v>0</v>
      </c>
      <c r="M25" s="18">
        <f>Test!C127</f>
        <v>0</v>
      </c>
      <c r="N25" s="18">
        <f>Test!D127</f>
        <v>0</v>
      </c>
      <c r="O25" s="18">
        <f>Test!E127</f>
        <v>0</v>
      </c>
      <c r="P25" s="18">
        <f>Test!F127</f>
        <v>0</v>
      </c>
      <c r="Q25" s="18">
        <f>Test!G127</f>
        <v>0</v>
      </c>
      <c r="R25" s="19">
        <f t="shared" si="1"/>
        <v>0</v>
      </c>
      <c r="S25" s="18" t="e">
        <f t="shared" si="6"/>
        <v>#DIV/0!</v>
      </c>
      <c r="T25" s="18" t="e">
        <f t="shared" si="7"/>
        <v>#DIV/0!</v>
      </c>
      <c r="U25" s="60"/>
      <c r="V25" s="43"/>
      <c r="W25" s="26"/>
      <c r="X25" s="26"/>
      <c r="Y25" s="43"/>
      <c r="Z25" s="26"/>
      <c r="AA25" s="55"/>
      <c r="AB25" s="20"/>
      <c r="AC25" s="17">
        <f>BMS!B127</f>
        <v>0</v>
      </c>
      <c r="AD25" s="18">
        <f>BMS!C127</f>
        <v>0</v>
      </c>
      <c r="AE25" s="18">
        <f>BMS!D127</f>
        <v>0</v>
      </c>
      <c r="AF25" s="18">
        <f>BMS!E127</f>
        <v>0</v>
      </c>
      <c r="AG25" s="18">
        <f>BMS!F127</f>
        <v>0</v>
      </c>
      <c r="AH25" s="18">
        <f>BMS!G127</f>
        <v>0</v>
      </c>
      <c r="AI25" s="19">
        <f t="shared" si="8"/>
        <v>0</v>
      </c>
      <c r="AJ25" s="18" t="e">
        <f t="shared" si="9"/>
        <v>#DIV/0!</v>
      </c>
      <c r="AK25" s="18" t="e">
        <f t="shared" si="10"/>
        <v>#DIV/0!</v>
      </c>
      <c r="AL25" s="20"/>
      <c r="AM25" s="43"/>
      <c r="AN25" s="26"/>
      <c r="AO25" s="55"/>
      <c r="AP25" s="43"/>
      <c r="AQ25" s="26"/>
      <c r="AR25" s="55"/>
    </row>
    <row r="26" spans="1:44" ht="12.75" thickBot="1" x14ac:dyDescent="0.25">
      <c r="A26" s="36"/>
      <c r="B26" s="37"/>
      <c r="C26" s="37">
        <v>37</v>
      </c>
      <c r="D26" s="22">
        <f>TM!B128</f>
        <v>0</v>
      </c>
      <c r="E26" s="23">
        <f>TM!C128</f>
        <v>0</v>
      </c>
      <c r="F26" s="23">
        <f>TM!D128</f>
        <v>0</v>
      </c>
      <c r="G26" s="23">
        <f>TM!E128</f>
        <v>0</v>
      </c>
      <c r="H26" s="23">
        <f>TM!F128</f>
        <v>0</v>
      </c>
      <c r="I26" s="23">
        <f>TM!G128</f>
        <v>0</v>
      </c>
      <c r="J26" s="24">
        <f t="shared" si="0"/>
        <v>0</v>
      </c>
      <c r="L26" s="22">
        <f>Test!B128</f>
        <v>0</v>
      </c>
      <c r="M26" s="23">
        <f>Test!C128</f>
        <v>0</v>
      </c>
      <c r="N26" s="23">
        <f>Test!D128</f>
        <v>0</v>
      </c>
      <c r="O26" s="23">
        <f>Test!E128</f>
        <v>0</v>
      </c>
      <c r="P26" s="23">
        <f>Test!F128</f>
        <v>0</v>
      </c>
      <c r="Q26" s="23">
        <f>Test!G128</f>
        <v>0</v>
      </c>
      <c r="R26" s="24">
        <f t="shared" si="1"/>
        <v>0</v>
      </c>
      <c r="S26" s="18" t="e">
        <f t="shared" si="6"/>
        <v>#DIV/0!</v>
      </c>
      <c r="T26" s="18" t="e">
        <f t="shared" si="7"/>
        <v>#DIV/0!</v>
      </c>
      <c r="U26" s="60"/>
      <c r="V26" s="44"/>
      <c r="W26" s="56"/>
      <c r="X26" s="56"/>
      <c r="Y26" s="44"/>
      <c r="Z26" s="56"/>
      <c r="AA26" s="57"/>
      <c r="AB26" s="20"/>
      <c r="AC26" s="22">
        <f>BMS!B128</f>
        <v>0</v>
      </c>
      <c r="AD26" s="23">
        <f>BMS!C128</f>
        <v>0</v>
      </c>
      <c r="AE26" s="23">
        <f>BMS!D128</f>
        <v>0</v>
      </c>
      <c r="AF26" s="23">
        <f>BMS!E128</f>
        <v>0</v>
      </c>
      <c r="AG26" s="23">
        <f>BMS!F128</f>
        <v>0</v>
      </c>
      <c r="AH26" s="23">
        <f>BMS!G128</f>
        <v>0</v>
      </c>
      <c r="AI26" s="24">
        <f t="shared" si="8"/>
        <v>0</v>
      </c>
      <c r="AJ26" s="18" t="e">
        <f t="shared" si="9"/>
        <v>#DIV/0!</v>
      </c>
      <c r="AK26" s="18" t="e">
        <f t="shared" si="10"/>
        <v>#DIV/0!</v>
      </c>
      <c r="AL26" s="20"/>
      <c r="AM26" s="44"/>
      <c r="AN26" s="56"/>
      <c r="AO26" s="57"/>
      <c r="AP26" s="44"/>
      <c r="AQ26" s="56"/>
      <c r="AR26" s="57"/>
    </row>
    <row r="27" spans="1:44" x14ac:dyDescent="0.2">
      <c r="A27" s="11" t="s">
        <v>1</v>
      </c>
      <c r="B27" s="11" t="s">
        <v>427</v>
      </c>
      <c r="C27" s="11">
        <v>22</v>
      </c>
      <c r="D27" s="12">
        <f>TM!B129</f>
        <v>0</v>
      </c>
      <c r="E27" s="13">
        <f>TM!C129</f>
        <v>0</v>
      </c>
      <c r="F27" s="13">
        <f>TM!D129</f>
        <v>0</v>
      </c>
      <c r="G27" s="13">
        <f>TM!E129</f>
        <v>0</v>
      </c>
      <c r="H27" s="13">
        <f>TM!F129</f>
        <v>0</v>
      </c>
      <c r="I27" s="13">
        <f>TM!G129</f>
        <v>0</v>
      </c>
      <c r="J27" s="14">
        <f t="shared" si="0"/>
        <v>0</v>
      </c>
      <c r="L27" s="12">
        <f>Test!B129</f>
        <v>0</v>
      </c>
      <c r="M27" s="13">
        <f>Test!C129</f>
        <v>0</v>
      </c>
      <c r="N27" s="13">
        <f>Test!D129</f>
        <v>0</v>
      </c>
      <c r="O27" s="13">
        <f>Test!E129</f>
        <v>0</v>
      </c>
      <c r="P27" s="13">
        <f>Test!F129</f>
        <v>0</v>
      </c>
      <c r="Q27" s="13">
        <f>Test!G129</f>
        <v>0</v>
      </c>
      <c r="R27" s="14">
        <f t="shared" si="1"/>
        <v>0</v>
      </c>
      <c r="S27" s="13" t="e">
        <f t="shared" si="2"/>
        <v>#DIV/0!</v>
      </c>
      <c r="T27" s="13" t="e">
        <f t="shared" si="2"/>
        <v>#DIV/0!</v>
      </c>
      <c r="U27" s="59"/>
      <c r="V27" s="42" t="e">
        <f>bdrate($D27:$D30,E27:E30,$L27:$L30,M27:M30)</f>
        <v>#VALUE!</v>
      </c>
      <c r="W27" s="47" t="e">
        <f>bdrate($D27:$D30,F27:F30,$L27:$L30,N27:N30)</f>
        <v>#VALUE!</v>
      </c>
      <c r="X27" s="48" t="e">
        <f>bdrate($D27:$D30,G27:G30,$L27:$L30,O27:O30)</f>
        <v>#VALUE!</v>
      </c>
      <c r="Y27" s="42" t="e">
        <f>bdrateOld($D27:$D30,E27:E30,$L27:$L30,M27:M30)</f>
        <v>#VALUE!</v>
      </c>
      <c r="Z27" s="47" t="e">
        <f>bdrateOld($D27:$D30,F27:F30,$L27:$L30,N27:N30)</f>
        <v>#VALUE!</v>
      </c>
      <c r="AA27" s="48" t="e">
        <f>bdrateOld($D27:$D30,G27:G30,$L27:$L30,O27:O30)</f>
        <v>#VALUE!</v>
      </c>
      <c r="AB27" s="54"/>
      <c r="AC27" s="12">
        <f>BMS!B129</f>
        <v>0</v>
      </c>
      <c r="AD27" s="13">
        <f>BMS!C129</f>
        <v>0</v>
      </c>
      <c r="AE27" s="13">
        <f>BMS!D129</f>
        <v>0</v>
      </c>
      <c r="AF27" s="13">
        <f>BMS!E129</f>
        <v>0</v>
      </c>
      <c r="AG27" s="13">
        <f>BMS!F129</f>
        <v>0</v>
      </c>
      <c r="AH27" s="13">
        <f>BMS!G129</f>
        <v>0</v>
      </c>
      <c r="AI27" s="14">
        <f t="shared" si="3"/>
        <v>0</v>
      </c>
      <c r="AJ27" s="13" t="e">
        <f t="shared" si="4"/>
        <v>#DIV/0!</v>
      </c>
      <c r="AK27" s="13" t="e">
        <f t="shared" si="5"/>
        <v>#DIV/0!</v>
      </c>
      <c r="AL27" s="54"/>
      <c r="AM27" s="42" t="e">
        <f>bdrate($AC27:$AC30,AD27:AD30,$L27:$L30, M27:M30)</f>
        <v>#VALUE!</v>
      </c>
      <c r="AN27" s="47" t="e">
        <f>bdrate($AC27:$AC30,AE27:AE30,$L27:$L30, N27:N30)</f>
        <v>#VALUE!</v>
      </c>
      <c r="AO27" s="48" t="e">
        <f>bdrate($AC27:$AC30,AF27:AF30,$L27:$L30, O27:O30)</f>
        <v>#VALUE!</v>
      </c>
      <c r="AP27" s="42" t="e">
        <f>bdrateOld($AC27:$AC30,AD27:AD30,$L27:$L30, M27:M30)</f>
        <v>#VALUE!</v>
      </c>
      <c r="AQ27" s="47" t="e">
        <f>bdrateOld($AC27:$AC30,AE27:AE30,$L27:$L30, N27:N30)</f>
        <v>#VALUE!</v>
      </c>
      <c r="AR27" s="48" t="e">
        <f>bdrateOld($AC27:$AC30,AF27:AF30,$L27:$L30, O27:O30)</f>
        <v>#VALUE!</v>
      </c>
    </row>
    <row r="28" spans="1:44" x14ac:dyDescent="0.2">
      <c r="A28" s="16" t="s">
        <v>49</v>
      </c>
      <c r="B28" s="16"/>
      <c r="C28" s="16">
        <v>27</v>
      </c>
      <c r="D28" s="17">
        <f>TM!B130</f>
        <v>0</v>
      </c>
      <c r="E28" s="18">
        <f>TM!C130</f>
        <v>0</v>
      </c>
      <c r="F28" s="18">
        <f>TM!D130</f>
        <v>0</v>
      </c>
      <c r="G28" s="18">
        <f>TM!E130</f>
        <v>0</v>
      </c>
      <c r="H28" s="18">
        <f>TM!F130</f>
        <v>0</v>
      </c>
      <c r="I28" s="18">
        <f>TM!G130</f>
        <v>0</v>
      </c>
      <c r="J28" s="19">
        <f t="shared" si="0"/>
        <v>0</v>
      </c>
      <c r="L28" s="17">
        <f>Test!B130</f>
        <v>0</v>
      </c>
      <c r="M28" s="18">
        <f>Test!C130</f>
        <v>0</v>
      </c>
      <c r="N28" s="18">
        <f>Test!D130</f>
        <v>0</v>
      </c>
      <c r="O28" s="18">
        <f>Test!E130</f>
        <v>0</v>
      </c>
      <c r="P28" s="18">
        <f>Test!F130</f>
        <v>0</v>
      </c>
      <c r="Q28" s="18">
        <f>Test!G130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60"/>
      <c r="V28" s="43"/>
      <c r="W28" s="26"/>
      <c r="X28" s="55"/>
      <c r="Y28" s="43"/>
      <c r="Z28" s="26"/>
      <c r="AA28" s="55"/>
      <c r="AB28" s="20"/>
      <c r="AC28" s="17">
        <f>BMS!B130</f>
        <v>0</v>
      </c>
      <c r="AD28" s="18">
        <f>BMS!C130</f>
        <v>0</v>
      </c>
      <c r="AE28" s="18">
        <f>BMS!D130</f>
        <v>0</v>
      </c>
      <c r="AF28" s="18">
        <f>BMS!E130</f>
        <v>0</v>
      </c>
      <c r="AG28" s="18">
        <f>BMS!F130</f>
        <v>0</v>
      </c>
      <c r="AH28" s="18">
        <f>BMS!G130</f>
        <v>0</v>
      </c>
      <c r="AI28" s="19">
        <f t="shared" si="3"/>
        <v>0</v>
      </c>
      <c r="AJ28" s="18" t="e">
        <f t="shared" si="4"/>
        <v>#DIV/0!</v>
      </c>
      <c r="AK28" s="18" t="e">
        <f t="shared" si="5"/>
        <v>#DIV/0!</v>
      </c>
      <c r="AL28" s="20"/>
      <c r="AM28" s="43"/>
      <c r="AN28" s="26"/>
      <c r="AO28" s="55"/>
      <c r="AP28" s="43"/>
      <c r="AQ28" s="26"/>
      <c r="AR28" s="55"/>
    </row>
    <row r="29" spans="1:44" x14ac:dyDescent="0.2">
      <c r="A29" s="16"/>
      <c r="B29" s="16"/>
      <c r="C29" s="16">
        <v>32</v>
      </c>
      <c r="D29" s="17">
        <f>TM!B131</f>
        <v>0</v>
      </c>
      <c r="E29" s="18">
        <f>TM!C131</f>
        <v>0</v>
      </c>
      <c r="F29" s="18">
        <f>TM!D131</f>
        <v>0</v>
      </c>
      <c r="G29" s="18">
        <f>TM!E131</f>
        <v>0</v>
      </c>
      <c r="H29" s="18">
        <f>TM!F131</f>
        <v>0</v>
      </c>
      <c r="I29" s="18">
        <f>TM!G131</f>
        <v>0</v>
      </c>
      <c r="J29" s="19">
        <f t="shared" si="0"/>
        <v>0</v>
      </c>
      <c r="L29" s="17">
        <f>Test!B131</f>
        <v>0</v>
      </c>
      <c r="M29" s="18">
        <f>Test!C131</f>
        <v>0</v>
      </c>
      <c r="N29" s="18">
        <f>Test!D131</f>
        <v>0</v>
      </c>
      <c r="O29" s="18">
        <f>Test!E131</f>
        <v>0</v>
      </c>
      <c r="P29" s="18">
        <f>Test!F131</f>
        <v>0</v>
      </c>
      <c r="Q29" s="18">
        <f>Test!G131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60"/>
      <c r="V29" s="43"/>
      <c r="W29" s="26"/>
      <c r="X29" s="55"/>
      <c r="Y29" s="43"/>
      <c r="Z29" s="26"/>
      <c r="AA29" s="55"/>
      <c r="AB29" s="20"/>
      <c r="AC29" s="17">
        <f>BMS!B131</f>
        <v>0</v>
      </c>
      <c r="AD29" s="18">
        <f>BMS!C131</f>
        <v>0</v>
      </c>
      <c r="AE29" s="18">
        <f>BMS!D131</f>
        <v>0</v>
      </c>
      <c r="AF29" s="18">
        <f>BMS!E131</f>
        <v>0</v>
      </c>
      <c r="AG29" s="18">
        <f>BMS!F131</f>
        <v>0</v>
      </c>
      <c r="AH29" s="18">
        <f>BMS!G131</f>
        <v>0</v>
      </c>
      <c r="AI29" s="19">
        <f t="shared" si="3"/>
        <v>0</v>
      </c>
      <c r="AJ29" s="18" t="e">
        <f t="shared" si="4"/>
        <v>#DIV/0!</v>
      </c>
      <c r="AK29" s="18" t="e">
        <f t="shared" si="5"/>
        <v>#DIV/0!</v>
      </c>
      <c r="AL29" s="20"/>
      <c r="AM29" s="43"/>
      <c r="AN29" s="26"/>
      <c r="AO29" s="55"/>
      <c r="AP29" s="43"/>
      <c r="AQ29" s="26"/>
      <c r="AR29" s="55"/>
    </row>
    <row r="30" spans="1:44" ht="12.75" thickBot="1" x14ac:dyDescent="0.25">
      <c r="A30" s="16"/>
      <c r="B30" s="21"/>
      <c r="C30" s="21">
        <v>37</v>
      </c>
      <c r="D30" s="22">
        <f>TM!B132</f>
        <v>0</v>
      </c>
      <c r="E30" s="23">
        <f>TM!C132</f>
        <v>0</v>
      </c>
      <c r="F30" s="23">
        <f>TM!D132</f>
        <v>0</v>
      </c>
      <c r="G30" s="23">
        <f>TM!E132</f>
        <v>0</v>
      </c>
      <c r="H30" s="23">
        <f>TM!F132</f>
        <v>0</v>
      </c>
      <c r="I30" s="23">
        <f>TM!G132</f>
        <v>0</v>
      </c>
      <c r="J30" s="24">
        <f t="shared" si="0"/>
        <v>0</v>
      </c>
      <c r="L30" s="22">
        <f>Test!B132</f>
        <v>0</v>
      </c>
      <c r="M30" s="23">
        <f>Test!C132</f>
        <v>0</v>
      </c>
      <c r="N30" s="23">
        <f>Test!D132</f>
        <v>0</v>
      </c>
      <c r="O30" s="23">
        <f>Test!E132</f>
        <v>0</v>
      </c>
      <c r="P30" s="23">
        <f>Test!F132</f>
        <v>0</v>
      </c>
      <c r="Q30" s="23">
        <f>Test!G132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60"/>
      <c r="V30" s="44"/>
      <c r="W30" s="56"/>
      <c r="X30" s="57"/>
      <c r="Y30" s="44"/>
      <c r="Z30" s="56"/>
      <c r="AA30" s="57"/>
      <c r="AB30" s="20"/>
      <c r="AC30" s="22">
        <f>BMS!B132</f>
        <v>0</v>
      </c>
      <c r="AD30" s="23">
        <f>BMS!C132</f>
        <v>0</v>
      </c>
      <c r="AE30" s="23">
        <f>BMS!D132</f>
        <v>0</v>
      </c>
      <c r="AF30" s="23">
        <f>BMS!E132</f>
        <v>0</v>
      </c>
      <c r="AG30" s="23">
        <f>BMS!F132</f>
        <v>0</v>
      </c>
      <c r="AH30" s="23">
        <f>BMS!G132</f>
        <v>0</v>
      </c>
      <c r="AI30" s="24">
        <f t="shared" si="3"/>
        <v>0</v>
      </c>
      <c r="AJ30" s="18" t="e">
        <f t="shared" si="4"/>
        <v>#DIV/0!</v>
      </c>
      <c r="AK30" s="18" t="e">
        <f t="shared" si="5"/>
        <v>#DIV/0!</v>
      </c>
      <c r="AL30" s="20"/>
      <c r="AM30" s="44"/>
      <c r="AN30" s="56"/>
      <c r="AO30" s="57"/>
      <c r="AP30" s="44"/>
      <c r="AQ30" s="56"/>
      <c r="AR30" s="57"/>
    </row>
    <row r="31" spans="1:44" x14ac:dyDescent="0.2">
      <c r="A31" s="16"/>
      <c r="B31" s="11" t="s">
        <v>426</v>
      </c>
      <c r="C31" s="11">
        <v>22</v>
      </c>
      <c r="D31" s="12">
        <f>TM!B133</f>
        <v>0</v>
      </c>
      <c r="E31" s="13">
        <f>TM!C133</f>
        <v>0</v>
      </c>
      <c r="F31" s="13">
        <f>TM!D133</f>
        <v>0</v>
      </c>
      <c r="G31" s="13">
        <f>TM!E133</f>
        <v>0</v>
      </c>
      <c r="H31" s="13">
        <f>TM!F133</f>
        <v>0</v>
      </c>
      <c r="I31" s="13">
        <f>TM!G133</f>
        <v>0</v>
      </c>
      <c r="J31" s="14">
        <f t="shared" si="0"/>
        <v>0</v>
      </c>
      <c r="K31" s="27"/>
      <c r="L31" s="12">
        <f>Test!B133</f>
        <v>0</v>
      </c>
      <c r="M31" s="13">
        <f>Test!C133</f>
        <v>0</v>
      </c>
      <c r="N31" s="13">
        <f>Test!D133</f>
        <v>0</v>
      </c>
      <c r="O31" s="13">
        <f>Test!E133</f>
        <v>0</v>
      </c>
      <c r="P31" s="13">
        <f>Test!F133</f>
        <v>0</v>
      </c>
      <c r="Q31" s="13">
        <f>Test!G133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60"/>
      <c r="V31" s="42" t="e">
        <f>bdrate($D31:$D34,E31:E34,$L31:$L34,M31:M34)</f>
        <v>#VALUE!</v>
      </c>
      <c r="W31" s="47" t="e">
        <f>bdrate($D31:$D34,F31:F34,$L31:$L34,N31:N34)</f>
        <v>#VALUE!</v>
      </c>
      <c r="X31" s="47" t="e">
        <f>bdrate($D31:$D34,G31:G34,$L31:$L34,O31:O34)</f>
        <v>#VALUE!</v>
      </c>
      <c r="Y31" s="45" t="e">
        <f>bdrateOld($D31:$D34,E31:E34,$L31:$L34,M31:M34)</f>
        <v>#VALUE!</v>
      </c>
      <c r="Z31" s="49" t="e">
        <f>bdrateOld($D31:$D34,F31:F34,$L31:$L34,N31:N34)</f>
        <v>#VALUE!</v>
      </c>
      <c r="AA31" s="50" t="e">
        <f>bdrateOld($D31:$D34,G31:G34,$L31:$L34,O31:O34)</f>
        <v>#VALUE!</v>
      </c>
      <c r="AB31" s="20"/>
      <c r="AC31" s="12">
        <f>BMS!B133</f>
        <v>0</v>
      </c>
      <c r="AD31" s="13">
        <f>BMS!C133</f>
        <v>0</v>
      </c>
      <c r="AE31" s="13">
        <f>BMS!D133</f>
        <v>0</v>
      </c>
      <c r="AF31" s="13">
        <f>BMS!E133</f>
        <v>0</v>
      </c>
      <c r="AG31" s="13">
        <f>BMS!F133</f>
        <v>0</v>
      </c>
      <c r="AH31" s="13">
        <f>BMS!G133</f>
        <v>0</v>
      </c>
      <c r="AI31" s="14">
        <f t="shared" si="3"/>
        <v>0</v>
      </c>
      <c r="AJ31" s="18" t="e">
        <f t="shared" si="4"/>
        <v>#DIV/0!</v>
      </c>
      <c r="AK31" s="18" t="e">
        <f t="shared" si="5"/>
        <v>#DIV/0!</v>
      </c>
      <c r="AL31" s="20"/>
      <c r="AM31" s="42" t="e">
        <f>bdrate($AC31:$AC34,AD31:AD34,$L31:$L34, M31:M34)</f>
        <v>#VALUE!</v>
      </c>
      <c r="AN31" s="47" t="e">
        <f>bdrate($AC31:$AC34,AE31:AE34,$L31:$L34, N31:N34)</f>
        <v>#VALUE!</v>
      </c>
      <c r="AO31" s="48" t="e">
        <f>bdrate($AC31:$AC34,AF31:AF34,$L31:$L34, O31:O34)</f>
        <v>#VALUE!</v>
      </c>
      <c r="AP31" s="42" t="e">
        <f>bdrateOld($AC31:$AC34,AD31:AD34,$L31:$L34, M31:M34)</f>
        <v>#VALUE!</v>
      </c>
      <c r="AQ31" s="47" t="e">
        <f>bdrateOld($AC31:$AC34,AE31:AE34,$L31:$L34, N31:N34)</f>
        <v>#VALUE!</v>
      </c>
      <c r="AR31" s="48" t="e">
        <f>bdrateOld($AC31:$AC34,AF31:AF34,$L31:$L34, O31:O34)</f>
        <v>#VALUE!</v>
      </c>
    </row>
    <row r="32" spans="1:44" x14ac:dyDescent="0.2">
      <c r="A32" s="16"/>
      <c r="B32" s="16"/>
      <c r="C32" s="16">
        <v>27</v>
      </c>
      <c r="D32" s="17">
        <f>TM!B134</f>
        <v>0</v>
      </c>
      <c r="E32" s="18">
        <f>TM!C134</f>
        <v>0</v>
      </c>
      <c r="F32" s="18">
        <f>TM!D134</f>
        <v>0</v>
      </c>
      <c r="G32" s="18">
        <f>TM!E134</f>
        <v>0</v>
      </c>
      <c r="H32" s="18">
        <f>TM!F134</f>
        <v>0</v>
      </c>
      <c r="I32" s="18">
        <f>TM!G134</f>
        <v>0</v>
      </c>
      <c r="J32" s="19">
        <f t="shared" si="0"/>
        <v>0</v>
      </c>
      <c r="K32" s="27"/>
      <c r="L32" s="17">
        <f>Test!B134</f>
        <v>0</v>
      </c>
      <c r="M32" s="18">
        <f>Test!C134</f>
        <v>0</v>
      </c>
      <c r="N32" s="18">
        <f>Test!D134</f>
        <v>0</v>
      </c>
      <c r="O32" s="18">
        <f>Test!E134</f>
        <v>0</v>
      </c>
      <c r="P32" s="18">
        <f>Test!F134</f>
        <v>0</v>
      </c>
      <c r="Q32" s="18">
        <f>Test!G134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60"/>
      <c r="V32" s="43"/>
      <c r="W32" s="26"/>
      <c r="X32" s="26"/>
      <c r="Y32" s="43"/>
      <c r="Z32" s="26"/>
      <c r="AA32" s="55"/>
      <c r="AB32" s="20"/>
      <c r="AC32" s="17">
        <f>BMS!B134</f>
        <v>0</v>
      </c>
      <c r="AD32" s="18">
        <f>BMS!C134</f>
        <v>0</v>
      </c>
      <c r="AE32" s="18">
        <f>BMS!D134</f>
        <v>0</v>
      </c>
      <c r="AF32" s="18">
        <f>BMS!E134</f>
        <v>0</v>
      </c>
      <c r="AG32" s="18">
        <f>BMS!F134</f>
        <v>0</v>
      </c>
      <c r="AH32" s="18">
        <f>BMS!G134</f>
        <v>0</v>
      </c>
      <c r="AI32" s="19">
        <f t="shared" si="3"/>
        <v>0</v>
      </c>
      <c r="AJ32" s="18" t="e">
        <f t="shared" si="4"/>
        <v>#DIV/0!</v>
      </c>
      <c r="AK32" s="18" t="e">
        <f t="shared" si="5"/>
        <v>#DIV/0!</v>
      </c>
      <c r="AL32" s="20"/>
      <c r="AM32" s="43"/>
      <c r="AN32" s="26"/>
      <c r="AO32" s="55"/>
      <c r="AP32" s="43"/>
      <c r="AQ32" s="26"/>
      <c r="AR32" s="55"/>
    </row>
    <row r="33" spans="1:44" x14ac:dyDescent="0.2">
      <c r="A33" s="16"/>
      <c r="B33" s="16"/>
      <c r="C33" s="16">
        <v>32</v>
      </c>
      <c r="D33" s="17">
        <f>TM!B135</f>
        <v>0</v>
      </c>
      <c r="E33" s="18">
        <f>TM!C135</f>
        <v>0</v>
      </c>
      <c r="F33" s="18">
        <f>TM!D135</f>
        <v>0</v>
      </c>
      <c r="G33" s="18">
        <f>TM!E135</f>
        <v>0</v>
      </c>
      <c r="H33" s="18">
        <f>TM!F135</f>
        <v>0</v>
      </c>
      <c r="I33" s="18">
        <f>TM!G135</f>
        <v>0</v>
      </c>
      <c r="J33" s="19">
        <f t="shared" si="0"/>
        <v>0</v>
      </c>
      <c r="K33" s="27"/>
      <c r="L33" s="17">
        <f>Test!B135</f>
        <v>0</v>
      </c>
      <c r="M33" s="18">
        <f>Test!C135</f>
        <v>0</v>
      </c>
      <c r="N33" s="18">
        <f>Test!D135</f>
        <v>0</v>
      </c>
      <c r="O33" s="18">
        <f>Test!E135</f>
        <v>0</v>
      </c>
      <c r="P33" s="18">
        <f>Test!F135</f>
        <v>0</v>
      </c>
      <c r="Q33" s="18">
        <f>Test!G135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60"/>
      <c r="V33" s="43"/>
      <c r="W33" s="26"/>
      <c r="X33" s="26"/>
      <c r="Y33" s="43"/>
      <c r="Z33" s="26"/>
      <c r="AA33" s="55"/>
      <c r="AB33" s="20"/>
      <c r="AC33" s="17">
        <f>BMS!B135</f>
        <v>0</v>
      </c>
      <c r="AD33" s="18">
        <f>BMS!C135</f>
        <v>0</v>
      </c>
      <c r="AE33" s="18">
        <f>BMS!D135</f>
        <v>0</v>
      </c>
      <c r="AF33" s="18">
        <f>BMS!E135</f>
        <v>0</v>
      </c>
      <c r="AG33" s="18">
        <f>BMS!F135</f>
        <v>0</v>
      </c>
      <c r="AH33" s="18">
        <f>BMS!G135</f>
        <v>0</v>
      </c>
      <c r="AI33" s="19">
        <f t="shared" si="3"/>
        <v>0</v>
      </c>
      <c r="AJ33" s="18" t="e">
        <f t="shared" si="4"/>
        <v>#DIV/0!</v>
      </c>
      <c r="AK33" s="18" t="e">
        <f t="shared" si="5"/>
        <v>#DIV/0!</v>
      </c>
      <c r="AL33" s="20"/>
      <c r="AM33" s="43"/>
      <c r="AN33" s="26"/>
      <c r="AO33" s="55"/>
      <c r="AP33" s="43"/>
      <c r="AQ33" s="26"/>
      <c r="AR33" s="55"/>
    </row>
    <row r="34" spans="1:44" ht="12.75" thickBot="1" x14ac:dyDescent="0.25">
      <c r="A34" s="16"/>
      <c r="B34" s="21"/>
      <c r="C34" s="21">
        <v>37</v>
      </c>
      <c r="D34" s="22">
        <f>TM!B136</f>
        <v>0</v>
      </c>
      <c r="E34" s="23">
        <f>TM!C136</f>
        <v>0</v>
      </c>
      <c r="F34" s="23">
        <f>TM!D136</f>
        <v>0</v>
      </c>
      <c r="G34" s="23">
        <f>TM!E136</f>
        <v>0</v>
      </c>
      <c r="H34" s="23">
        <f>TM!F136</f>
        <v>0</v>
      </c>
      <c r="I34" s="23">
        <f>TM!G136</f>
        <v>0</v>
      </c>
      <c r="J34" s="24">
        <f t="shared" si="0"/>
        <v>0</v>
      </c>
      <c r="K34" s="27"/>
      <c r="L34" s="22">
        <f>Test!B136</f>
        <v>0</v>
      </c>
      <c r="M34" s="23">
        <f>Test!C136</f>
        <v>0</v>
      </c>
      <c r="N34" s="23">
        <f>Test!D136</f>
        <v>0</v>
      </c>
      <c r="O34" s="23">
        <f>Test!E136</f>
        <v>0</v>
      </c>
      <c r="P34" s="23">
        <f>Test!F136</f>
        <v>0</v>
      </c>
      <c r="Q34" s="23">
        <f>Test!G136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60"/>
      <c r="V34" s="44"/>
      <c r="W34" s="56"/>
      <c r="X34" s="56"/>
      <c r="Y34" s="44"/>
      <c r="Z34" s="56"/>
      <c r="AA34" s="57"/>
      <c r="AB34" s="20"/>
      <c r="AC34" s="22">
        <f>BMS!B136</f>
        <v>0</v>
      </c>
      <c r="AD34" s="23">
        <f>BMS!C136</f>
        <v>0</v>
      </c>
      <c r="AE34" s="23">
        <f>BMS!D136</f>
        <v>0</v>
      </c>
      <c r="AF34" s="23">
        <f>BMS!E136</f>
        <v>0</v>
      </c>
      <c r="AG34" s="23">
        <f>BMS!F136</f>
        <v>0</v>
      </c>
      <c r="AH34" s="23">
        <f>BMS!G136</f>
        <v>0</v>
      </c>
      <c r="AI34" s="24">
        <f t="shared" si="3"/>
        <v>0</v>
      </c>
      <c r="AJ34" s="18" t="e">
        <f t="shared" si="4"/>
        <v>#DIV/0!</v>
      </c>
      <c r="AK34" s="18" t="e">
        <f t="shared" si="5"/>
        <v>#DIV/0!</v>
      </c>
      <c r="AL34" s="20"/>
      <c r="AM34" s="44"/>
      <c r="AN34" s="56"/>
      <c r="AO34" s="57"/>
      <c r="AP34" s="44"/>
      <c r="AQ34" s="56"/>
      <c r="AR34" s="57"/>
    </row>
    <row r="35" spans="1:44" x14ac:dyDescent="0.2">
      <c r="A35" s="16"/>
      <c r="B35" s="11" t="s">
        <v>2</v>
      </c>
      <c r="C35" s="11">
        <v>22</v>
      </c>
      <c r="D35" s="12">
        <f>TM!B137</f>
        <v>0</v>
      </c>
      <c r="E35" s="13">
        <f>TM!C137</f>
        <v>0</v>
      </c>
      <c r="F35" s="13">
        <f>TM!D137</f>
        <v>0</v>
      </c>
      <c r="G35" s="13">
        <f>TM!E137</f>
        <v>0</v>
      </c>
      <c r="H35" s="13">
        <f>TM!F137</f>
        <v>0</v>
      </c>
      <c r="I35" s="13">
        <f>TM!G137</f>
        <v>0</v>
      </c>
      <c r="J35" s="14">
        <f t="shared" si="0"/>
        <v>0</v>
      </c>
      <c r="L35" s="12">
        <f>Test!B137</f>
        <v>0</v>
      </c>
      <c r="M35" s="13">
        <f>Test!C137</f>
        <v>0</v>
      </c>
      <c r="N35" s="13">
        <f>Test!D137</f>
        <v>0</v>
      </c>
      <c r="O35" s="13">
        <f>Test!E137</f>
        <v>0</v>
      </c>
      <c r="P35" s="13">
        <f>Test!F137</f>
        <v>0</v>
      </c>
      <c r="Q35" s="13">
        <f>Test!G137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60"/>
      <c r="V35" s="42" t="e">
        <f>bdrate($D35:$D38,E35:E38,$L35:$L38,M35:M38)</f>
        <v>#VALUE!</v>
      </c>
      <c r="W35" s="47" t="e">
        <f>bdrate($D35:$D38,F35:F38,$L35:$L38,N35:N38)</f>
        <v>#VALUE!</v>
      </c>
      <c r="X35" s="47" t="e">
        <f>bdrate($D35:$D38,G35:G38,$L35:$L38,O35:O38)</f>
        <v>#VALUE!</v>
      </c>
      <c r="Y35" s="45" t="e">
        <f>bdrateOld($D35:$D38,E35:E38,$L35:$L38,M35:M38)</f>
        <v>#VALUE!</v>
      </c>
      <c r="Z35" s="49" t="e">
        <f>bdrateOld($D35:$D38,F35:F38,$L35:$L38,N35:N38)</f>
        <v>#VALUE!</v>
      </c>
      <c r="AA35" s="50" t="e">
        <f>bdrateOld($D35:$D38,G35:G38,$L35:$L38,O35:O38)</f>
        <v>#VALUE!</v>
      </c>
      <c r="AB35" s="20"/>
      <c r="AC35" s="12">
        <f>BMS!B137</f>
        <v>0</v>
      </c>
      <c r="AD35" s="13">
        <f>BMS!C137</f>
        <v>0</v>
      </c>
      <c r="AE35" s="13">
        <f>BMS!D137</f>
        <v>0</v>
      </c>
      <c r="AF35" s="13">
        <f>BMS!E137</f>
        <v>0</v>
      </c>
      <c r="AG35" s="13">
        <f>BMS!F137</f>
        <v>0</v>
      </c>
      <c r="AH35" s="13">
        <f>BMS!G137</f>
        <v>0</v>
      </c>
      <c r="AI35" s="14">
        <f t="shared" si="3"/>
        <v>0</v>
      </c>
      <c r="AJ35" s="18" t="e">
        <f t="shared" si="4"/>
        <v>#DIV/0!</v>
      </c>
      <c r="AK35" s="18" t="e">
        <f t="shared" si="5"/>
        <v>#DIV/0!</v>
      </c>
      <c r="AL35" s="20"/>
      <c r="AM35" s="42" t="e">
        <f>bdrate($AC35:$AC38,AD35:AD38,$L35:$L38, M35:M38)</f>
        <v>#VALUE!</v>
      </c>
      <c r="AN35" s="47" t="e">
        <f>bdrate($AC35:$AC38,AE35:AE38,$L35:$L38, N35:N38)</f>
        <v>#VALUE!</v>
      </c>
      <c r="AO35" s="48" t="e">
        <f>bdrate($AC35:$AC38,AF35:AF38,$L35:$L38, O35:O38)</f>
        <v>#VALUE!</v>
      </c>
      <c r="AP35" s="42" t="e">
        <f>bdrateOld($AC35:$AC38,AD35:AD38,$L35:$L38, M35:M38)</f>
        <v>#VALUE!</v>
      </c>
      <c r="AQ35" s="47" t="e">
        <f>bdrateOld($AC35:$AC38,AE35:AE38,$L35:$L38, N35:N38)</f>
        <v>#VALUE!</v>
      </c>
      <c r="AR35" s="48" t="e">
        <f>bdrateOld($AC35:$AC38,AF35:AF38,$L35:$L38, O35:O38)</f>
        <v>#VALUE!</v>
      </c>
    </row>
    <row r="36" spans="1:44" x14ac:dyDescent="0.2">
      <c r="A36" s="16"/>
      <c r="B36" s="16"/>
      <c r="C36" s="16">
        <v>27</v>
      </c>
      <c r="D36" s="17">
        <f>TM!B138</f>
        <v>0</v>
      </c>
      <c r="E36" s="18">
        <f>TM!C138</f>
        <v>0</v>
      </c>
      <c r="F36" s="18">
        <f>TM!D138</f>
        <v>0</v>
      </c>
      <c r="G36" s="18">
        <f>TM!E138</f>
        <v>0</v>
      </c>
      <c r="H36" s="18">
        <f>TM!F138</f>
        <v>0</v>
      </c>
      <c r="I36" s="18">
        <f>TM!G138</f>
        <v>0</v>
      </c>
      <c r="J36" s="19">
        <f t="shared" si="0"/>
        <v>0</v>
      </c>
      <c r="L36" s="17">
        <f>Test!B138</f>
        <v>0</v>
      </c>
      <c r="M36" s="18">
        <f>Test!C138</f>
        <v>0</v>
      </c>
      <c r="N36" s="18">
        <f>Test!D138</f>
        <v>0</v>
      </c>
      <c r="O36" s="18">
        <f>Test!E138</f>
        <v>0</v>
      </c>
      <c r="P36" s="18">
        <f>Test!F138</f>
        <v>0</v>
      </c>
      <c r="Q36" s="18">
        <f>Test!G138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60"/>
      <c r="V36" s="43"/>
      <c r="W36" s="26"/>
      <c r="X36" s="26"/>
      <c r="Y36" s="43"/>
      <c r="Z36" s="26"/>
      <c r="AA36" s="55"/>
      <c r="AB36" s="20"/>
      <c r="AC36" s="17">
        <f>BMS!B138</f>
        <v>0</v>
      </c>
      <c r="AD36" s="18">
        <f>BMS!C138</f>
        <v>0</v>
      </c>
      <c r="AE36" s="18">
        <f>BMS!D138</f>
        <v>0</v>
      </c>
      <c r="AF36" s="18">
        <f>BMS!E138</f>
        <v>0</v>
      </c>
      <c r="AG36" s="18">
        <f>BMS!F138</f>
        <v>0</v>
      </c>
      <c r="AH36" s="18">
        <f>BMS!G138</f>
        <v>0</v>
      </c>
      <c r="AI36" s="19">
        <f t="shared" si="3"/>
        <v>0</v>
      </c>
      <c r="AJ36" s="18" t="e">
        <f t="shared" si="4"/>
        <v>#DIV/0!</v>
      </c>
      <c r="AK36" s="18" t="e">
        <f t="shared" si="5"/>
        <v>#DIV/0!</v>
      </c>
      <c r="AL36" s="20"/>
      <c r="AM36" s="43"/>
      <c r="AN36" s="26"/>
      <c r="AO36" s="55"/>
      <c r="AP36" s="43"/>
      <c r="AQ36" s="26"/>
      <c r="AR36" s="55"/>
    </row>
    <row r="37" spans="1:44" x14ac:dyDescent="0.2">
      <c r="A37" s="16"/>
      <c r="B37" s="16"/>
      <c r="C37" s="16">
        <v>32</v>
      </c>
      <c r="D37" s="17">
        <f>TM!B139</f>
        <v>0</v>
      </c>
      <c r="E37" s="18">
        <f>TM!C139</f>
        <v>0</v>
      </c>
      <c r="F37" s="18">
        <f>TM!D139</f>
        <v>0</v>
      </c>
      <c r="G37" s="18">
        <f>TM!E139</f>
        <v>0</v>
      </c>
      <c r="H37" s="18">
        <f>TM!F139</f>
        <v>0</v>
      </c>
      <c r="I37" s="18">
        <f>TM!G139</f>
        <v>0</v>
      </c>
      <c r="J37" s="19">
        <f t="shared" si="0"/>
        <v>0</v>
      </c>
      <c r="L37" s="17">
        <f>Test!B139</f>
        <v>0</v>
      </c>
      <c r="M37" s="18">
        <f>Test!C139</f>
        <v>0</v>
      </c>
      <c r="N37" s="18">
        <f>Test!D139</f>
        <v>0</v>
      </c>
      <c r="O37" s="18">
        <f>Test!E139</f>
        <v>0</v>
      </c>
      <c r="P37" s="18">
        <f>Test!F139</f>
        <v>0</v>
      </c>
      <c r="Q37" s="18">
        <f>Test!G139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60"/>
      <c r="V37" s="43"/>
      <c r="W37" s="26"/>
      <c r="X37" s="26"/>
      <c r="Y37" s="43"/>
      <c r="Z37" s="26"/>
      <c r="AA37" s="55"/>
      <c r="AB37" s="20"/>
      <c r="AC37" s="17">
        <f>BMS!B139</f>
        <v>0</v>
      </c>
      <c r="AD37" s="18">
        <f>BMS!C139</f>
        <v>0</v>
      </c>
      <c r="AE37" s="18">
        <f>BMS!D139</f>
        <v>0</v>
      </c>
      <c r="AF37" s="18">
        <f>BMS!E139</f>
        <v>0</v>
      </c>
      <c r="AG37" s="18">
        <f>BMS!F139</f>
        <v>0</v>
      </c>
      <c r="AH37" s="18">
        <f>BMS!G139</f>
        <v>0</v>
      </c>
      <c r="AI37" s="19">
        <f t="shared" si="3"/>
        <v>0</v>
      </c>
      <c r="AJ37" s="18" t="e">
        <f t="shared" si="4"/>
        <v>#DIV/0!</v>
      </c>
      <c r="AK37" s="18" t="e">
        <f t="shared" si="5"/>
        <v>#DIV/0!</v>
      </c>
      <c r="AL37" s="20"/>
      <c r="AM37" s="43"/>
      <c r="AN37" s="26"/>
      <c r="AO37" s="55"/>
      <c r="AP37" s="43"/>
      <c r="AQ37" s="26"/>
      <c r="AR37" s="55"/>
    </row>
    <row r="38" spans="1:44" ht="12.75" thickBot="1" x14ac:dyDescent="0.25">
      <c r="A38" s="16"/>
      <c r="B38" s="21"/>
      <c r="C38" s="21">
        <v>37</v>
      </c>
      <c r="D38" s="22">
        <f>TM!B140</f>
        <v>0</v>
      </c>
      <c r="E38" s="23">
        <f>TM!C140</f>
        <v>0</v>
      </c>
      <c r="F38" s="23">
        <f>TM!D140</f>
        <v>0</v>
      </c>
      <c r="G38" s="23">
        <f>TM!E140</f>
        <v>0</v>
      </c>
      <c r="H38" s="23">
        <f>TM!F140</f>
        <v>0</v>
      </c>
      <c r="I38" s="23">
        <f>TM!G140</f>
        <v>0</v>
      </c>
      <c r="J38" s="24">
        <f t="shared" si="0"/>
        <v>0</v>
      </c>
      <c r="L38" s="22">
        <f>Test!B140</f>
        <v>0</v>
      </c>
      <c r="M38" s="23">
        <f>Test!C140</f>
        <v>0</v>
      </c>
      <c r="N38" s="23">
        <f>Test!D140</f>
        <v>0</v>
      </c>
      <c r="O38" s="23">
        <f>Test!E140</f>
        <v>0</v>
      </c>
      <c r="P38" s="23">
        <f>Test!F140</f>
        <v>0</v>
      </c>
      <c r="Q38" s="23">
        <f>Test!G140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60"/>
      <c r="V38" s="44"/>
      <c r="W38" s="56"/>
      <c r="X38" s="56"/>
      <c r="Y38" s="44"/>
      <c r="Z38" s="56"/>
      <c r="AA38" s="57"/>
      <c r="AB38" s="20"/>
      <c r="AC38" s="22">
        <f>BMS!B140</f>
        <v>0</v>
      </c>
      <c r="AD38" s="23">
        <f>BMS!C140</f>
        <v>0</v>
      </c>
      <c r="AE38" s="23">
        <f>BMS!D140</f>
        <v>0</v>
      </c>
      <c r="AF38" s="23">
        <f>BMS!E140</f>
        <v>0</v>
      </c>
      <c r="AG38" s="23">
        <f>BMS!F140</f>
        <v>0</v>
      </c>
      <c r="AH38" s="23">
        <f>BMS!G140</f>
        <v>0</v>
      </c>
      <c r="AI38" s="24">
        <f t="shared" si="3"/>
        <v>0</v>
      </c>
      <c r="AJ38" s="18" t="e">
        <f t="shared" si="4"/>
        <v>#DIV/0!</v>
      </c>
      <c r="AK38" s="18" t="e">
        <f t="shared" si="5"/>
        <v>#DIV/0!</v>
      </c>
      <c r="AL38" s="20"/>
      <c r="AM38" s="44"/>
      <c r="AN38" s="56"/>
      <c r="AO38" s="57"/>
      <c r="AP38" s="44"/>
      <c r="AQ38" s="56"/>
      <c r="AR38" s="57"/>
    </row>
    <row r="39" spans="1:44" x14ac:dyDescent="0.2">
      <c r="A39" s="16"/>
      <c r="B39" s="11" t="s">
        <v>3</v>
      </c>
      <c r="C39" s="11">
        <v>22</v>
      </c>
      <c r="D39" s="12">
        <f>TM!B141</f>
        <v>0</v>
      </c>
      <c r="E39" s="13">
        <f>TM!C141</f>
        <v>0</v>
      </c>
      <c r="F39" s="13">
        <f>TM!D141</f>
        <v>0</v>
      </c>
      <c r="G39" s="13">
        <f>TM!E141</f>
        <v>0</v>
      </c>
      <c r="H39" s="13">
        <f>TM!F141</f>
        <v>0</v>
      </c>
      <c r="I39" s="13">
        <f>TM!G141</f>
        <v>0</v>
      </c>
      <c r="J39" s="14">
        <f t="shared" si="0"/>
        <v>0</v>
      </c>
      <c r="L39" s="12">
        <f>Test!B141</f>
        <v>0</v>
      </c>
      <c r="M39" s="13">
        <f>Test!C141</f>
        <v>0</v>
      </c>
      <c r="N39" s="13">
        <f>Test!D141</f>
        <v>0</v>
      </c>
      <c r="O39" s="13">
        <f>Test!E141</f>
        <v>0</v>
      </c>
      <c r="P39" s="13">
        <f>Test!F141</f>
        <v>0</v>
      </c>
      <c r="Q39" s="13">
        <f>Test!G141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60"/>
      <c r="V39" s="42" t="e">
        <f>bdrate($D39:$D42,E39:E42,$L39:$L42,M39:M42)</f>
        <v>#VALUE!</v>
      </c>
      <c r="W39" s="47" t="e">
        <f>bdrate($D39:$D42,F39:F42,$L39:$L42,N39:N42)</f>
        <v>#VALUE!</v>
      </c>
      <c r="X39" s="47" t="e">
        <f>bdrate($D39:$D42,G39:G42,$L39:$L42,O39:O42)</f>
        <v>#VALUE!</v>
      </c>
      <c r="Y39" s="45" t="e">
        <f>bdrateOld($D39:$D42,E39:E42,$L39:$L42,M39:M42)</f>
        <v>#VALUE!</v>
      </c>
      <c r="Z39" s="49" t="e">
        <f>bdrateOld($D39:$D42,F39:F42,$L39:$L42,N39:N42)</f>
        <v>#VALUE!</v>
      </c>
      <c r="AA39" s="50" t="e">
        <f>bdrateOld($D39:$D42,G39:G42,$L39:$L42,O39:O42)</f>
        <v>#VALUE!</v>
      </c>
      <c r="AB39" s="20"/>
      <c r="AC39" s="12">
        <f>BMS!B141</f>
        <v>0</v>
      </c>
      <c r="AD39" s="13">
        <f>BMS!C141</f>
        <v>0</v>
      </c>
      <c r="AE39" s="13">
        <f>BMS!D141</f>
        <v>0</v>
      </c>
      <c r="AF39" s="13">
        <f>BMS!E141</f>
        <v>0</v>
      </c>
      <c r="AG39" s="13">
        <f>BMS!F141</f>
        <v>0</v>
      </c>
      <c r="AH39" s="13">
        <f>BMS!G141</f>
        <v>0</v>
      </c>
      <c r="AI39" s="14">
        <f t="shared" si="3"/>
        <v>0</v>
      </c>
      <c r="AJ39" s="18" t="e">
        <f t="shared" si="4"/>
        <v>#DIV/0!</v>
      </c>
      <c r="AK39" s="18" t="e">
        <f t="shared" si="5"/>
        <v>#DIV/0!</v>
      </c>
      <c r="AL39" s="20"/>
      <c r="AM39" s="42" t="e">
        <f>bdrate($AC39:$AC42,AD39:AD42,$L39:$L42, M39:M42)</f>
        <v>#VALUE!</v>
      </c>
      <c r="AN39" s="47" t="e">
        <f>bdrate($AC39:$AC42,AE39:AE42,$L39:$L42, N39:N42)</f>
        <v>#VALUE!</v>
      </c>
      <c r="AO39" s="48" t="e">
        <f>bdrate($AC39:$AC42,AF39:AF42,$L39:$L42, O39:O42)</f>
        <v>#VALUE!</v>
      </c>
      <c r="AP39" s="42" t="e">
        <f>bdrateOld($AC39:$AC42,AD39:AD42,$L39:$L42, M39:M42)</f>
        <v>#VALUE!</v>
      </c>
      <c r="AQ39" s="47" t="e">
        <f>bdrateOld($AC39:$AC42,AE39:AE42,$L39:$L42, N39:N42)</f>
        <v>#VALUE!</v>
      </c>
      <c r="AR39" s="48" t="e">
        <f>bdrateOld($AC39:$AC42,AF39:AF42,$L39:$L42, O39:O42)</f>
        <v>#VALUE!</v>
      </c>
    </row>
    <row r="40" spans="1:44" x14ac:dyDescent="0.2">
      <c r="A40" s="16"/>
      <c r="B40" s="16"/>
      <c r="C40" s="16">
        <v>27</v>
      </c>
      <c r="D40" s="17">
        <f>TM!B142</f>
        <v>0</v>
      </c>
      <c r="E40" s="18">
        <f>TM!C142</f>
        <v>0</v>
      </c>
      <c r="F40" s="18">
        <f>TM!D142</f>
        <v>0</v>
      </c>
      <c r="G40" s="18">
        <f>TM!E142</f>
        <v>0</v>
      </c>
      <c r="H40" s="18">
        <f>TM!F142</f>
        <v>0</v>
      </c>
      <c r="I40" s="18">
        <f>TM!G142</f>
        <v>0</v>
      </c>
      <c r="J40" s="19">
        <f t="shared" si="0"/>
        <v>0</v>
      </c>
      <c r="L40" s="17">
        <f>Test!B142</f>
        <v>0</v>
      </c>
      <c r="M40" s="18">
        <f>Test!C142</f>
        <v>0</v>
      </c>
      <c r="N40" s="18">
        <f>Test!D142</f>
        <v>0</v>
      </c>
      <c r="O40" s="18">
        <f>Test!E142</f>
        <v>0</v>
      </c>
      <c r="P40" s="18">
        <f>Test!F142</f>
        <v>0</v>
      </c>
      <c r="Q40" s="18">
        <f>Test!G142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60"/>
      <c r="V40" s="43"/>
      <c r="W40" s="26"/>
      <c r="X40" s="26"/>
      <c r="Y40" s="43"/>
      <c r="Z40" s="26"/>
      <c r="AA40" s="55"/>
      <c r="AB40" s="20"/>
      <c r="AC40" s="17">
        <f>BMS!B142</f>
        <v>0</v>
      </c>
      <c r="AD40" s="18">
        <f>BMS!C142</f>
        <v>0</v>
      </c>
      <c r="AE40" s="18">
        <f>BMS!D142</f>
        <v>0</v>
      </c>
      <c r="AF40" s="18">
        <f>BMS!E142</f>
        <v>0</v>
      </c>
      <c r="AG40" s="18">
        <f>BMS!F142</f>
        <v>0</v>
      </c>
      <c r="AH40" s="18">
        <f>BMS!G142</f>
        <v>0</v>
      </c>
      <c r="AI40" s="19">
        <f t="shared" si="3"/>
        <v>0</v>
      </c>
      <c r="AJ40" s="18" t="e">
        <f t="shared" si="4"/>
        <v>#DIV/0!</v>
      </c>
      <c r="AK40" s="18" t="e">
        <f t="shared" si="5"/>
        <v>#DIV/0!</v>
      </c>
      <c r="AL40" s="20"/>
      <c r="AM40" s="43"/>
      <c r="AN40" s="26"/>
      <c r="AO40" s="55"/>
      <c r="AP40" s="43"/>
      <c r="AQ40" s="26"/>
      <c r="AR40" s="55"/>
    </row>
    <row r="41" spans="1:44" x14ac:dyDescent="0.2">
      <c r="A41" s="16"/>
      <c r="B41" s="16"/>
      <c r="C41" s="16">
        <v>32</v>
      </c>
      <c r="D41" s="17">
        <f>TM!B143</f>
        <v>0</v>
      </c>
      <c r="E41" s="18">
        <f>TM!C143</f>
        <v>0</v>
      </c>
      <c r="F41" s="18">
        <f>TM!D143</f>
        <v>0</v>
      </c>
      <c r="G41" s="18">
        <f>TM!E143</f>
        <v>0</v>
      </c>
      <c r="H41" s="18">
        <f>TM!F143</f>
        <v>0</v>
      </c>
      <c r="I41" s="18">
        <f>TM!G143</f>
        <v>0</v>
      </c>
      <c r="J41" s="19">
        <f t="shared" si="0"/>
        <v>0</v>
      </c>
      <c r="L41" s="17">
        <f>Test!B143</f>
        <v>0</v>
      </c>
      <c r="M41" s="18">
        <f>Test!C143</f>
        <v>0</v>
      </c>
      <c r="N41" s="18">
        <f>Test!D143</f>
        <v>0</v>
      </c>
      <c r="O41" s="18">
        <f>Test!E143</f>
        <v>0</v>
      </c>
      <c r="P41" s="18">
        <f>Test!F143</f>
        <v>0</v>
      </c>
      <c r="Q41" s="18">
        <f>Test!G143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60"/>
      <c r="V41" s="43"/>
      <c r="W41" s="26"/>
      <c r="X41" s="26"/>
      <c r="Y41" s="43"/>
      <c r="Z41" s="26"/>
      <c r="AA41" s="55"/>
      <c r="AB41" s="20"/>
      <c r="AC41" s="17">
        <f>BMS!B143</f>
        <v>0</v>
      </c>
      <c r="AD41" s="18">
        <f>BMS!C143</f>
        <v>0</v>
      </c>
      <c r="AE41" s="18">
        <f>BMS!D143</f>
        <v>0</v>
      </c>
      <c r="AF41" s="18">
        <f>BMS!E143</f>
        <v>0</v>
      </c>
      <c r="AG41" s="18">
        <f>BMS!F143</f>
        <v>0</v>
      </c>
      <c r="AH41" s="18">
        <f>BMS!G143</f>
        <v>0</v>
      </c>
      <c r="AI41" s="19">
        <f t="shared" si="3"/>
        <v>0</v>
      </c>
      <c r="AJ41" s="18" t="e">
        <f t="shared" si="4"/>
        <v>#DIV/0!</v>
      </c>
      <c r="AK41" s="18" t="e">
        <f t="shared" si="5"/>
        <v>#DIV/0!</v>
      </c>
      <c r="AL41" s="20"/>
      <c r="AM41" s="43"/>
      <c r="AN41" s="26"/>
      <c r="AO41" s="55"/>
      <c r="AP41" s="43"/>
      <c r="AQ41" s="26"/>
      <c r="AR41" s="55"/>
    </row>
    <row r="42" spans="1:44" ht="12.75" thickBot="1" x14ac:dyDescent="0.25">
      <c r="A42" s="16"/>
      <c r="B42" s="21"/>
      <c r="C42" s="21">
        <v>37</v>
      </c>
      <c r="D42" s="22">
        <f>TM!B144</f>
        <v>0</v>
      </c>
      <c r="E42" s="23">
        <f>TM!C144</f>
        <v>0</v>
      </c>
      <c r="F42" s="23">
        <f>TM!D144</f>
        <v>0</v>
      </c>
      <c r="G42" s="23">
        <f>TM!E144</f>
        <v>0</v>
      </c>
      <c r="H42" s="23">
        <f>TM!F144</f>
        <v>0</v>
      </c>
      <c r="I42" s="23">
        <f>TM!G144</f>
        <v>0</v>
      </c>
      <c r="J42" s="24">
        <f t="shared" si="0"/>
        <v>0</v>
      </c>
      <c r="L42" s="22">
        <f>Test!B144</f>
        <v>0</v>
      </c>
      <c r="M42" s="23">
        <f>Test!C144</f>
        <v>0</v>
      </c>
      <c r="N42" s="23">
        <f>Test!D144</f>
        <v>0</v>
      </c>
      <c r="O42" s="23">
        <f>Test!E144</f>
        <v>0</v>
      </c>
      <c r="P42" s="23">
        <f>Test!F144</f>
        <v>0</v>
      </c>
      <c r="Q42" s="23">
        <f>Test!G144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60"/>
      <c r="V42" s="44"/>
      <c r="W42" s="56"/>
      <c r="X42" s="56"/>
      <c r="Y42" s="44"/>
      <c r="Z42" s="56"/>
      <c r="AA42" s="57"/>
      <c r="AB42" s="20"/>
      <c r="AC42" s="22">
        <f>BMS!B144</f>
        <v>0</v>
      </c>
      <c r="AD42" s="23">
        <f>BMS!C144</f>
        <v>0</v>
      </c>
      <c r="AE42" s="23">
        <f>BMS!D144</f>
        <v>0</v>
      </c>
      <c r="AF42" s="23">
        <f>BMS!E144</f>
        <v>0</v>
      </c>
      <c r="AG42" s="23">
        <f>BMS!F144</f>
        <v>0</v>
      </c>
      <c r="AH42" s="23">
        <f>BMS!G144</f>
        <v>0</v>
      </c>
      <c r="AI42" s="24">
        <f t="shared" si="3"/>
        <v>0</v>
      </c>
      <c r="AJ42" s="18" t="e">
        <f t="shared" si="4"/>
        <v>#DIV/0!</v>
      </c>
      <c r="AK42" s="18" t="e">
        <f t="shared" si="5"/>
        <v>#DIV/0!</v>
      </c>
      <c r="AL42" s="20"/>
      <c r="AM42" s="44"/>
      <c r="AN42" s="56"/>
      <c r="AO42" s="57"/>
      <c r="AP42" s="44"/>
      <c r="AQ42" s="56"/>
      <c r="AR42" s="57"/>
    </row>
    <row r="43" spans="1:44" x14ac:dyDescent="0.2">
      <c r="A43" s="16"/>
      <c r="B43" s="11" t="s">
        <v>4</v>
      </c>
      <c r="C43" s="11">
        <v>22</v>
      </c>
      <c r="D43" s="12">
        <f>TM!B145</f>
        <v>0</v>
      </c>
      <c r="E43" s="13">
        <f>TM!C145</f>
        <v>0</v>
      </c>
      <c r="F43" s="13">
        <f>TM!D145</f>
        <v>0</v>
      </c>
      <c r="G43" s="13">
        <f>TM!E145</f>
        <v>0</v>
      </c>
      <c r="H43" s="13">
        <f>TM!F145</f>
        <v>0</v>
      </c>
      <c r="I43" s="13">
        <f>TM!G145</f>
        <v>0</v>
      </c>
      <c r="J43" s="14">
        <f t="shared" si="0"/>
        <v>0</v>
      </c>
      <c r="L43" s="12">
        <f>Test!B145</f>
        <v>0</v>
      </c>
      <c r="M43" s="13">
        <f>Test!C145</f>
        <v>0</v>
      </c>
      <c r="N43" s="13">
        <f>Test!D145</f>
        <v>0</v>
      </c>
      <c r="O43" s="13">
        <f>Test!E145</f>
        <v>0</v>
      </c>
      <c r="P43" s="13">
        <f>Test!F145</f>
        <v>0</v>
      </c>
      <c r="Q43" s="13">
        <f>Test!G145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60"/>
      <c r="V43" s="42" t="e">
        <f>bdrate($D43:$D46,E43:E46,$L43:$L46,M43:M46)</f>
        <v>#VALUE!</v>
      </c>
      <c r="W43" s="47" t="e">
        <f>bdrate($D43:$D46,F43:F46,$L43:$L46,N43:N46)</f>
        <v>#VALUE!</v>
      </c>
      <c r="X43" s="47" t="e">
        <f>bdrate($D43:$D46,G43:G46,$L43:$L46,O43:O46)</f>
        <v>#VALUE!</v>
      </c>
      <c r="Y43" s="45" t="e">
        <f>bdrateOld($D43:$D46,E43:E46,$L43:$L46,M43:M46)</f>
        <v>#VALUE!</v>
      </c>
      <c r="Z43" s="49" t="e">
        <f>bdrateOld($D43:$D46,F43:F46,$L43:$L46,N43:N46)</f>
        <v>#VALUE!</v>
      </c>
      <c r="AA43" s="50" t="e">
        <f>bdrateOld($D43:$D46,G43:G46,$L43:$L46,O43:O46)</f>
        <v>#VALUE!</v>
      </c>
      <c r="AB43" s="20"/>
      <c r="AC43" s="12">
        <f>BMS!B145</f>
        <v>0</v>
      </c>
      <c r="AD43" s="13">
        <f>BMS!C145</f>
        <v>0</v>
      </c>
      <c r="AE43" s="13">
        <f>BMS!D145</f>
        <v>0</v>
      </c>
      <c r="AF43" s="13">
        <f>BMS!E145</f>
        <v>0</v>
      </c>
      <c r="AG43" s="13">
        <f>BMS!F145</f>
        <v>0</v>
      </c>
      <c r="AH43" s="13">
        <f>BMS!G145</f>
        <v>0</v>
      </c>
      <c r="AI43" s="14">
        <f t="shared" si="3"/>
        <v>0</v>
      </c>
      <c r="AJ43" s="18" t="e">
        <f t="shared" si="4"/>
        <v>#DIV/0!</v>
      </c>
      <c r="AK43" s="18" t="e">
        <f t="shared" si="5"/>
        <v>#DIV/0!</v>
      </c>
      <c r="AL43" s="20"/>
      <c r="AM43" s="42" t="e">
        <f>bdrate($AC43:$AC46,AD43:AD46,$L43:$L46, M43:M46)</f>
        <v>#VALUE!</v>
      </c>
      <c r="AN43" s="47" t="e">
        <f>bdrate($AC43:$AC46,AE43:AE46,$L43:$L46, N43:N46)</f>
        <v>#VALUE!</v>
      </c>
      <c r="AO43" s="48" t="e">
        <f>bdrate($AC43:$AC46,AF43:AF46,$L43:$L46, O43:O46)</f>
        <v>#VALUE!</v>
      </c>
      <c r="AP43" s="42" t="e">
        <f>bdrateOld($AC43:$AC46,AD43:AD46,$L43:$L46, M43:M46)</f>
        <v>#VALUE!</v>
      </c>
      <c r="AQ43" s="47" t="e">
        <f>bdrateOld($AC43:$AC46,AE43:AE46,$L43:$L46, N43:N46)</f>
        <v>#VALUE!</v>
      </c>
      <c r="AR43" s="48" t="e">
        <f>bdrateOld($AC43:$AC46,AF43:AF46,$L43:$L46, O43:O46)</f>
        <v>#VALUE!</v>
      </c>
    </row>
    <row r="44" spans="1:44" x14ac:dyDescent="0.2">
      <c r="A44" s="16"/>
      <c r="B44" s="16"/>
      <c r="C44" s="16">
        <v>27</v>
      </c>
      <c r="D44" s="17">
        <f>TM!B146</f>
        <v>0</v>
      </c>
      <c r="E44" s="18">
        <f>TM!C146</f>
        <v>0</v>
      </c>
      <c r="F44" s="18">
        <f>TM!D146</f>
        <v>0</v>
      </c>
      <c r="G44" s="18">
        <f>TM!E146</f>
        <v>0</v>
      </c>
      <c r="H44" s="18">
        <f>TM!F146</f>
        <v>0</v>
      </c>
      <c r="I44" s="18">
        <f>TM!G146</f>
        <v>0</v>
      </c>
      <c r="J44" s="19">
        <f t="shared" si="0"/>
        <v>0</v>
      </c>
      <c r="L44" s="17">
        <f>Test!B146</f>
        <v>0</v>
      </c>
      <c r="M44" s="18">
        <f>Test!C146</f>
        <v>0</v>
      </c>
      <c r="N44" s="18">
        <f>Test!D146</f>
        <v>0</v>
      </c>
      <c r="O44" s="18">
        <f>Test!E146</f>
        <v>0</v>
      </c>
      <c r="P44" s="18">
        <f>Test!F146</f>
        <v>0</v>
      </c>
      <c r="Q44" s="18">
        <f>Test!G146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60"/>
      <c r="V44" s="43"/>
      <c r="W44" s="26"/>
      <c r="X44" s="26"/>
      <c r="Y44" s="43"/>
      <c r="Z44" s="26"/>
      <c r="AA44" s="55"/>
      <c r="AB44" s="20"/>
      <c r="AC44" s="17">
        <f>BMS!B146</f>
        <v>0</v>
      </c>
      <c r="AD44" s="18">
        <f>BMS!C146</f>
        <v>0</v>
      </c>
      <c r="AE44" s="18">
        <f>BMS!D146</f>
        <v>0</v>
      </c>
      <c r="AF44" s="18">
        <f>BMS!E146</f>
        <v>0</v>
      </c>
      <c r="AG44" s="18">
        <f>BMS!F146</f>
        <v>0</v>
      </c>
      <c r="AH44" s="18">
        <f>BMS!G146</f>
        <v>0</v>
      </c>
      <c r="AI44" s="19">
        <f t="shared" si="3"/>
        <v>0</v>
      </c>
      <c r="AJ44" s="18" t="e">
        <f t="shared" si="4"/>
        <v>#DIV/0!</v>
      </c>
      <c r="AK44" s="18" t="e">
        <f t="shared" si="5"/>
        <v>#DIV/0!</v>
      </c>
      <c r="AL44" s="20"/>
      <c r="AM44" s="43"/>
      <c r="AN44" s="26"/>
      <c r="AO44" s="55"/>
      <c r="AP44" s="43"/>
      <c r="AQ44" s="26"/>
      <c r="AR44" s="55"/>
    </row>
    <row r="45" spans="1:44" x14ac:dyDescent="0.2">
      <c r="A45" s="16"/>
      <c r="B45" s="16"/>
      <c r="C45" s="16">
        <v>32</v>
      </c>
      <c r="D45" s="17">
        <f>TM!B147</f>
        <v>0</v>
      </c>
      <c r="E45" s="18">
        <f>TM!C147</f>
        <v>0</v>
      </c>
      <c r="F45" s="18">
        <f>TM!D147</f>
        <v>0</v>
      </c>
      <c r="G45" s="18">
        <f>TM!E147</f>
        <v>0</v>
      </c>
      <c r="H45" s="18">
        <f>TM!F147</f>
        <v>0</v>
      </c>
      <c r="I45" s="18">
        <f>TM!G147</f>
        <v>0</v>
      </c>
      <c r="J45" s="19">
        <f t="shared" si="0"/>
        <v>0</v>
      </c>
      <c r="L45" s="17">
        <f>Test!B147</f>
        <v>0</v>
      </c>
      <c r="M45" s="18">
        <f>Test!C147</f>
        <v>0</v>
      </c>
      <c r="N45" s="18">
        <f>Test!D147</f>
        <v>0</v>
      </c>
      <c r="O45" s="18">
        <f>Test!E147</f>
        <v>0</v>
      </c>
      <c r="P45" s="18">
        <f>Test!F147</f>
        <v>0</v>
      </c>
      <c r="Q45" s="18">
        <f>Test!G147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60"/>
      <c r="V45" s="43"/>
      <c r="W45" s="26"/>
      <c r="X45" s="26"/>
      <c r="Y45" s="43"/>
      <c r="Z45" s="26"/>
      <c r="AA45" s="55"/>
      <c r="AB45" s="20"/>
      <c r="AC45" s="17">
        <f>BMS!B147</f>
        <v>0</v>
      </c>
      <c r="AD45" s="18">
        <f>BMS!C147</f>
        <v>0</v>
      </c>
      <c r="AE45" s="18">
        <f>BMS!D147</f>
        <v>0</v>
      </c>
      <c r="AF45" s="18">
        <f>BMS!E147</f>
        <v>0</v>
      </c>
      <c r="AG45" s="18">
        <f>BMS!F147</f>
        <v>0</v>
      </c>
      <c r="AH45" s="18">
        <f>BMS!G147</f>
        <v>0</v>
      </c>
      <c r="AI45" s="19">
        <f t="shared" si="3"/>
        <v>0</v>
      </c>
      <c r="AJ45" s="18" t="e">
        <f t="shared" si="4"/>
        <v>#DIV/0!</v>
      </c>
      <c r="AK45" s="18" t="e">
        <f t="shared" si="5"/>
        <v>#DIV/0!</v>
      </c>
      <c r="AL45" s="20"/>
      <c r="AM45" s="43"/>
      <c r="AN45" s="26"/>
      <c r="AO45" s="55"/>
      <c r="AP45" s="43"/>
      <c r="AQ45" s="26"/>
      <c r="AR45" s="55"/>
    </row>
    <row r="46" spans="1:44" ht="12.75" thickBot="1" x14ac:dyDescent="0.25">
      <c r="A46" s="21"/>
      <c r="B46" s="21"/>
      <c r="C46" s="21">
        <v>37</v>
      </c>
      <c r="D46" s="22">
        <f>TM!B148</f>
        <v>0</v>
      </c>
      <c r="E46" s="23">
        <f>TM!C148</f>
        <v>0</v>
      </c>
      <c r="F46" s="23">
        <f>TM!D148</f>
        <v>0</v>
      </c>
      <c r="G46" s="23">
        <f>TM!E148</f>
        <v>0</v>
      </c>
      <c r="H46" s="23">
        <f>TM!F148</f>
        <v>0</v>
      </c>
      <c r="I46" s="23">
        <f>TM!G148</f>
        <v>0</v>
      </c>
      <c r="J46" s="24">
        <f t="shared" si="0"/>
        <v>0</v>
      </c>
      <c r="L46" s="22">
        <f>Test!B148</f>
        <v>0</v>
      </c>
      <c r="M46" s="23">
        <f>Test!C148</f>
        <v>0</v>
      </c>
      <c r="N46" s="23">
        <f>Test!D148</f>
        <v>0</v>
      </c>
      <c r="O46" s="23">
        <f>Test!E148</f>
        <v>0</v>
      </c>
      <c r="P46" s="23">
        <f>Test!F148</f>
        <v>0</v>
      </c>
      <c r="Q46" s="23">
        <f>Test!G148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60"/>
      <c r="V46" s="44"/>
      <c r="W46" s="56"/>
      <c r="X46" s="56"/>
      <c r="Y46" s="44"/>
      <c r="Z46" s="56"/>
      <c r="AA46" s="57"/>
      <c r="AB46" s="20"/>
      <c r="AC46" s="22">
        <f>BMS!B148</f>
        <v>0</v>
      </c>
      <c r="AD46" s="23">
        <f>BMS!C148</f>
        <v>0</v>
      </c>
      <c r="AE46" s="23">
        <f>BMS!D148</f>
        <v>0</v>
      </c>
      <c r="AF46" s="23">
        <f>BMS!E148</f>
        <v>0</v>
      </c>
      <c r="AG46" s="23">
        <f>BMS!F148</f>
        <v>0</v>
      </c>
      <c r="AH46" s="23">
        <f>BMS!G148</f>
        <v>0</v>
      </c>
      <c r="AI46" s="24">
        <f t="shared" si="3"/>
        <v>0</v>
      </c>
      <c r="AJ46" s="18" t="e">
        <f t="shared" si="4"/>
        <v>#DIV/0!</v>
      </c>
      <c r="AK46" s="18" t="e">
        <f t="shared" si="5"/>
        <v>#DIV/0!</v>
      </c>
      <c r="AL46" s="20"/>
      <c r="AM46" s="44"/>
      <c r="AN46" s="56"/>
      <c r="AO46" s="57"/>
      <c r="AP46" s="44"/>
      <c r="AQ46" s="56"/>
      <c r="AR46" s="57"/>
    </row>
    <row r="47" spans="1:44" x14ac:dyDescent="0.2">
      <c r="A47" s="11" t="s">
        <v>5</v>
      </c>
      <c r="B47" s="11" t="s">
        <v>55</v>
      </c>
      <c r="C47" s="11">
        <v>22</v>
      </c>
      <c r="D47" s="12">
        <f>TM!B149</f>
        <v>0</v>
      </c>
      <c r="E47" s="13">
        <f>TM!C149</f>
        <v>0</v>
      </c>
      <c r="F47" s="13">
        <f>TM!D149</f>
        <v>0</v>
      </c>
      <c r="G47" s="13">
        <f>TM!E149</f>
        <v>0</v>
      </c>
      <c r="H47" s="13">
        <f>TM!F149</f>
        <v>0</v>
      </c>
      <c r="I47" s="13">
        <f>TM!G149</f>
        <v>0</v>
      </c>
      <c r="J47" s="14">
        <f t="shared" si="0"/>
        <v>0</v>
      </c>
      <c r="K47" s="27"/>
      <c r="L47" s="12">
        <f>Test!B149</f>
        <v>0</v>
      </c>
      <c r="M47" s="13">
        <f>Test!C149</f>
        <v>0</v>
      </c>
      <c r="N47" s="13">
        <f>Test!D149</f>
        <v>0</v>
      </c>
      <c r="O47" s="13">
        <f>Test!E149</f>
        <v>0</v>
      </c>
      <c r="P47" s="13">
        <f>Test!F149</f>
        <v>0</v>
      </c>
      <c r="Q47" s="13">
        <f>Test!G149</f>
        <v>0</v>
      </c>
      <c r="R47" s="14">
        <f t="shared" si="1"/>
        <v>0</v>
      </c>
      <c r="S47" s="13" t="e">
        <f t="shared" ref="S47:T70" si="11">P47/H47</f>
        <v>#DIV/0!</v>
      </c>
      <c r="T47" s="13" t="e">
        <f t="shared" si="11"/>
        <v>#DIV/0!</v>
      </c>
      <c r="U47" s="93"/>
      <c r="V47" s="96" t="e">
        <f>bdrate($D47:$D50,E47:E50,$L47:$L50,M47:M50)</f>
        <v>#VALUE!</v>
      </c>
      <c r="W47" s="97" t="e">
        <f>bdrate($D47:$D50,F47:F50,$L47:$L50,N47:N50)</f>
        <v>#VALUE!</v>
      </c>
      <c r="X47" s="98" t="e">
        <f>bdrate($D47:$D50,G47:G50,$L47:$L50,O47:O50)</f>
        <v>#VALUE!</v>
      </c>
      <c r="Y47" s="42" t="e">
        <f>bdrateOld($D47:$D50,E47:E50,$L47:$L50,M47:M50)</f>
        <v>#VALUE!</v>
      </c>
      <c r="Z47" s="47" t="e">
        <f>bdrateOld($D47:$D50,F47:F50,$L47:$L50,N47:N50)</f>
        <v>#VALUE!</v>
      </c>
      <c r="AA47" s="48" t="e">
        <f>bdrateOld($D47:$D50,G47:G50,$L47:$L50,O47:O50)</f>
        <v>#VALUE!</v>
      </c>
      <c r="AB47" s="54"/>
      <c r="AC47" s="12">
        <f>BMS!B149</f>
        <v>0</v>
      </c>
      <c r="AD47" s="13">
        <f>BMS!C149</f>
        <v>0</v>
      </c>
      <c r="AE47" s="13">
        <f>BMS!D149</f>
        <v>0</v>
      </c>
      <c r="AF47" s="13">
        <f>BMS!E149</f>
        <v>0</v>
      </c>
      <c r="AG47" s="13">
        <f>BMS!F149</f>
        <v>0</v>
      </c>
      <c r="AH47" s="13">
        <f>BMS!G149</f>
        <v>0</v>
      </c>
      <c r="AI47" s="14">
        <f t="shared" si="3"/>
        <v>0</v>
      </c>
      <c r="AJ47" s="13" t="e">
        <f t="shared" si="4"/>
        <v>#DIV/0!</v>
      </c>
      <c r="AK47" s="13" t="e">
        <f t="shared" si="5"/>
        <v>#DIV/0!</v>
      </c>
      <c r="AL47" s="54"/>
      <c r="AM47" s="42" t="e">
        <f>bdrate($AC47:$AC50,AD47:AD50,$L47:$L50, M47:M50)</f>
        <v>#VALUE!</v>
      </c>
      <c r="AN47" s="47" t="e">
        <f>bdrate($AC47:$AC50,AE47:AE50,$L47:$L50, N47:N50)</f>
        <v>#VALUE!</v>
      </c>
      <c r="AO47" s="48" t="e">
        <f>bdrate($AC47:$AC50,AF47:AF50,$L47:$L50, O47:O50)</f>
        <v>#VALUE!</v>
      </c>
      <c r="AP47" s="42" t="e">
        <f>bdrateOld($AC47:$AC50,AD47:AD50,$L47:$L50, M47:M50)</f>
        <v>#VALUE!</v>
      </c>
      <c r="AQ47" s="47" t="e">
        <f>bdrateOld($AC47:$AC50,AE47:AE50,$L47:$L50, N47:N50)</f>
        <v>#VALUE!</v>
      </c>
      <c r="AR47" s="48" t="e">
        <f>bdrateOld($AC47:$AC50,AF47:AF50,$L47:$L50, O47:O50)</f>
        <v>#VALUE!</v>
      </c>
    </row>
    <row r="48" spans="1:44" x14ac:dyDescent="0.2">
      <c r="A48" s="16" t="s">
        <v>50</v>
      </c>
      <c r="B48" s="16"/>
      <c r="C48" s="16">
        <v>27</v>
      </c>
      <c r="D48" s="17">
        <f>TM!B150</f>
        <v>0</v>
      </c>
      <c r="E48" s="18">
        <f>TM!C150</f>
        <v>0</v>
      </c>
      <c r="F48" s="18">
        <f>TM!D150</f>
        <v>0</v>
      </c>
      <c r="G48" s="18">
        <f>TM!E150</f>
        <v>0</v>
      </c>
      <c r="H48" s="18">
        <f>TM!F150</f>
        <v>0</v>
      </c>
      <c r="I48" s="18">
        <f>TM!G150</f>
        <v>0</v>
      </c>
      <c r="J48" s="19">
        <f t="shared" si="0"/>
        <v>0</v>
      </c>
      <c r="K48" s="27"/>
      <c r="L48" s="17">
        <f>Test!B150</f>
        <v>0</v>
      </c>
      <c r="M48" s="18">
        <f>Test!C150</f>
        <v>0</v>
      </c>
      <c r="N48" s="18">
        <f>Test!D150</f>
        <v>0</v>
      </c>
      <c r="O48" s="18">
        <f>Test!E150</f>
        <v>0</v>
      </c>
      <c r="P48" s="18">
        <f>Test!F150</f>
        <v>0</v>
      </c>
      <c r="Q48" s="18">
        <f>Test!G150</f>
        <v>0</v>
      </c>
      <c r="R48" s="19">
        <f t="shared" si="1"/>
        <v>0</v>
      </c>
      <c r="S48" s="18" t="e">
        <f t="shared" si="11"/>
        <v>#DIV/0!</v>
      </c>
      <c r="T48" s="18" t="e">
        <f t="shared" si="11"/>
        <v>#DIV/0!</v>
      </c>
      <c r="U48" s="94"/>
      <c r="V48" s="99"/>
      <c r="W48" s="100"/>
      <c r="X48" s="101"/>
      <c r="Y48" s="43"/>
      <c r="Z48" s="26"/>
      <c r="AA48" s="55"/>
      <c r="AB48" s="20"/>
      <c r="AC48" s="17">
        <f>BMS!B150</f>
        <v>0</v>
      </c>
      <c r="AD48" s="18">
        <f>BMS!C150</f>
        <v>0</v>
      </c>
      <c r="AE48" s="18">
        <f>BMS!D150</f>
        <v>0</v>
      </c>
      <c r="AF48" s="18">
        <f>BMS!E150</f>
        <v>0</v>
      </c>
      <c r="AG48" s="18">
        <f>BMS!F150</f>
        <v>0</v>
      </c>
      <c r="AH48" s="18">
        <f>BMS!G150</f>
        <v>0</v>
      </c>
      <c r="AI48" s="19">
        <f t="shared" si="3"/>
        <v>0</v>
      </c>
      <c r="AJ48" s="18" t="e">
        <f t="shared" si="4"/>
        <v>#DIV/0!</v>
      </c>
      <c r="AK48" s="18" t="e">
        <f t="shared" si="5"/>
        <v>#DIV/0!</v>
      </c>
      <c r="AL48" s="20"/>
      <c r="AM48" s="43"/>
      <c r="AN48" s="26"/>
      <c r="AO48" s="55"/>
      <c r="AP48" s="43"/>
      <c r="AQ48" s="26"/>
      <c r="AR48" s="55"/>
    </row>
    <row r="49" spans="1:44" x14ac:dyDescent="0.2">
      <c r="A49" s="16"/>
      <c r="B49" s="16"/>
      <c r="C49" s="16">
        <v>32</v>
      </c>
      <c r="D49" s="17">
        <f>TM!B151</f>
        <v>0</v>
      </c>
      <c r="E49" s="18">
        <f>TM!C151</f>
        <v>0</v>
      </c>
      <c r="F49" s="18">
        <f>TM!D151</f>
        <v>0</v>
      </c>
      <c r="G49" s="18">
        <f>TM!E151</f>
        <v>0</v>
      </c>
      <c r="H49" s="18">
        <f>TM!F151</f>
        <v>0</v>
      </c>
      <c r="I49" s="18">
        <f>TM!G151</f>
        <v>0</v>
      </c>
      <c r="J49" s="19">
        <f t="shared" si="0"/>
        <v>0</v>
      </c>
      <c r="K49" s="27"/>
      <c r="L49" s="17">
        <f>Test!B151</f>
        <v>0</v>
      </c>
      <c r="M49" s="18">
        <f>Test!C151</f>
        <v>0</v>
      </c>
      <c r="N49" s="18">
        <f>Test!D151</f>
        <v>0</v>
      </c>
      <c r="O49" s="18">
        <f>Test!E151</f>
        <v>0</v>
      </c>
      <c r="P49" s="18">
        <f>Test!F151</f>
        <v>0</v>
      </c>
      <c r="Q49" s="18">
        <f>Test!G151</f>
        <v>0</v>
      </c>
      <c r="R49" s="19">
        <f t="shared" si="1"/>
        <v>0</v>
      </c>
      <c r="S49" s="18" t="e">
        <f t="shared" si="11"/>
        <v>#DIV/0!</v>
      </c>
      <c r="T49" s="18" t="e">
        <f t="shared" si="11"/>
        <v>#DIV/0!</v>
      </c>
      <c r="U49" s="94"/>
      <c r="V49" s="99"/>
      <c r="W49" s="100"/>
      <c r="X49" s="101"/>
      <c r="Y49" s="43"/>
      <c r="Z49" s="26"/>
      <c r="AA49" s="55"/>
      <c r="AB49" s="20"/>
      <c r="AC49" s="17">
        <f>BMS!B151</f>
        <v>0</v>
      </c>
      <c r="AD49" s="18">
        <f>BMS!C151</f>
        <v>0</v>
      </c>
      <c r="AE49" s="18">
        <f>BMS!D151</f>
        <v>0</v>
      </c>
      <c r="AF49" s="18">
        <f>BMS!E151</f>
        <v>0</v>
      </c>
      <c r="AG49" s="18">
        <f>BMS!F151</f>
        <v>0</v>
      </c>
      <c r="AH49" s="18">
        <f>BMS!G151</f>
        <v>0</v>
      </c>
      <c r="AI49" s="19">
        <f t="shared" si="3"/>
        <v>0</v>
      </c>
      <c r="AJ49" s="18" t="e">
        <f t="shared" si="4"/>
        <v>#DIV/0!</v>
      </c>
      <c r="AK49" s="18" t="e">
        <f t="shared" si="5"/>
        <v>#DIV/0!</v>
      </c>
      <c r="AL49" s="20"/>
      <c r="AM49" s="43"/>
      <c r="AN49" s="26"/>
      <c r="AO49" s="55"/>
      <c r="AP49" s="43"/>
      <c r="AQ49" s="26"/>
      <c r="AR49" s="55"/>
    </row>
    <row r="50" spans="1:44" ht="12.75" thickBot="1" x14ac:dyDescent="0.25">
      <c r="A50" s="16"/>
      <c r="B50" s="21"/>
      <c r="C50" s="21">
        <v>37</v>
      </c>
      <c r="D50" s="22">
        <f>TM!B152</f>
        <v>0</v>
      </c>
      <c r="E50" s="23">
        <f>TM!C152</f>
        <v>0</v>
      </c>
      <c r="F50" s="23">
        <f>TM!D152</f>
        <v>0</v>
      </c>
      <c r="G50" s="23">
        <f>TM!E152</f>
        <v>0</v>
      </c>
      <c r="H50" s="23">
        <f>TM!F152</f>
        <v>0</v>
      </c>
      <c r="I50" s="23">
        <f>TM!G152</f>
        <v>0</v>
      </c>
      <c r="J50" s="24">
        <f t="shared" si="0"/>
        <v>0</v>
      </c>
      <c r="K50" s="27"/>
      <c r="L50" s="22">
        <f>Test!B152</f>
        <v>0</v>
      </c>
      <c r="M50" s="23">
        <f>Test!C152</f>
        <v>0</v>
      </c>
      <c r="N50" s="23">
        <f>Test!D152</f>
        <v>0</v>
      </c>
      <c r="O50" s="23">
        <f>Test!E152</f>
        <v>0</v>
      </c>
      <c r="P50" s="23">
        <f>Test!F152</f>
        <v>0</v>
      </c>
      <c r="Q50" s="23">
        <f>Test!G152</f>
        <v>0</v>
      </c>
      <c r="R50" s="24">
        <f t="shared" si="1"/>
        <v>0</v>
      </c>
      <c r="S50" s="18" t="e">
        <f t="shared" si="11"/>
        <v>#DIV/0!</v>
      </c>
      <c r="T50" s="18" t="e">
        <f t="shared" si="11"/>
        <v>#DIV/0!</v>
      </c>
      <c r="U50" s="94"/>
      <c r="V50" s="102"/>
      <c r="W50" s="103"/>
      <c r="X50" s="104"/>
      <c r="Y50" s="44"/>
      <c r="Z50" s="56"/>
      <c r="AA50" s="57"/>
      <c r="AB50" s="20"/>
      <c r="AC50" s="22">
        <f>BMS!B152</f>
        <v>0</v>
      </c>
      <c r="AD50" s="23">
        <f>BMS!C152</f>
        <v>0</v>
      </c>
      <c r="AE50" s="23">
        <f>BMS!D152</f>
        <v>0</v>
      </c>
      <c r="AF50" s="23">
        <f>BMS!E152</f>
        <v>0</v>
      </c>
      <c r="AG50" s="23">
        <f>BMS!F152</f>
        <v>0</v>
      </c>
      <c r="AH50" s="23">
        <f>BMS!G152</f>
        <v>0</v>
      </c>
      <c r="AI50" s="24">
        <f t="shared" si="3"/>
        <v>0</v>
      </c>
      <c r="AJ50" s="18" t="e">
        <f t="shared" si="4"/>
        <v>#DIV/0!</v>
      </c>
      <c r="AK50" s="18" t="e">
        <f t="shared" si="5"/>
        <v>#DIV/0!</v>
      </c>
      <c r="AL50" s="20"/>
      <c r="AM50" s="44"/>
      <c r="AN50" s="56"/>
      <c r="AO50" s="57"/>
      <c r="AP50" s="44"/>
      <c r="AQ50" s="56"/>
      <c r="AR50" s="57"/>
    </row>
    <row r="51" spans="1:44" x14ac:dyDescent="0.2">
      <c r="A51" s="16"/>
      <c r="B51" s="11" t="s">
        <v>39</v>
      </c>
      <c r="C51" s="11">
        <v>22</v>
      </c>
      <c r="D51" s="12">
        <f>TM!B153</f>
        <v>0</v>
      </c>
      <c r="E51" s="13">
        <f>TM!C153</f>
        <v>0</v>
      </c>
      <c r="F51" s="13">
        <f>TM!D153</f>
        <v>0</v>
      </c>
      <c r="G51" s="13">
        <f>TM!E153</f>
        <v>0</v>
      </c>
      <c r="H51" s="13">
        <f>TM!F153</f>
        <v>0</v>
      </c>
      <c r="I51" s="13">
        <f>TM!G153</f>
        <v>0</v>
      </c>
      <c r="J51" s="14">
        <f t="shared" si="0"/>
        <v>0</v>
      </c>
      <c r="K51" s="27"/>
      <c r="L51" s="12">
        <f>Test!B153</f>
        <v>0</v>
      </c>
      <c r="M51" s="13">
        <f>Test!C153</f>
        <v>0</v>
      </c>
      <c r="N51" s="13">
        <f>Test!D153</f>
        <v>0</v>
      </c>
      <c r="O51" s="13">
        <f>Test!E153</f>
        <v>0</v>
      </c>
      <c r="P51" s="13">
        <f>Test!F153</f>
        <v>0</v>
      </c>
      <c r="Q51" s="13">
        <f>Test!G153</f>
        <v>0</v>
      </c>
      <c r="R51" s="14">
        <f t="shared" si="1"/>
        <v>0</v>
      </c>
      <c r="S51" s="18" t="e">
        <f t="shared" si="11"/>
        <v>#DIV/0!</v>
      </c>
      <c r="T51" s="18" t="e">
        <f t="shared" si="11"/>
        <v>#DIV/0!</v>
      </c>
      <c r="U51" s="94"/>
      <c r="V51" s="96" t="e">
        <f>bdrate($D51:$D54,E51:E54,$L51:$L54,M51:M54)</f>
        <v>#VALUE!</v>
      </c>
      <c r="W51" s="97" t="e">
        <f>bdrate($D51:$D54,F51:F54,$L51:$L54,N51:N54)</f>
        <v>#VALUE!</v>
      </c>
      <c r="X51" s="97" t="e">
        <f>bdrate($D51:$D54,G51:G54,$L51:$L54,O51:O54)</f>
        <v>#VALUE!</v>
      </c>
      <c r="Y51" s="45" t="e">
        <f>bdrateOld($D51:$D54,E51:E54,$L51:$L54,M51:M54)</f>
        <v>#VALUE!</v>
      </c>
      <c r="Z51" s="49" t="e">
        <f>bdrateOld($D51:$D54,F51:F54,$L51:$L54,N51:N54)</f>
        <v>#VALUE!</v>
      </c>
      <c r="AA51" s="50" t="e">
        <f>bdrateOld($D51:$D54,G51:G54,$L51:$L54,O51:O54)</f>
        <v>#VALUE!</v>
      </c>
      <c r="AB51" s="20"/>
      <c r="AC51" s="12">
        <f>BMS!B153</f>
        <v>0</v>
      </c>
      <c r="AD51" s="13">
        <f>BMS!C153</f>
        <v>0</v>
      </c>
      <c r="AE51" s="13">
        <f>BMS!D153</f>
        <v>0</v>
      </c>
      <c r="AF51" s="13">
        <f>BMS!E153</f>
        <v>0</v>
      </c>
      <c r="AG51" s="13">
        <f>BMS!F153</f>
        <v>0</v>
      </c>
      <c r="AH51" s="13">
        <f>BMS!G153</f>
        <v>0</v>
      </c>
      <c r="AI51" s="14">
        <f t="shared" si="3"/>
        <v>0</v>
      </c>
      <c r="AJ51" s="18" t="e">
        <f t="shared" si="4"/>
        <v>#DIV/0!</v>
      </c>
      <c r="AK51" s="18" t="e">
        <f t="shared" si="5"/>
        <v>#DIV/0!</v>
      </c>
      <c r="AL51" s="20"/>
      <c r="AM51" s="42" t="e">
        <f>bdrate($AC51:$AC54,AD51:AD54,$L51:$L54, M51:M54)</f>
        <v>#VALUE!</v>
      </c>
      <c r="AN51" s="47" t="e">
        <f>bdrate($AC51:$AC54,AE51:AE54,$L51:$L54, N51:N54)</f>
        <v>#VALUE!</v>
      </c>
      <c r="AO51" s="48" t="e">
        <f>bdrate($AC51:$AC54,AF51:AF54,$L51:$L54, O51:O54)</f>
        <v>#VALUE!</v>
      </c>
      <c r="AP51" s="42" t="e">
        <f>bdrateOld($AC51:$AC54,AD51:AD54,$L51:$L54, M51:M54)</f>
        <v>#VALUE!</v>
      </c>
      <c r="AQ51" s="47" t="e">
        <f>bdrateOld($AC51:$AC54,AE51:AE54,$L51:$L54, N51:N54)</f>
        <v>#VALUE!</v>
      </c>
      <c r="AR51" s="48" t="e">
        <f>bdrateOld($AC51:$AC54,AF51:AF54,$L51:$L54, O51:O54)</f>
        <v>#VALUE!</v>
      </c>
    </row>
    <row r="52" spans="1:44" x14ac:dyDescent="0.2">
      <c r="A52" s="16"/>
      <c r="B52" s="16"/>
      <c r="C52" s="16">
        <v>27</v>
      </c>
      <c r="D52" s="17">
        <f>TM!B154</f>
        <v>0</v>
      </c>
      <c r="E52" s="18">
        <f>TM!C154</f>
        <v>0</v>
      </c>
      <c r="F52" s="18">
        <f>TM!D154</f>
        <v>0</v>
      </c>
      <c r="G52" s="18">
        <f>TM!E154</f>
        <v>0</v>
      </c>
      <c r="H52" s="18">
        <f>TM!F154</f>
        <v>0</v>
      </c>
      <c r="I52" s="18">
        <f>TM!G154</f>
        <v>0</v>
      </c>
      <c r="J52" s="19">
        <f t="shared" si="0"/>
        <v>0</v>
      </c>
      <c r="K52" s="27"/>
      <c r="L52" s="17">
        <f>Test!B154</f>
        <v>0</v>
      </c>
      <c r="M52" s="18">
        <f>Test!C154</f>
        <v>0</v>
      </c>
      <c r="N52" s="18">
        <f>Test!D154</f>
        <v>0</v>
      </c>
      <c r="O52" s="18">
        <f>Test!E154</f>
        <v>0</v>
      </c>
      <c r="P52" s="18">
        <f>Test!F154</f>
        <v>0</v>
      </c>
      <c r="Q52" s="18">
        <f>Test!G154</f>
        <v>0</v>
      </c>
      <c r="R52" s="19">
        <f t="shared" si="1"/>
        <v>0</v>
      </c>
      <c r="S52" s="18" t="e">
        <f t="shared" si="11"/>
        <v>#DIV/0!</v>
      </c>
      <c r="T52" s="18" t="e">
        <f t="shared" si="11"/>
        <v>#DIV/0!</v>
      </c>
      <c r="U52" s="94"/>
      <c r="V52" s="99"/>
      <c r="W52" s="100"/>
      <c r="X52" s="100"/>
      <c r="Y52" s="43"/>
      <c r="Z52" s="26"/>
      <c r="AA52" s="55"/>
      <c r="AB52" s="20"/>
      <c r="AC52" s="17">
        <f>BMS!B154</f>
        <v>0</v>
      </c>
      <c r="AD52" s="18">
        <f>BMS!C154</f>
        <v>0</v>
      </c>
      <c r="AE52" s="18">
        <f>BMS!D154</f>
        <v>0</v>
      </c>
      <c r="AF52" s="18">
        <f>BMS!E154</f>
        <v>0</v>
      </c>
      <c r="AG52" s="18">
        <f>BMS!F154</f>
        <v>0</v>
      </c>
      <c r="AH52" s="18">
        <f>BMS!G154</f>
        <v>0</v>
      </c>
      <c r="AI52" s="19">
        <f t="shared" si="3"/>
        <v>0</v>
      </c>
      <c r="AJ52" s="18" t="e">
        <f t="shared" si="4"/>
        <v>#DIV/0!</v>
      </c>
      <c r="AK52" s="18" t="e">
        <f t="shared" si="5"/>
        <v>#DIV/0!</v>
      </c>
      <c r="AL52" s="20"/>
      <c r="AM52" s="43"/>
      <c r="AN52" s="26"/>
      <c r="AO52" s="55"/>
      <c r="AP52" s="43"/>
      <c r="AQ52" s="26"/>
      <c r="AR52" s="55"/>
    </row>
    <row r="53" spans="1:44" x14ac:dyDescent="0.2">
      <c r="A53" s="16"/>
      <c r="B53" s="16"/>
      <c r="C53" s="16">
        <v>32</v>
      </c>
      <c r="D53" s="17">
        <f>TM!B155</f>
        <v>0</v>
      </c>
      <c r="E53" s="18">
        <f>TM!C155</f>
        <v>0</v>
      </c>
      <c r="F53" s="18">
        <f>TM!D155</f>
        <v>0</v>
      </c>
      <c r="G53" s="18">
        <f>TM!E155</f>
        <v>0</v>
      </c>
      <c r="H53" s="18">
        <f>TM!F155</f>
        <v>0</v>
      </c>
      <c r="I53" s="18">
        <f>TM!G155</f>
        <v>0</v>
      </c>
      <c r="J53" s="19">
        <f t="shared" si="0"/>
        <v>0</v>
      </c>
      <c r="K53" s="27"/>
      <c r="L53" s="17">
        <f>Test!B155</f>
        <v>0</v>
      </c>
      <c r="M53" s="18">
        <f>Test!C155</f>
        <v>0</v>
      </c>
      <c r="N53" s="18">
        <f>Test!D155</f>
        <v>0</v>
      </c>
      <c r="O53" s="18">
        <f>Test!E155</f>
        <v>0</v>
      </c>
      <c r="P53" s="18">
        <f>Test!F155</f>
        <v>0</v>
      </c>
      <c r="Q53" s="18">
        <f>Test!G155</f>
        <v>0</v>
      </c>
      <c r="R53" s="19">
        <f t="shared" si="1"/>
        <v>0</v>
      </c>
      <c r="S53" s="18" t="e">
        <f t="shared" si="11"/>
        <v>#DIV/0!</v>
      </c>
      <c r="T53" s="18" t="e">
        <f t="shared" si="11"/>
        <v>#DIV/0!</v>
      </c>
      <c r="U53" s="94"/>
      <c r="V53" s="99"/>
      <c r="W53" s="100"/>
      <c r="X53" s="100"/>
      <c r="Y53" s="43"/>
      <c r="Z53" s="26"/>
      <c r="AA53" s="55"/>
      <c r="AB53" s="20"/>
      <c r="AC53" s="17">
        <f>BMS!B155</f>
        <v>0</v>
      </c>
      <c r="AD53" s="18">
        <f>BMS!C155</f>
        <v>0</v>
      </c>
      <c r="AE53" s="18">
        <f>BMS!D155</f>
        <v>0</v>
      </c>
      <c r="AF53" s="18">
        <f>BMS!E155</f>
        <v>0</v>
      </c>
      <c r="AG53" s="18">
        <f>BMS!F155</f>
        <v>0</v>
      </c>
      <c r="AH53" s="18">
        <f>BMS!G155</f>
        <v>0</v>
      </c>
      <c r="AI53" s="19">
        <f t="shared" si="3"/>
        <v>0</v>
      </c>
      <c r="AJ53" s="18" t="e">
        <f t="shared" si="4"/>
        <v>#DIV/0!</v>
      </c>
      <c r="AK53" s="18" t="e">
        <f t="shared" si="5"/>
        <v>#DIV/0!</v>
      </c>
      <c r="AL53" s="20"/>
      <c r="AM53" s="43"/>
      <c r="AN53" s="26"/>
      <c r="AO53" s="55"/>
      <c r="AP53" s="43"/>
      <c r="AQ53" s="26"/>
      <c r="AR53" s="55"/>
    </row>
    <row r="54" spans="1:44" ht="12.75" thickBot="1" x14ac:dyDescent="0.25">
      <c r="A54" s="16"/>
      <c r="B54" s="21"/>
      <c r="C54" s="21">
        <v>37</v>
      </c>
      <c r="D54" s="22">
        <f>TM!B156</f>
        <v>0</v>
      </c>
      <c r="E54" s="23">
        <f>TM!C156</f>
        <v>0</v>
      </c>
      <c r="F54" s="23">
        <f>TM!D156</f>
        <v>0</v>
      </c>
      <c r="G54" s="23">
        <f>TM!E156</f>
        <v>0</v>
      </c>
      <c r="H54" s="23">
        <f>TM!F156</f>
        <v>0</v>
      </c>
      <c r="I54" s="23">
        <f>TM!G156</f>
        <v>0</v>
      </c>
      <c r="J54" s="24">
        <f t="shared" si="0"/>
        <v>0</v>
      </c>
      <c r="K54" s="27"/>
      <c r="L54" s="22">
        <f>Test!B156</f>
        <v>0</v>
      </c>
      <c r="M54" s="23">
        <f>Test!C156</f>
        <v>0</v>
      </c>
      <c r="N54" s="23">
        <f>Test!D156</f>
        <v>0</v>
      </c>
      <c r="O54" s="23">
        <f>Test!E156</f>
        <v>0</v>
      </c>
      <c r="P54" s="23">
        <f>Test!F156</f>
        <v>0</v>
      </c>
      <c r="Q54" s="23">
        <f>Test!G156</f>
        <v>0</v>
      </c>
      <c r="R54" s="24">
        <f t="shared" si="1"/>
        <v>0</v>
      </c>
      <c r="S54" s="18" t="e">
        <f t="shared" si="11"/>
        <v>#DIV/0!</v>
      </c>
      <c r="T54" s="18" t="e">
        <f t="shared" si="11"/>
        <v>#DIV/0!</v>
      </c>
      <c r="U54" s="94"/>
      <c r="V54" s="102"/>
      <c r="W54" s="103"/>
      <c r="X54" s="103"/>
      <c r="Y54" s="44"/>
      <c r="Z54" s="56"/>
      <c r="AA54" s="57"/>
      <c r="AB54" s="20"/>
      <c r="AC54" s="22">
        <f>BMS!B156</f>
        <v>0</v>
      </c>
      <c r="AD54" s="23">
        <f>BMS!C156</f>
        <v>0</v>
      </c>
      <c r="AE54" s="23">
        <f>BMS!D156</f>
        <v>0</v>
      </c>
      <c r="AF54" s="23">
        <f>BMS!E156</f>
        <v>0</v>
      </c>
      <c r="AG54" s="23">
        <f>BMS!F156</f>
        <v>0</v>
      </c>
      <c r="AH54" s="23">
        <f>BMS!G156</f>
        <v>0</v>
      </c>
      <c r="AI54" s="24">
        <f t="shared" si="3"/>
        <v>0</v>
      </c>
      <c r="AJ54" s="18" t="e">
        <f t="shared" si="4"/>
        <v>#DIV/0!</v>
      </c>
      <c r="AK54" s="18" t="e">
        <f t="shared" si="5"/>
        <v>#DIV/0!</v>
      </c>
      <c r="AL54" s="20"/>
      <c r="AM54" s="44"/>
      <c r="AN54" s="56"/>
      <c r="AO54" s="57"/>
      <c r="AP54" s="44"/>
      <c r="AQ54" s="56"/>
      <c r="AR54" s="57"/>
    </row>
    <row r="55" spans="1:44" x14ac:dyDescent="0.2">
      <c r="A55" s="16"/>
      <c r="B55" s="11" t="s">
        <v>56</v>
      </c>
      <c r="C55" s="11">
        <v>22</v>
      </c>
      <c r="D55" s="12">
        <f>TM!B157</f>
        <v>0</v>
      </c>
      <c r="E55" s="13">
        <f>TM!C157</f>
        <v>0</v>
      </c>
      <c r="F55" s="13">
        <f>TM!D157</f>
        <v>0</v>
      </c>
      <c r="G55" s="13">
        <f>TM!E157</f>
        <v>0</v>
      </c>
      <c r="H55" s="13">
        <f>TM!F157</f>
        <v>0</v>
      </c>
      <c r="I55" s="13">
        <f>TM!G157</f>
        <v>0</v>
      </c>
      <c r="J55" s="14">
        <f t="shared" si="0"/>
        <v>0</v>
      </c>
      <c r="K55" s="27"/>
      <c r="L55" s="12">
        <f>Test!B157</f>
        <v>0</v>
      </c>
      <c r="M55" s="13">
        <f>Test!C157</f>
        <v>0</v>
      </c>
      <c r="N55" s="13">
        <f>Test!D157</f>
        <v>0</v>
      </c>
      <c r="O55" s="13">
        <f>Test!E157</f>
        <v>0</v>
      </c>
      <c r="P55" s="13">
        <f>Test!F157</f>
        <v>0</v>
      </c>
      <c r="Q55" s="13">
        <f>Test!G157</f>
        <v>0</v>
      </c>
      <c r="R55" s="14">
        <f t="shared" si="1"/>
        <v>0</v>
      </c>
      <c r="S55" s="18" t="e">
        <f t="shared" si="11"/>
        <v>#DIV/0!</v>
      </c>
      <c r="T55" s="18" t="e">
        <f t="shared" si="11"/>
        <v>#DIV/0!</v>
      </c>
      <c r="U55" s="94"/>
      <c r="V55" s="96" t="e">
        <f>bdrate($D55:$D58,E55:E58,$L55:$L58,M55:M58)</f>
        <v>#VALUE!</v>
      </c>
      <c r="W55" s="97" t="e">
        <f>bdrate($D55:$D58,F55:F58,$L55:$L58,N55:N58)</f>
        <v>#VALUE!</v>
      </c>
      <c r="X55" s="97" t="e">
        <f>bdrate($D55:$D58,G55:G58,$L55:$L58,O55:O58)</f>
        <v>#VALUE!</v>
      </c>
      <c r="Y55" s="45" t="e">
        <f>bdrateOld($D55:$D58,E55:E58,$L55:$L58,M55:M58)</f>
        <v>#VALUE!</v>
      </c>
      <c r="Z55" s="49" t="e">
        <f>bdrateOld($D55:$D58,F55:F58,$L55:$L58,N55:N58)</f>
        <v>#VALUE!</v>
      </c>
      <c r="AA55" s="50" t="e">
        <f>bdrateOld($D55:$D58,G55:G58,$L55:$L58,O55:O58)</f>
        <v>#VALUE!</v>
      </c>
      <c r="AB55" s="20"/>
      <c r="AC55" s="12">
        <f>BMS!B157</f>
        <v>0</v>
      </c>
      <c r="AD55" s="13">
        <f>BMS!C157</f>
        <v>0</v>
      </c>
      <c r="AE55" s="13">
        <f>BMS!D157</f>
        <v>0</v>
      </c>
      <c r="AF55" s="13">
        <f>BMS!E157</f>
        <v>0</v>
      </c>
      <c r="AG55" s="13">
        <f>BMS!F157</f>
        <v>0</v>
      </c>
      <c r="AH55" s="13">
        <f>BMS!G157</f>
        <v>0</v>
      </c>
      <c r="AI55" s="14">
        <f t="shared" si="3"/>
        <v>0</v>
      </c>
      <c r="AJ55" s="18" t="e">
        <f t="shared" si="4"/>
        <v>#DIV/0!</v>
      </c>
      <c r="AK55" s="18" t="e">
        <f t="shared" si="5"/>
        <v>#DIV/0!</v>
      </c>
      <c r="AL55" s="20"/>
      <c r="AM55" s="42" t="e">
        <f>bdrate($AC55:$AC58,AD55:AD58,$L55:$L58, M55:M58)</f>
        <v>#VALUE!</v>
      </c>
      <c r="AN55" s="47" t="e">
        <f>bdrate($AC55:$AC58,AE55:AE58,$L55:$L58, N55:N58)</f>
        <v>#VALUE!</v>
      </c>
      <c r="AO55" s="48" t="e">
        <f>bdrate($AC55:$AC58,AF55:AF58,$L55:$L58, O55:O58)</f>
        <v>#VALUE!</v>
      </c>
      <c r="AP55" s="42" t="e">
        <f>bdrateOld($AC55:$AC58,AD55:AD58,$L55:$L58, M55:M58)</f>
        <v>#VALUE!</v>
      </c>
      <c r="AQ55" s="47" t="e">
        <f>bdrateOld($AC55:$AC58,AE55:AE58,$L55:$L58, N55:N58)</f>
        <v>#VALUE!</v>
      </c>
      <c r="AR55" s="48" t="e">
        <f>bdrateOld($AC55:$AC58,AF55:AF58,$L55:$L58, O55:O58)</f>
        <v>#VALUE!</v>
      </c>
    </row>
    <row r="56" spans="1:44" x14ac:dyDescent="0.2">
      <c r="A56" s="16"/>
      <c r="B56" s="16"/>
      <c r="C56" s="16">
        <v>27</v>
      </c>
      <c r="D56" s="17">
        <f>TM!B158</f>
        <v>0</v>
      </c>
      <c r="E56" s="18">
        <f>TM!C158</f>
        <v>0</v>
      </c>
      <c r="F56" s="18">
        <f>TM!D158</f>
        <v>0</v>
      </c>
      <c r="G56" s="18">
        <f>TM!E158</f>
        <v>0</v>
      </c>
      <c r="H56" s="18">
        <f>TM!F158</f>
        <v>0</v>
      </c>
      <c r="I56" s="18">
        <f>TM!G158</f>
        <v>0</v>
      </c>
      <c r="J56" s="19">
        <f t="shared" si="0"/>
        <v>0</v>
      </c>
      <c r="K56" s="27"/>
      <c r="L56" s="17">
        <f>Test!B158</f>
        <v>0</v>
      </c>
      <c r="M56" s="18">
        <f>Test!C158</f>
        <v>0</v>
      </c>
      <c r="N56" s="18">
        <f>Test!D158</f>
        <v>0</v>
      </c>
      <c r="O56" s="18">
        <f>Test!E158</f>
        <v>0</v>
      </c>
      <c r="P56" s="18">
        <f>Test!F158</f>
        <v>0</v>
      </c>
      <c r="Q56" s="18">
        <f>Test!G158</f>
        <v>0</v>
      </c>
      <c r="R56" s="19">
        <f t="shared" si="1"/>
        <v>0</v>
      </c>
      <c r="S56" s="18" t="e">
        <f t="shared" si="11"/>
        <v>#DIV/0!</v>
      </c>
      <c r="T56" s="18" t="e">
        <f t="shared" si="11"/>
        <v>#DIV/0!</v>
      </c>
      <c r="U56" s="94"/>
      <c r="V56" s="99"/>
      <c r="W56" s="100"/>
      <c r="X56" s="100"/>
      <c r="Y56" s="43"/>
      <c r="Z56" s="26"/>
      <c r="AA56" s="55"/>
      <c r="AB56" s="20"/>
      <c r="AC56" s="17">
        <f>BMS!B158</f>
        <v>0</v>
      </c>
      <c r="AD56" s="18">
        <f>BMS!C158</f>
        <v>0</v>
      </c>
      <c r="AE56" s="18">
        <f>BMS!D158</f>
        <v>0</v>
      </c>
      <c r="AF56" s="18">
        <f>BMS!E158</f>
        <v>0</v>
      </c>
      <c r="AG56" s="18">
        <f>BMS!F158</f>
        <v>0</v>
      </c>
      <c r="AH56" s="18">
        <f>BMS!G158</f>
        <v>0</v>
      </c>
      <c r="AI56" s="19">
        <f t="shared" si="3"/>
        <v>0</v>
      </c>
      <c r="AJ56" s="18" t="e">
        <f t="shared" si="4"/>
        <v>#DIV/0!</v>
      </c>
      <c r="AK56" s="18" t="e">
        <f t="shared" si="5"/>
        <v>#DIV/0!</v>
      </c>
      <c r="AL56" s="20"/>
      <c r="AM56" s="43"/>
      <c r="AN56" s="26"/>
      <c r="AO56" s="55"/>
      <c r="AP56" s="43"/>
      <c r="AQ56" s="26"/>
      <c r="AR56" s="55"/>
    </row>
    <row r="57" spans="1:44" x14ac:dyDescent="0.2">
      <c r="A57" s="16"/>
      <c r="B57" s="16"/>
      <c r="C57" s="16">
        <v>32</v>
      </c>
      <c r="D57" s="17">
        <f>TM!B159</f>
        <v>0</v>
      </c>
      <c r="E57" s="18">
        <f>TM!C159</f>
        <v>0</v>
      </c>
      <c r="F57" s="18">
        <f>TM!D159</f>
        <v>0</v>
      </c>
      <c r="G57" s="18">
        <f>TM!E159</f>
        <v>0</v>
      </c>
      <c r="H57" s="18">
        <f>TM!F159</f>
        <v>0</v>
      </c>
      <c r="I57" s="18">
        <f>TM!G159</f>
        <v>0</v>
      </c>
      <c r="J57" s="19">
        <f t="shared" si="0"/>
        <v>0</v>
      </c>
      <c r="K57" s="27"/>
      <c r="L57" s="17">
        <f>Test!B159</f>
        <v>0</v>
      </c>
      <c r="M57" s="18">
        <f>Test!C159</f>
        <v>0</v>
      </c>
      <c r="N57" s="18">
        <f>Test!D159</f>
        <v>0</v>
      </c>
      <c r="O57" s="18">
        <f>Test!E159</f>
        <v>0</v>
      </c>
      <c r="P57" s="18">
        <f>Test!F159</f>
        <v>0</v>
      </c>
      <c r="Q57" s="18">
        <f>Test!G159</f>
        <v>0</v>
      </c>
      <c r="R57" s="19">
        <f t="shared" si="1"/>
        <v>0</v>
      </c>
      <c r="S57" s="18" t="e">
        <f t="shared" si="11"/>
        <v>#DIV/0!</v>
      </c>
      <c r="T57" s="18" t="e">
        <f t="shared" si="11"/>
        <v>#DIV/0!</v>
      </c>
      <c r="U57" s="94"/>
      <c r="V57" s="99"/>
      <c r="W57" s="100"/>
      <c r="X57" s="100"/>
      <c r="Y57" s="43"/>
      <c r="Z57" s="26"/>
      <c r="AA57" s="55"/>
      <c r="AB57" s="20"/>
      <c r="AC57" s="17">
        <f>BMS!B159</f>
        <v>0</v>
      </c>
      <c r="AD57" s="18">
        <f>BMS!C159</f>
        <v>0</v>
      </c>
      <c r="AE57" s="18">
        <f>BMS!D159</f>
        <v>0</v>
      </c>
      <c r="AF57" s="18">
        <f>BMS!E159</f>
        <v>0</v>
      </c>
      <c r="AG57" s="18">
        <f>BMS!F159</f>
        <v>0</v>
      </c>
      <c r="AH57" s="18">
        <f>BMS!G159</f>
        <v>0</v>
      </c>
      <c r="AI57" s="19">
        <f t="shared" si="3"/>
        <v>0</v>
      </c>
      <c r="AJ57" s="18" t="e">
        <f t="shared" si="4"/>
        <v>#DIV/0!</v>
      </c>
      <c r="AK57" s="18" t="e">
        <f t="shared" si="5"/>
        <v>#DIV/0!</v>
      </c>
      <c r="AL57" s="20"/>
      <c r="AM57" s="43"/>
      <c r="AN57" s="26"/>
      <c r="AO57" s="55"/>
      <c r="AP57" s="43"/>
      <c r="AQ57" s="26"/>
      <c r="AR57" s="55"/>
    </row>
    <row r="58" spans="1:44" ht="12.75" thickBot="1" x14ac:dyDescent="0.25">
      <c r="A58" s="16"/>
      <c r="B58" s="21"/>
      <c r="C58" s="21">
        <v>37</v>
      </c>
      <c r="D58" s="22">
        <f>TM!B160</f>
        <v>0</v>
      </c>
      <c r="E58" s="23">
        <f>TM!C160</f>
        <v>0</v>
      </c>
      <c r="F58" s="23">
        <f>TM!D160</f>
        <v>0</v>
      </c>
      <c r="G58" s="23">
        <f>TM!E160</f>
        <v>0</v>
      </c>
      <c r="H58" s="23">
        <f>TM!F160</f>
        <v>0</v>
      </c>
      <c r="I58" s="23">
        <f>TM!G160</f>
        <v>0</v>
      </c>
      <c r="J58" s="24">
        <f t="shared" si="0"/>
        <v>0</v>
      </c>
      <c r="K58" s="27"/>
      <c r="L58" s="22">
        <f>Test!B160</f>
        <v>0</v>
      </c>
      <c r="M58" s="23">
        <f>Test!C160</f>
        <v>0</v>
      </c>
      <c r="N58" s="23">
        <f>Test!D160</f>
        <v>0</v>
      </c>
      <c r="O58" s="23">
        <f>Test!E160</f>
        <v>0</v>
      </c>
      <c r="P58" s="23">
        <f>Test!F160</f>
        <v>0</v>
      </c>
      <c r="Q58" s="23">
        <f>Test!G160</f>
        <v>0</v>
      </c>
      <c r="R58" s="24">
        <f t="shared" si="1"/>
        <v>0</v>
      </c>
      <c r="S58" s="18" t="e">
        <f t="shared" si="11"/>
        <v>#DIV/0!</v>
      </c>
      <c r="T58" s="18" t="e">
        <f t="shared" si="11"/>
        <v>#DIV/0!</v>
      </c>
      <c r="U58" s="94"/>
      <c r="V58" s="102"/>
      <c r="W58" s="103"/>
      <c r="X58" s="103"/>
      <c r="Y58" s="44"/>
      <c r="Z58" s="56"/>
      <c r="AA58" s="57"/>
      <c r="AB58" s="20"/>
      <c r="AC58" s="22">
        <f>BMS!B160</f>
        <v>0</v>
      </c>
      <c r="AD58" s="23">
        <f>BMS!C160</f>
        <v>0</v>
      </c>
      <c r="AE58" s="23">
        <f>BMS!D160</f>
        <v>0</v>
      </c>
      <c r="AF58" s="23">
        <f>BMS!E160</f>
        <v>0</v>
      </c>
      <c r="AG58" s="23">
        <f>BMS!F160</f>
        <v>0</v>
      </c>
      <c r="AH58" s="23">
        <f>BMS!G160</f>
        <v>0</v>
      </c>
      <c r="AI58" s="24">
        <f t="shared" si="3"/>
        <v>0</v>
      </c>
      <c r="AJ58" s="18" t="e">
        <f t="shared" si="4"/>
        <v>#DIV/0!</v>
      </c>
      <c r="AK58" s="18" t="e">
        <f t="shared" si="5"/>
        <v>#DIV/0!</v>
      </c>
      <c r="AL58" s="20"/>
      <c r="AM58" s="44"/>
      <c r="AN58" s="56"/>
      <c r="AO58" s="57"/>
      <c r="AP58" s="44"/>
      <c r="AQ58" s="56"/>
      <c r="AR58" s="57"/>
    </row>
    <row r="59" spans="1:44" x14ac:dyDescent="0.2">
      <c r="A59" s="16"/>
      <c r="B59" s="11" t="s">
        <v>57</v>
      </c>
      <c r="C59" s="11">
        <v>22</v>
      </c>
      <c r="D59" s="12">
        <f>TM!B161</f>
        <v>0</v>
      </c>
      <c r="E59" s="13">
        <f>TM!C161</f>
        <v>0</v>
      </c>
      <c r="F59" s="13">
        <f>TM!D161</f>
        <v>0</v>
      </c>
      <c r="G59" s="13">
        <f>TM!E161</f>
        <v>0</v>
      </c>
      <c r="H59" s="13">
        <f>TM!F161</f>
        <v>0</v>
      </c>
      <c r="I59" s="13">
        <f>TM!G161</f>
        <v>0</v>
      </c>
      <c r="J59" s="14">
        <f t="shared" si="0"/>
        <v>0</v>
      </c>
      <c r="K59" s="27"/>
      <c r="L59" s="12">
        <f>Test!B161</f>
        <v>0</v>
      </c>
      <c r="M59" s="13">
        <f>Test!C161</f>
        <v>0</v>
      </c>
      <c r="N59" s="13">
        <f>Test!D161</f>
        <v>0</v>
      </c>
      <c r="O59" s="13">
        <f>Test!E161</f>
        <v>0</v>
      </c>
      <c r="P59" s="13">
        <f>Test!F161</f>
        <v>0</v>
      </c>
      <c r="Q59" s="13">
        <f>Test!G161</f>
        <v>0</v>
      </c>
      <c r="R59" s="14">
        <f t="shared" si="1"/>
        <v>0</v>
      </c>
      <c r="S59" s="18" t="e">
        <f t="shared" si="11"/>
        <v>#DIV/0!</v>
      </c>
      <c r="T59" s="18" t="e">
        <f t="shared" si="11"/>
        <v>#DIV/0!</v>
      </c>
      <c r="U59" s="94"/>
      <c r="V59" s="96" t="e">
        <f>bdrate($D59:$D62,E59:E62,$L59:$L62,M59:M62)</f>
        <v>#VALUE!</v>
      </c>
      <c r="W59" s="97" t="e">
        <f>bdrate($D59:$D62,F59:F62,$L59:$L62,N59:N62)</f>
        <v>#VALUE!</v>
      </c>
      <c r="X59" s="97" t="e">
        <f>bdrate($D59:$D62,G59:G62,$L59:$L62,O59:O62)</f>
        <v>#VALUE!</v>
      </c>
      <c r="Y59" s="45" t="e">
        <f>bdrateOld($D59:$D62,E59:E62,$L59:$L62,M59:M62)</f>
        <v>#VALUE!</v>
      </c>
      <c r="Z59" s="49" t="e">
        <f>bdrateOld($D59:$D62,F59:F62,$L59:$L62,N59:N62)</f>
        <v>#VALUE!</v>
      </c>
      <c r="AA59" s="50" t="e">
        <f>bdrateOld($D59:$D62,G59:G62,$L59:$L62,O59:O62)</f>
        <v>#VALUE!</v>
      </c>
      <c r="AB59" s="20"/>
      <c r="AC59" s="12">
        <f>BMS!B161</f>
        <v>0</v>
      </c>
      <c r="AD59" s="13">
        <f>BMS!C161</f>
        <v>0</v>
      </c>
      <c r="AE59" s="13">
        <f>BMS!D161</f>
        <v>0</v>
      </c>
      <c r="AF59" s="13">
        <f>BMS!E161</f>
        <v>0</v>
      </c>
      <c r="AG59" s="13">
        <f>BMS!F161</f>
        <v>0</v>
      </c>
      <c r="AH59" s="13">
        <f>BMS!G161</f>
        <v>0</v>
      </c>
      <c r="AI59" s="14">
        <f t="shared" si="3"/>
        <v>0</v>
      </c>
      <c r="AJ59" s="18" t="e">
        <f t="shared" si="4"/>
        <v>#DIV/0!</v>
      </c>
      <c r="AK59" s="18" t="e">
        <f t="shared" si="5"/>
        <v>#DIV/0!</v>
      </c>
      <c r="AL59" s="20"/>
      <c r="AM59" s="42" t="e">
        <f>bdrate($AC59:$AC62,AD59:AD62,$L59:$L62, M59:M62)</f>
        <v>#VALUE!</v>
      </c>
      <c r="AN59" s="47" t="e">
        <f>bdrate($AC59:$AC62,AE59:AE62,$L59:$L62, N59:N62)</f>
        <v>#VALUE!</v>
      </c>
      <c r="AO59" s="48" t="e">
        <f>bdrate($AC59:$AC62,AF59:AF62,$L59:$L62, O59:O62)</f>
        <v>#VALUE!</v>
      </c>
      <c r="AP59" s="42" t="e">
        <f>bdrateOld($AC59:$AC62,AD59:AD62,$L59:$L62, M59:M62)</f>
        <v>#VALUE!</v>
      </c>
      <c r="AQ59" s="47" t="e">
        <f>bdrateOld($AC59:$AC62,AE59:AE62,$L59:$L62, N59:N62)</f>
        <v>#VALUE!</v>
      </c>
      <c r="AR59" s="48" t="e">
        <f>bdrateOld($AC59:$AC62,AF59:AF62,$L59:$L62, O59:O62)</f>
        <v>#VALUE!</v>
      </c>
    </row>
    <row r="60" spans="1:44" x14ac:dyDescent="0.2">
      <c r="A60" s="16"/>
      <c r="B60" s="16"/>
      <c r="C60" s="16">
        <v>27</v>
      </c>
      <c r="D60" s="17">
        <f>TM!B162</f>
        <v>0</v>
      </c>
      <c r="E60" s="18">
        <f>TM!C162</f>
        <v>0</v>
      </c>
      <c r="F60" s="18">
        <f>TM!D162</f>
        <v>0</v>
      </c>
      <c r="G60" s="18">
        <f>TM!E162</f>
        <v>0</v>
      </c>
      <c r="H60" s="18">
        <f>TM!F162</f>
        <v>0</v>
      </c>
      <c r="I60" s="18">
        <f>TM!G162</f>
        <v>0</v>
      </c>
      <c r="J60" s="19">
        <f t="shared" ref="J60:J106" si="12">H60/3600</f>
        <v>0</v>
      </c>
      <c r="K60" s="27"/>
      <c r="L60" s="17">
        <f>Test!B162</f>
        <v>0</v>
      </c>
      <c r="M60" s="18">
        <f>Test!C162</f>
        <v>0</v>
      </c>
      <c r="N60" s="18">
        <f>Test!D162</f>
        <v>0</v>
      </c>
      <c r="O60" s="18">
        <f>Test!E162</f>
        <v>0</v>
      </c>
      <c r="P60" s="18">
        <f>Test!F162</f>
        <v>0</v>
      </c>
      <c r="Q60" s="18">
        <f>Test!G162</f>
        <v>0</v>
      </c>
      <c r="R60" s="19">
        <f t="shared" ref="R60:R106" si="13">P60/3600</f>
        <v>0</v>
      </c>
      <c r="S60" s="18" t="e">
        <f t="shared" si="11"/>
        <v>#DIV/0!</v>
      </c>
      <c r="T60" s="18" t="e">
        <f t="shared" si="11"/>
        <v>#DIV/0!</v>
      </c>
      <c r="U60" s="94"/>
      <c r="V60" s="99"/>
      <c r="W60" s="100"/>
      <c r="X60" s="100"/>
      <c r="Y60" s="43"/>
      <c r="Z60" s="26"/>
      <c r="AA60" s="55"/>
      <c r="AB60" s="20"/>
      <c r="AC60" s="17">
        <f>BMS!B162</f>
        <v>0</v>
      </c>
      <c r="AD60" s="18">
        <f>BMS!C162</f>
        <v>0</v>
      </c>
      <c r="AE60" s="18">
        <f>BMS!D162</f>
        <v>0</v>
      </c>
      <c r="AF60" s="18">
        <f>BMS!E162</f>
        <v>0</v>
      </c>
      <c r="AG60" s="18">
        <f>BMS!F162</f>
        <v>0</v>
      </c>
      <c r="AH60" s="18">
        <f>BMS!G162</f>
        <v>0</v>
      </c>
      <c r="AI60" s="19">
        <f t="shared" si="3"/>
        <v>0</v>
      </c>
      <c r="AJ60" s="18" t="e">
        <f t="shared" si="4"/>
        <v>#DIV/0!</v>
      </c>
      <c r="AK60" s="18" t="e">
        <f t="shared" si="5"/>
        <v>#DIV/0!</v>
      </c>
      <c r="AL60" s="20"/>
      <c r="AM60" s="43"/>
      <c r="AN60" s="26"/>
      <c r="AO60" s="55"/>
      <c r="AP60" s="43"/>
      <c r="AQ60" s="26"/>
      <c r="AR60" s="55"/>
    </row>
    <row r="61" spans="1:44" x14ac:dyDescent="0.2">
      <c r="A61" s="16"/>
      <c r="B61" s="16"/>
      <c r="C61" s="16">
        <v>32</v>
      </c>
      <c r="D61" s="17">
        <f>TM!B163</f>
        <v>0</v>
      </c>
      <c r="E61" s="18">
        <f>TM!C163</f>
        <v>0</v>
      </c>
      <c r="F61" s="18">
        <f>TM!D163</f>
        <v>0</v>
      </c>
      <c r="G61" s="18">
        <f>TM!E163</f>
        <v>0</v>
      </c>
      <c r="H61" s="18">
        <f>TM!F163</f>
        <v>0</v>
      </c>
      <c r="I61" s="18">
        <f>TM!G163</f>
        <v>0</v>
      </c>
      <c r="J61" s="19">
        <f t="shared" si="12"/>
        <v>0</v>
      </c>
      <c r="K61" s="27"/>
      <c r="L61" s="17">
        <f>Test!B163</f>
        <v>0</v>
      </c>
      <c r="M61" s="18">
        <f>Test!C163</f>
        <v>0</v>
      </c>
      <c r="N61" s="18">
        <f>Test!D163</f>
        <v>0</v>
      </c>
      <c r="O61" s="18">
        <f>Test!E163</f>
        <v>0</v>
      </c>
      <c r="P61" s="18">
        <f>Test!F163</f>
        <v>0</v>
      </c>
      <c r="Q61" s="18">
        <f>Test!G163</f>
        <v>0</v>
      </c>
      <c r="R61" s="19">
        <f t="shared" si="13"/>
        <v>0</v>
      </c>
      <c r="S61" s="18" t="e">
        <f t="shared" si="11"/>
        <v>#DIV/0!</v>
      </c>
      <c r="T61" s="18" t="e">
        <f t="shared" si="11"/>
        <v>#DIV/0!</v>
      </c>
      <c r="U61" s="94"/>
      <c r="V61" s="99"/>
      <c r="W61" s="100"/>
      <c r="X61" s="100"/>
      <c r="Y61" s="43"/>
      <c r="Z61" s="26"/>
      <c r="AA61" s="55"/>
      <c r="AB61" s="20"/>
      <c r="AC61" s="17">
        <f>BMS!B163</f>
        <v>0</v>
      </c>
      <c r="AD61" s="18">
        <f>BMS!C163</f>
        <v>0</v>
      </c>
      <c r="AE61" s="18">
        <f>BMS!D163</f>
        <v>0</v>
      </c>
      <c r="AF61" s="18">
        <f>BMS!E163</f>
        <v>0</v>
      </c>
      <c r="AG61" s="18">
        <f>BMS!F163</f>
        <v>0</v>
      </c>
      <c r="AH61" s="18">
        <f>BMS!G163</f>
        <v>0</v>
      </c>
      <c r="AI61" s="19">
        <f t="shared" si="3"/>
        <v>0</v>
      </c>
      <c r="AJ61" s="18" t="e">
        <f t="shared" si="4"/>
        <v>#DIV/0!</v>
      </c>
      <c r="AK61" s="18" t="e">
        <f t="shared" si="5"/>
        <v>#DIV/0!</v>
      </c>
      <c r="AL61" s="20"/>
      <c r="AM61" s="43"/>
      <c r="AN61" s="26"/>
      <c r="AO61" s="55"/>
      <c r="AP61" s="43"/>
      <c r="AQ61" s="26"/>
      <c r="AR61" s="55"/>
    </row>
    <row r="62" spans="1:44" ht="12.75" thickBot="1" x14ac:dyDescent="0.25">
      <c r="A62" s="21"/>
      <c r="B62" s="21"/>
      <c r="C62" s="21">
        <v>37</v>
      </c>
      <c r="D62" s="22">
        <f>TM!B164</f>
        <v>0</v>
      </c>
      <c r="E62" s="23">
        <f>TM!C164</f>
        <v>0</v>
      </c>
      <c r="F62" s="23">
        <f>TM!D164</f>
        <v>0</v>
      </c>
      <c r="G62" s="23">
        <f>TM!E164</f>
        <v>0</v>
      </c>
      <c r="H62" s="23">
        <f>TM!F164</f>
        <v>0</v>
      </c>
      <c r="I62" s="23">
        <f>TM!G164</f>
        <v>0</v>
      </c>
      <c r="J62" s="24">
        <f t="shared" si="12"/>
        <v>0</v>
      </c>
      <c r="K62" s="27"/>
      <c r="L62" s="22">
        <f>Test!B164</f>
        <v>0</v>
      </c>
      <c r="M62" s="23">
        <f>Test!C164</f>
        <v>0</v>
      </c>
      <c r="N62" s="23">
        <f>Test!D164</f>
        <v>0</v>
      </c>
      <c r="O62" s="23">
        <f>Test!E164</f>
        <v>0</v>
      </c>
      <c r="P62" s="23">
        <f>Test!F164</f>
        <v>0</v>
      </c>
      <c r="Q62" s="23">
        <f>Test!G164</f>
        <v>0</v>
      </c>
      <c r="R62" s="24">
        <f t="shared" si="13"/>
        <v>0</v>
      </c>
      <c r="S62" s="23" t="e">
        <f t="shared" si="11"/>
        <v>#DIV/0!</v>
      </c>
      <c r="T62" s="23" t="e">
        <f t="shared" si="11"/>
        <v>#DIV/0!</v>
      </c>
      <c r="U62" s="95"/>
      <c r="V62" s="102"/>
      <c r="W62" s="103"/>
      <c r="X62" s="103"/>
      <c r="Y62" s="44"/>
      <c r="Z62" s="56"/>
      <c r="AA62" s="57"/>
      <c r="AB62" s="25"/>
      <c r="AC62" s="22">
        <f>BMS!B164</f>
        <v>0</v>
      </c>
      <c r="AD62" s="23">
        <f>BMS!C164</f>
        <v>0</v>
      </c>
      <c r="AE62" s="23">
        <f>BMS!D164</f>
        <v>0</v>
      </c>
      <c r="AF62" s="23">
        <f>BMS!E164</f>
        <v>0</v>
      </c>
      <c r="AG62" s="23">
        <f>BMS!F164</f>
        <v>0</v>
      </c>
      <c r="AH62" s="23">
        <f>BMS!G164</f>
        <v>0</v>
      </c>
      <c r="AI62" s="24">
        <f t="shared" si="3"/>
        <v>0</v>
      </c>
      <c r="AJ62" s="23" t="e">
        <f t="shared" si="4"/>
        <v>#DIV/0!</v>
      </c>
      <c r="AK62" s="23" t="e">
        <f t="shared" si="5"/>
        <v>#DIV/0!</v>
      </c>
      <c r="AL62" s="25"/>
      <c r="AM62" s="44"/>
      <c r="AN62" s="56"/>
      <c r="AO62" s="57"/>
      <c r="AP62" s="44"/>
      <c r="AQ62" s="56"/>
      <c r="AR62" s="57"/>
    </row>
    <row r="63" spans="1:44" x14ac:dyDescent="0.2">
      <c r="A63" s="11" t="s">
        <v>6</v>
      </c>
      <c r="B63" s="11" t="s">
        <v>58</v>
      </c>
      <c r="C63" s="11">
        <f>C59</f>
        <v>22</v>
      </c>
      <c r="D63" s="12">
        <f>TM!B165</f>
        <v>0</v>
      </c>
      <c r="E63" s="13">
        <f>TM!C165</f>
        <v>0</v>
      </c>
      <c r="F63" s="13">
        <f>TM!D165</f>
        <v>0</v>
      </c>
      <c r="G63" s="13">
        <f>TM!E165</f>
        <v>0</v>
      </c>
      <c r="H63" s="13">
        <f>TM!F165</f>
        <v>0</v>
      </c>
      <c r="I63" s="13">
        <f>TM!G165</f>
        <v>0</v>
      </c>
      <c r="J63" s="14">
        <f t="shared" si="12"/>
        <v>0</v>
      </c>
      <c r="K63" s="27"/>
      <c r="L63" s="12">
        <f>Test!B165</f>
        <v>0</v>
      </c>
      <c r="M63" s="13">
        <f>Test!C165</f>
        <v>0</v>
      </c>
      <c r="N63" s="13">
        <f>Test!D165</f>
        <v>0</v>
      </c>
      <c r="O63" s="13">
        <f>Test!E165</f>
        <v>0</v>
      </c>
      <c r="P63" s="13">
        <f>Test!F165</f>
        <v>0</v>
      </c>
      <c r="Q63" s="13">
        <f>Test!G165</f>
        <v>0</v>
      </c>
      <c r="R63" s="14">
        <f t="shared" si="13"/>
        <v>0</v>
      </c>
      <c r="S63" s="13" t="e">
        <f>P63/H63</f>
        <v>#DIV/0!</v>
      </c>
      <c r="T63" s="13" t="e">
        <f t="shared" si="11"/>
        <v>#DIV/0!</v>
      </c>
      <c r="U63" s="93"/>
      <c r="V63" s="96" t="e">
        <f>bdrate($D63:$D66,E63:E66,$L63:$L66,M63:M66)</f>
        <v>#VALUE!</v>
      </c>
      <c r="W63" s="97" t="e">
        <f>bdrate($D63:$D66,F63:F66,$L63:$L66,N63:N66)</f>
        <v>#VALUE!</v>
      </c>
      <c r="X63" s="98" t="e">
        <f>bdrate($D63:$D66,G63:G66,$L63:$L66,O63:O66)</f>
        <v>#VALUE!</v>
      </c>
      <c r="Y63" s="42" t="e">
        <f>bdrateOld($D63:$D66,E63:E66,$L63:$L66,M63:M66)</f>
        <v>#VALUE!</v>
      </c>
      <c r="Z63" s="47" t="e">
        <f>bdrateOld($D63:$D66,F63:F66,$L63:$L66,N63:N66)</f>
        <v>#VALUE!</v>
      </c>
      <c r="AA63" s="48" t="e">
        <f>bdrateOld($D63:$D66,G63:G66,$L63:$L66,O63:O66)</f>
        <v>#VALUE!</v>
      </c>
      <c r="AB63" s="54"/>
      <c r="AC63" s="12">
        <f>BMS!B165</f>
        <v>0</v>
      </c>
      <c r="AD63" s="13">
        <f>BMS!C165</f>
        <v>0</v>
      </c>
      <c r="AE63" s="13">
        <f>BMS!D165</f>
        <v>0</v>
      </c>
      <c r="AF63" s="13">
        <f>BMS!E165</f>
        <v>0</v>
      </c>
      <c r="AG63" s="13">
        <f>BMS!F165</f>
        <v>0</v>
      </c>
      <c r="AH63" s="13">
        <f>BMS!G165</f>
        <v>0</v>
      </c>
      <c r="AI63" s="14">
        <f t="shared" si="3"/>
        <v>0</v>
      </c>
      <c r="AJ63" s="13" t="e">
        <f t="shared" si="4"/>
        <v>#DIV/0!</v>
      </c>
      <c r="AK63" s="13" t="e">
        <f t="shared" si="5"/>
        <v>#DIV/0!</v>
      </c>
      <c r="AL63" s="54"/>
      <c r="AM63" s="42" t="e">
        <f>bdrate($AC63:$AC66,AD63:AD66,$L63:$L66, M63:M66)</f>
        <v>#VALUE!</v>
      </c>
      <c r="AN63" s="47" t="e">
        <f>bdrate($AC63:$AC66,AE63:AE66,$L63:$L66, N63:N66)</f>
        <v>#VALUE!</v>
      </c>
      <c r="AO63" s="48" t="e">
        <f>bdrate($AC63:$AC66,AF63:AF66,$L63:$L66, O63:O66)</f>
        <v>#VALUE!</v>
      </c>
      <c r="AP63" s="42" t="e">
        <f>bdrateOld($AC63:$AC66,AD63:AD66,$L63:$L66, M63:M66)</f>
        <v>#VALUE!</v>
      </c>
      <c r="AQ63" s="47" t="e">
        <f>bdrateOld($AC63:$AC66,AE63:AE66,$L63:$L66, N63:N66)</f>
        <v>#VALUE!</v>
      </c>
      <c r="AR63" s="48" t="e">
        <f>bdrateOld($AC63:$AC66,AF63:AF66,$L63:$L66, O63:O66)</f>
        <v>#VALUE!</v>
      </c>
    </row>
    <row r="64" spans="1:44" x14ac:dyDescent="0.2">
      <c r="A64" s="16" t="s">
        <v>51</v>
      </c>
      <c r="B64" s="16"/>
      <c r="C64" s="16">
        <f>C60</f>
        <v>27</v>
      </c>
      <c r="D64" s="17">
        <f>TM!B166</f>
        <v>0</v>
      </c>
      <c r="E64" s="18">
        <f>TM!C166</f>
        <v>0</v>
      </c>
      <c r="F64" s="18">
        <f>TM!D166</f>
        <v>0</v>
      </c>
      <c r="G64" s="18">
        <f>TM!E166</f>
        <v>0</v>
      </c>
      <c r="H64" s="18">
        <f>TM!F166</f>
        <v>0</v>
      </c>
      <c r="I64" s="18">
        <f>TM!G166</f>
        <v>0</v>
      </c>
      <c r="J64" s="19">
        <f t="shared" si="12"/>
        <v>0</v>
      </c>
      <c r="K64" s="27"/>
      <c r="L64" s="17">
        <f>Test!B166</f>
        <v>0</v>
      </c>
      <c r="M64" s="18">
        <f>Test!C166</f>
        <v>0</v>
      </c>
      <c r="N64" s="18">
        <f>Test!D166</f>
        <v>0</v>
      </c>
      <c r="O64" s="18">
        <f>Test!E166</f>
        <v>0</v>
      </c>
      <c r="P64" s="18">
        <f>Test!F166</f>
        <v>0</v>
      </c>
      <c r="Q64" s="18">
        <f>Test!G166</f>
        <v>0</v>
      </c>
      <c r="R64" s="19">
        <f t="shared" si="13"/>
        <v>0</v>
      </c>
      <c r="S64" s="18" t="e">
        <f>P64/H64</f>
        <v>#DIV/0!</v>
      </c>
      <c r="T64" s="18" t="e">
        <f t="shared" si="11"/>
        <v>#DIV/0!</v>
      </c>
      <c r="U64" s="94"/>
      <c r="V64" s="99"/>
      <c r="W64" s="100"/>
      <c r="X64" s="101"/>
      <c r="Y64" s="43"/>
      <c r="Z64" s="26"/>
      <c r="AA64" s="55"/>
      <c r="AB64" s="20"/>
      <c r="AC64" s="17">
        <f>BMS!B166</f>
        <v>0</v>
      </c>
      <c r="AD64" s="18">
        <f>BMS!C166</f>
        <v>0</v>
      </c>
      <c r="AE64" s="18">
        <f>BMS!D166</f>
        <v>0</v>
      </c>
      <c r="AF64" s="18">
        <f>BMS!E166</f>
        <v>0</v>
      </c>
      <c r="AG64" s="18">
        <f>BMS!F166</f>
        <v>0</v>
      </c>
      <c r="AH64" s="18">
        <f>BMS!G166</f>
        <v>0</v>
      </c>
      <c r="AI64" s="19">
        <f t="shared" si="3"/>
        <v>0</v>
      </c>
      <c r="AJ64" s="18" t="e">
        <f t="shared" si="4"/>
        <v>#DIV/0!</v>
      </c>
      <c r="AK64" s="18" t="e">
        <f t="shared" si="5"/>
        <v>#DIV/0!</v>
      </c>
      <c r="AL64" s="20"/>
      <c r="AM64" s="43"/>
      <c r="AN64" s="26"/>
      <c r="AO64" s="55"/>
      <c r="AP64" s="43"/>
      <c r="AQ64" s="26"/>
      <c r="AR64" s="55"/>
    </row>
    <row r="65" spans="1:44" x14ac:dyDescent="0.2">
      <c r="A65" s="16"/>
      <c r="B65" s="16"/>
      <c r="C65" s="16">
        <f>C61</f>
        <v>32</v>
      </c>
      <c r="D65" s="17">
        <f>TM!B167</f>
        <v>0</v>
      </c>
      <c r="E65" s="18">
        <f>TM!C167</f>
        <v>0</v>
      </c>
      <c r="F65" s="18">
        <f>TM!D167</f>
        <v>0</v>
      </c>
      <c r="G65" s="18">
        <f>TM!E167</f>
        <v>0</v>
      </c>
      <c r="H65" s="18">
        <f>TM!F167</f>
        <v>0</v>
      </c>
      <c r="I65" s="18">
        <f>TM!G167</f>
        <v>0</v>
      </c>
      <c r="J65" s="19">
        <f t="shared" si="12"/>
        <v>0</v>
      </c>
      <c r="K65" s="27"/>
      <c r="L65" s="17">
        <f>Test!B167</f>
        <v>0</v>
      </c>
      <c r="M65" s="18">
        <f>Test!C167</f>
        <v>0</v>
      </c>
      <c r="N65" s="18">
        <f>Test!D167</f>
        <v>0</v>
      </c>
      <c r="O65" s="18">
        <f>Test!E167</f>
        <v>0</v>
      </c>
      <c r="P65" s="18">
        <f>Test!F167</f>
        <v>0</v>
      </c>
      <c r="Q65" s="18">
        <f>Test!G167</f>
        <v>0</v>
      </c>
      <c r="R65" s="19">
        <f t="shared" si="13"/>
        <v>0</v>
      </c>
      <c r="S65" s="18" t="e">
        <f>P65/H65</f>
        <v>#DIV/0!</v>
      </c>
      <c r="T65" s="18" t="e">
        <f t="shared" si="11"/>
        <v>#DIV/0!</v>
      </c>
      <c r="U65" s="94"/>
      <c r="V65" s="99"/>
      <c r="W65" s="100"/>
      <c r="X65" s="101"/>
      <c r="Y65" s="43"/>
      <c r="Z65" s="26"/>
      <c r="AA65" s="55"/>
      <c r="AB65" s="20"/>
      <c r="AC65" s="17">
        <f>BMS!B167</f>
        <v>0</v>
      </c>
      <c r="AD65" s="18">
        <f>BMS!C167</f>
        <v>0</v>
      </c>
      <c r="AE65" s="18">
        <f>BMS!D167</f>
        <v>0</v>
      </c>
      <c r="AF65" s="18">
        <f>BMS!E167</f>
        <v>0</v>
      </c>
      <c r="AG65" s="18">
        <f>BMS!F167</f>
        <v>0</v>
      </c>
      <c r="AH65" s="18">
        <f>BMS!G167</f>
        <v>0</v>
      </c>
      <c r="AI65" s="19">
        <f t="shared" si="3"/>
        <v>0</v>
      </c>
      <c r="AJ65" s="18" t="e">
        <f t="shared" si="4"/>
        <v>#DIV/0!</v>
      </c>
      <c r="AK65" s="18" t="e">
        <f t="shared" si="5"/>
        <v>#DIV/0!</v>
      </c>
      <c r="AL65" s="20"/>
      <c r="AM65" s="43"/>
      <c r="AN65" s="26"/>
      <c r="AO65" s="55"/>
      <c r="AP65" s="43"/>
      <c r="AQ65" s="26"/>
      <c r="AR65" s="55"/>
    </row>
    <row r="66" spans="1:44" ht="12.75" thickBot="1" x14ac:dyDescent="0.25">
      <c r="A66" s="16"/>
      <c r="B66" s="21"/>
      <c r="C66" s="21">
        <f>C62</f>
        <v>37</v>
      </c>
      <c r="D66" s="22">
        <f>TM!B168</f>
        <v>0</v>
      </c>
      <c r="E66" s="23">
        <f>TM!C168</f>
        <v>0</v>
      </c>
      <c r="F66" s="23">
        <f>TM!D168</f>
        <v>0</v>
      </c>
      <c r="G66" s="23">
        <f>TM!E168</f>
        <v>0</v>
      </c>
      <c r="H66" s="23">
        <f>TM!F168</f>
        <v>0</v>
      </c>
      <c r="I66" s="23">
        <f>TM!G168</f>
        <v>0</v>
      </c>
      <c r="J66" s="24">
        <f t="shared" si="12"/>
        <v>0</v>
      </c>
      <c r="K66" s="27"/>
      <c r="L66" s="22">
        <f>Test!B168</f>
        <v>0</v>
      </c>
      <c r="M66" s="23">
        <f>Test!C168</f>
        <v>0</v>
      </c>
      <c r="N66" s="23">
        <f>Test!D168</f>
        <v>0</v>
      </c>
      <c r="O66" s="23">
        <f>Test!E168</f>
        <v>0</v>
      </c>
      <c r="P66" s="23">
        <f>Test!F168</f>
        <v>0</v>
      </c>
      <c r="Q66" s="23">
        <f>Test!G168</f>
        <v>0</v>
      </c>
      <c r="R66" s="24">
        <f t="shared" si="13"/>
        <v>0</v>
      </c>
      <c r="S66" s="18" t="e">
        <f>P66/H66</f>
        <v>#DIV/0!</v>
      </c>
      <c r="T66" s="18" t="e">
        <f t="shared" si="11"/>
        <v>#DIV/0!</v>
      </c>
      <c r="U66" s="94"/>
      <c r="V66" s="102"/>
      <c r="W66" s="103"/>
      <c r="X66" s="104"/>
      <c r="Y66" s="44"/>
      <c r="Z66" s="56"/>
      <c r="AA66" s="57"/>
      <c r="AB66" s="20"/>
      <c r="AC66" s="22">
        <f>BMS!B168</f>
        <v>0</v>
      </c>
      <c r="AD66" s="23">
        <f>BMS!C168</f>
        <v>0</v>
      </c>
      <c r="AE66" s="23">
        <f>BMS!D168</f>
        <v>0</v>
      </c>
      <c r="AF66" s="23">
        <f>BMS!E168</f>
        <v>0</v>
      </c>
      <c r="AG66" s="23">
        <f>BMS!F168</f>
        <v>0</v>
      </c>
      <c r="AH66" s="23">
        <f>BMS!G168</f>
        <v>0</v>
      </c>
      <c r="AI66" s="24">
        <f t="shared" si="3"/>
        <v>0</v>
      </c>
      <c r="AJ66" s="18" t="e">
        <f t="shared" si="4"/>
        <v>#DIV/0!</v>
      </c>
      <c r="AK66" s="18" t="e">
        <f t="shared" si="5"/>
        <v>#DIV/0!</v>
      </c>
      <c r="AL66" s="20"/>
      <c r="AM66" s="44"/>
      <c r="AN66" s="56"/>
      <c r="AO66" s="57"/>
      <c r="AP66" s="44"/>
      <c r="AQ66" s="56"/>
      <c r="AR66" s="57"/>
    </row>
    <row r="67" spans="1:44" x14ac:dyDescent="0.2">
      <c r="A67" s="16"/>
      <c r="B67" s="11" t="s">
        <v>59</v>
      </c>
      <c r="C67" s="11">
        <v>22</v>
      </c>
      <c r="D67" s="12">
        <f>TM!B169</f>
        <v>0</v>
      </c>
      <c r="E67" s="13">
        <f>TM!C169</f>
        <v>0</v>
      </c>
      <c r="F67" s="13">
        <f>TM!D169</f>
        <v>0</v>
      </c>
      <c r="G67" s="13">
        <f>TM!E169</f>
        <v>0</v>
      </c>
      <c r="H67" s="13">
        <f>TM!F169</f>
        <v>0</v>
      </c>
      <c r="I67" s="13">
        <f>TM!G169</f>
        <v>0</v>
      </c>
      <c r="J67" s="14">
        <f t="shared" si="12"/>
        <v>0</v>
      </c>
      <c r="K67" s="27"/>
      <c r="L67" s="12">
        <f>Test!B169</f>
        <v>0</v>
      </c>
      <c r="M67" s="13">
        <f>Test!C169</f>
        <v>0</v>
      </c>
      <c r="N67" s="13">
        <f>Test!D169</f>
        <v>0</v>
      </c>
      <c r="O67" s="13">
        <f>Test!E169</f>
        <v>0</v>
      </c>
      <c r="P67" s="13">
        <f>Test!F169</f>
        <v>0</v>
      </c>
      <c r="Q67" s="13">
        <f>Test!G169</f>
        <v>0</v>
      </c>
      <c r="R67" s="14">
        <f t="shared" si="13"/>
        <v>0</v>
      </c>
      <c r="S67" s="18" t="e">
        <f t="shared" si="11"/>
        <v>#DIV/0!</v>
      </c>
      <c r="T67" s="18" t="e">
        <f t="shared" si="11"/>
        <v>#DIV/0!</v>
      </c>
      <c r="U67" s="94"/>
      <c r="V67" s="96" t="e">
        <f>bdrate($D67:$D70,E67:E70,$L67:$L70,M67:M70)</f>
        <v>#VALUE!</v>
      </c>
      <c r="W67" s="97" t="e">
        <f>bdrate($D67:$D70,F67:F70,$L67:$L70,N67:N70)</f>
        <v>#VALUE!</v>
      </c>
      <c r="X67" s="97" t="e">
        <f>bdrate($D67:$D70,G67:G70,$L67:$L70,O67:O70)</f>
        <v>#VALUE!</v>
      </c>
      <c r="Y67" s="45" t="e">
        <f>bdrateOld($D67:$D70,E67:E70,$L67:$L70,M67:M70)</f>
        <v>#VALUE!</v>
      </c>
      <c r="Z67" s="49" t="e">
        <f>bdrateOld($D67:$D70,F67:F70,$L67:$L70,N67:N70)</f>
        <v>#VALUE!</v>
      </c>
      <c r="AA67" s="50" t="e">
        <f>bdrateOld($D67:$D70,G67:G70,$L67:$L70,O67:O70)</f>
        <v>#VALUE!</v>
      </c>
      <c r="AB67" s="20"/>
      <c r="AC67" s="12">
        <f>BMS!B169</f>
        <v>0</v>
      </c>
      <c r="AD67" s="13">
        <f>BMS!C169</f>
        <v>0</v>
      </c>
      <c r="AE67" s="13">
        <f>BMS!D169</f>
        <v>0</v>
      </c>
      <c r="AF67" s="13">
        <f>BMS!E169</f>
        <v>0</v>
      </c>
      <c r="AG67" s="13">
        <f>BMS!F169</f>
        <v>0</v>
      </c>
      <c r="AH67" s="13">
        <f>BMS!G169</f>
        <v>0</v>
      </c>
      <c r="AI67" s="14">
        <f t="shared" si="3"/>
        <v>0</v>
      </c>
      <c r="AJ67" s="18" t="e">
        <f t="shared" si="4"/>
        <v>#DIV/0!</v>
      </c>
      <c r="AK67" s="18" t="e">
        <f t="shared" si="5"/>
        <v>#DIV/0!</v>
      </c>
      <c r="AL67" s="20"/>
      <c r="AM67" s="42" t="e">
        <f>bdrate($AC67:$AC70,AD67:AD70,$L67:$L70, M67:M70)</f>
        <v>#VALUE!</v>
      </c>
      <c r="AN67" s="47" t="e">
        <f>bdrate($AC67:$AC70,AE67:AE70,$L67:$L70, N67:N70)</f>
        <v>#VALUE!</v>
      </c>
      <c r="AO67" s="48" t="e">
        <f>bdrate($AC67:$AC70,AF67:AF70,$L67:$L70, O67:O70)</f>
        <v>#VALUE!</v>
      </c>
      <c r="AP67" s="42" t="e">
        <f>bdrateOld($AC67:$AC70,AD67:AD70,$L67:$L70, M67:M70)</f>
        <v>#VALUE!</v>
      </c>
      <c r="AQ67" s="47" t="e">
        <f>bdrateOld($AC67:$AC70,AE67:AE70,$L67:$L70, N67:N70)</f>
        <v>#VALUE!</v>
      </c>
      <c r="AR67" s="48" t="e">
        <f>bdrateOld($AC67:$AC70,AF67:AF70,$L67:$L70, O67:O70)</f>
        <v>#VALUE!</v>
      </c>
    </row>
    <row r="68" spans="1:44" x14ac:dyDescent="0.2">
      <c r="A68" s="16"/>
      <c r="B68" s="16"/>
      <c r="C68" s="16">
        <v>27</v>
      </c>
      <c r="D68" s="17">
        <f>TM!B170</f>
        <v>0</v>
      </c>
      <c r="E68" s="18">
        <f>TM!C170</f>
        <v>0</v>
      </c>
      <c r="F68" s="18">
        <f>TM!D170</f>
        <v>0</v>
      </c>
      <c r="G68" s="18">
        <f>TM!E170</f>
        <v>0</v>
      </c>
      <c r="H68" s="18">
        <f>TM!F170</f>
        <v>0</v>
      </c>
      <c r="I68" s="18">
        <f>TM!G170</f>
        <v>0</v>
      </c>
      <c r="J68" s="19">
        <f t="shared" si="12"/>
        <v>0</v>
      </c>
      <c r="K68" s="27"/>
      <c r="L68" s="17">
        <f>Test!B170</f>
        <v>0</v>
      </c>
      <c r="M68" s="18">
        <f>Test!C170</f>
        <v>0</v>
      </c>
      <c r="N68" s="18">
        <f>Test!D170</f>
        <v>0</v>
      </c>
      <c r="O68" s="18">
        <f>Test!E170</f>
        <v>0</v>
      </c>
      <c r="P68" s="18">
        <f>Test!F170</f>
        <v>0</v>
      </c>
      <c r="Q68" s="18">
        <f>Test!G170</f>
        <v>0</v>
      </c>
      <c r="R68" s="19">
        <f t="shared" si="13"/>
        <v>0</v>
      </c>
      <c r="S68" s="18" t="e">
        <f t="shared" si="11"/>
        <v>#DIV/0!</v>
      </c>
      <c r="T68" s="18" t="e">
        <f t="shared" si="11"/>
        <v>#DIV/0!</v>
      </c>
      <c r="U68" s="94"/>
      <c r="V68" s="99"/>
      <c r="W68" s="100"/>
      <c r="X68" s="100"/>
      <c r="Y68" s="43"/>
      <c r="Z68" s="26"/>
      <c r="AA68" s="55"/>
      <c r="AB68" s="20"/>
      <c r="AC68" s="17">
        <f>BMS!B170</f>
        <v>0</v>
      </c>
      <c r="AD68" s="18">
        <f>BMS!C170</f>
        <v>0</v>
      </c>
      <c r="AE68" s="18">
        <f>BMS!D170</f>
        <v>0</v>
      </c>
      <c r="AF68" s="18">
        <f>BMS!E170</f>
        <v>0</v>
      </c>
      <c r="AG68" s="18">
        <f>BMS!F170</f>
        <v>0</v>
      </c>
      <c r="AH68" s="18">
        <f>BMS!G170</f>
        <v>0</v>
      </c>
      <c r="AI68" s="19">
        <f t="shared" si="3"/>
        <v>0</v>
      </c>
      <c r="AJ68" s="18" t="e">
        <f t="shared" si="4"/>
        <v>#DIV/0!</v>
      </c>
      <c r="AK68" s="18" t="e">
        <f t="shared" si="5"/>
        <v>#DIV/0!</v>
      </c>
      <c r="AL68" s="20"/>
      <c r="AM68" s="43"/>
      <c r="AN68" s="26"/>
      <c r="AO68" s="55"/>
      <c r="AP68" s="43"/>
      <c r="AQ68" s="26"/>
      <c r="AR68" s="55"/>
    </row>
    <row r="69" spans="1:44" x14ac:dyDescent="0.2">
      <c r="A69" s="16"/>
      <c r="B69" s="16"/>
      <c r="C69" s="16">
        <v>32</v>
      </c>
      <c r="D69" s="17">
        <f>TM!B171</f>
        <v>0</v>
      </c>
      <c r="E69" s="18">
        <f>TM!C171</f>
        <v>0</v>
      </c>
      <c r="F69" s="18">
        <f>TM!D171</f>
        <v>0</v>
      </c>
      <c r="G69" s="18">
        <f>TM!E171</f>
        <v>0</v>
      </c>
      <c r="H69" s="18">
        <f>TM!F171</f>
        <v>0</v>
      </c>
      <c r="I69" s="18">
        <f>TM!G171</f>
        <v>0</v>
      </c>
      <c r="J69" s="19">
        <f t="shared" si="12"/>
        <v>0</v>
      </c>
      <c r="K69" s="27"/>
      <c r="L69" s="17">
        <f>Test!B171</f>
        <v>0</v>
      </c>
      <c r="M69" s="18">
        <f>Test!C171</f>
        <v>0</v>
      </c>
      <c r="N69" s="18">
        <f>Test!D171</f>
        <v>0</v>
      </c>
      <c r="O69" s="18">
        <f>Test!E171</f>
        <v>0</v>
      </c>
      <c r="P69" s="18">
        <f>Test!F171</f>
        <v>0</v>
      </c>
      <c r="Q69" s="18">
        <f>Test!G171</f>
        <v>0</v>
      </c>
      <c r="R69" s="19">
        <f t="shared" si="13"/>
        <v>0</v>
      </c>
      <c r="S69" s="18" t="e">
        <f t="shared" si="11"/>
        <v>#DIV/0!</v>
      </c>
      <c r="T69" s="18" t="e">
        <f t="shared" si="11"/>
        <v>#DIV/0!</v>
      </c>
      <c r="U69" s="94"/>
      <c r="V69" s="99"/>
      <c r="W69" s="100"/>
      <c r="X69" s="100"/>
      <c r="Y69" s="43"/>
      <c r="Z69" s="26"/>
      <c r="AA69" s="55"/>
      <c r="AB69" s="20"/>
      <c r="AC69" s="17">
        <f>BMS!B171</f>
        <v>0</v>
      </c>
      <c r="AD69" s="18">
        <f>BMS!C171</f>
        <v>0</v>
      </c>
      <c r="AE69" s="18">
        <f>BMS!D171</f>
        <v>0</v>
      </c>
      <c r="AF69" s="18">
        <f>BMS!E171</f>
        <v>0</v>
      </c>
      <c r="AG69" s="18">
        <f>BMS!F171</f>
        <v>0</v>
      </c>
      <c r="AH69" s="18">
        <f>BMS!G171</f>
        <v>0</v>
      </c>
      <c r="AI69" s="19">
        <f t="shared" si="3"/>
        <v>0</v>
      </c>
      <c r="AJ69" s="18" t="e">
        <f t="shared" si="4"/>
        <v>#DIV/0!</v>
      </c>
      <c r="AK69" s="18" t="e">
        <f t="shared" si="5"/>
        <v>#DIV/0!</v>
      </c>
      <c r="AL69" s="20"/>
      <c r="AM69" s="43"/>
      <c r="AN69" s="26"/>
      <c r="AO69" s="55"/>
      <c r="AP69" s="43"/>
      <c r="AQ69" s="26"/>
      <c r="AR69" s="55"/>
    </row>
    <row r="70" spans="1:44" ht="12.75" thickBot="1" x14ac:dyDescent="0.25">
      <c r="A70" s="16"/>
      <c r="B70" s="21"/>
      <c r="C70" s="21">
        <v>37</v>
      </c>
      <c r="D70" s="22">
        <f>TM!B172</f>
        <v>0</v>
      </c>
      <c r="E70" s="23">
        <f>TM!C172</f>
        <v>0</v>
      </c>
      <c r="F70" s="23">
        <f>TM!D172</f>
        <v>0</v>
      </c>
      <c r="G70" s="23">
        <f>TM!E172</f>
        <v>0</v>
      </c>
      <c r="H70" s="23">
        <f>TM!F172</f>
        <v>0</v>
      </c>
      <c r="I70" s="23">
        <f>TM!G172</f>
        <v>0</v>
      </c>
      <c r="J70" s="24">
        <f t="shared" si="12"/>
        <v>0</v>
      </c>
      <c r="K70" s="27"/>
      <c r="L70" s="22">
        <f>Test!B172</f>
        <v>0</v>
      </c>
      <c r="M70" s="23">
        <f>Test!C172</f>
        <v>0</v>
      </c>
      <c r="N70" s="23">
        <f>Test!D172</f>
        <v>0</v>
      </c>
      <c r="O70" s="23">
        <f>Test!E172</f>
        <v>0</v>
      </c>
      <c r="P70" s="23">
        <f>Test!F172</f>
        <v>0</v>
      </c>
      <c r="Q70" s="23">
        <f>Test!G172</f>
        <v>0</v>
      </c>
      <c r="R70" s="24">
        <f t="shared" si="13"/>
        <v>0</v>
      </c>
      <c r="S70" s="18" t="e">
        <f t="shared" si="11"/>
        <v>#DIV/0!</v>
      </c>
      <c r="T70" s="18" t="e">
        <f t="shared" si="11"/>
        <v>#DIV/0!</v>
      </c>
      <c r="U70" s="94"/>
      <c r="V70" s="102"/>
      <c r="W70" s="103"/>
      <c r="X70" s="103"/>
      <c r="Y70" s="44"/>
      <c r="Z70" s="56"/>
      <c r="AA70" s="57"/>
      <c r="AB70" s="20"/>
      <c r="AC70" s="22">
        <f>BMS!B172</f>
        <v>0</v>
      </c>
      <c r="AD70" s="23">
        <f>BMS!C172</f>
        <v>0</v>
      </c>
      <c r="AE70" s="23">
        <f>BMS!D172</f>
        <v>0</v>
      </c>
      <c r="AF70" s="23">
        <f>BMS!E172</f>
        <v>0</v>
      </c>
      <c r="AG70" s="23">
        <f>BMS!F172</f>
        <v>0</v>
      </c>
      <c r="AH70" s="23">
        <f>BMS!G172</f>
        <v>0</v>
      </c>
      <c r="AI70" s="24">
        <f t="shared" si="3"/>
        <v>0</v>
      </c>
      <c r="AJ70" s="18" t="e">
        <f t="shared" si="4"/>
        <v>#DIV/0!</v>
      </c>
      <c r="AK70" s="18" t="e">
        <f t="shared" si="5"/>
        <v>#DIV/0!</v>
      </c>
      <c r="AL70" s="20"/>
      <c r="AM70" s="44"/>
      <c r="AN70" s="56"/>
      <c r="AO70" s="57"/>
      <c r="AP70" s="44"/>
      <c r="AQ70" s="56"/>
      <c r="AR70" s="57"/>
    </row>
    <row r="71" spans="1:44" x14ac:dyDescent="0.2">
      <c r="A71" s="16"/>
      <c r="B71" s="11" t="s">
        <v>60</v>
      </c>
      <c r="C71" s="11">
        <v>22</v>
      </c>
      <c r="D71" s="12">
        <f>TM!B173</f>
        <v>0</v>
      </c>
      <c r="E71" s="13">
        <f>TM!C173</f>
        <v>0</v>
      </c>
      <c r="F71" s="13">
        <f>TM!D173</f>
        <v>0</v>
      </c>
      <c r="G71" s="13">
        <f>TM!E173</f>
        <v>0</v>
      </c>
      <c r="H71" s="13">
        <f>TM!F173</f>
        <v>0</v>
      </c>
      <c r="I71" s="13">
        <f>TM!G173</f>
        <v>0</v>
      </c>
      <c r="J71" s="14">
        <f t="shared" si="12"/>
        <v>0</v>
      </c>
      <c r="K71" s="27"/>
      <c r="L71" s="12">
        <f>Test!B173</f>
        <v>0</v>
      </c>
      <c r="M71" s="13">
        <f>Test!C173</f>
        <v>0</v>
      </c>
      <c r="N71" s="13">
        <f>Test!D173</f>
        <v>0</v>
      </c>
      <c r="O71" s="13">
        <f>Test!E173</f>
        <v>0</v>
      </c>
      <c r="P71" s="13">
        <f>Test!F173</f>
        <v>0</v>
      </c>
      <c r="Q71" s="13">
        <f>Test!G173</f>
        <v>0</v>
      </c>
      <c r="R71" s="14">
        <f t="shared" si="13"/>
        <v>0</v>
      </c>
      <c r="S71" s="18" t="e">
        <f t="shared" ref="S71:T78" si="14">P71/H71</f>
        <v>#DIV/0!</v>
      </c>
      <c r="T71" s="18" t="e">
        <f t="shared" si="14"/>
        <v>#DIV/0!</v>
      </c>
      <c r="U71" s="94"/>
      <c r="V71" s="96" t="e">
        <f>bdrate($D71:$D74,E71:E74,$L71:$L74,M71:M74)</f>
        <v>#VALUE!</v>
      </c>
      <c r="W71" s="97" t="e">
        <f>bdrate($D71:$D74,F71:F74,$L71:$L74,N71:N74)</f>
        <v>#VALUE!</v>
      </c>
      <c r="X71" s="97" t="e">
        <f>bdrate($D71:$D74,G71:G74,$L71:$L74,O71:O74)</f>
        <v>#VALUE!</v>
      </c>
      <c r="Y71" s="45" t="e">
        <f>bdrateOld($D71:$D74,E71:E74,$L71:$L74,M71:M74)</f>
        <v>#VALUE!</v>
      </c>
      <c r="Z71" s="49" t="e">
        <f>bdrateOld($D71:$D74,F71:F74,$L71:$L74,N71:N74)</f>
        <v>#VALUE!</v>
      </c>
      <c r="AA71" s="50" t="e">
        <f>bdrateOld($D71:$D74,G71:G74,$L71:$L74,O71:O74)</f>
        <v>#VALUE!</v>
      </c>
      <c r="AB71" s="20"/>
      <c r="AC71" s="12">
        <f>BMS!B173</f>
        <v>0</v>
      </c>
      <c r="AD71" s="13">
        <f>BMS!C173</f>
        <v>0</v>
      </c>
      <c r="AE71" s="13">
        <f>BMS!D173</f>
        <v>0</v>
      </c>
      <c r="AF71" s="13">
        <f>BMS!E173</f>
        <v>0</v>
      </c>
      <c r="AG71" s="13">
        <f>BMS!F173</f>
        <v>0</v>
      </c>
      <c r="AH71" s="13">
        <f>BMS!G173</f>
        <v>0</v>
      </c>
      <c r="AI71" s="14">
        <f t="shared" si="3"/>
        <v>0</v>
      </c>
      <c r="AJ71" s="18" t="e">
        <f t="shared" si="4"/>
        <v>#DIV/0!</v>
      </c>
      <c r="AK71" s="18" t="e">
        <f t="shared" si="5"/>
        <v>#DIV/0!</v>
      </c>
      <c r="AL71" s="20"/>
      <c r="AM71" s="42" t="e">
        <f>bdrate($AC71:$AC74,AD71:AD74,$L71:$L74, M71:M74)</f>
        <v>#VALUE!</v>
      </c>
      <c r="AN71" s="47" t="e">
        <f>bdrate($AC71:$AC74,AE71:AE74,$L71:$L74, N71:N74)</f>
        <v>#VALUE!</v>
      </c>
      <c r="AO71" s="48" t="e">
        <f>bdrate($AC71:$AC74,AF71:AF74,$L71:$L74, O71:O74)</f>
        <v>#VALUE!</v>
      </c>
      <c r="AP71" s="42" t="e">
        <f>bdrateOld($AC71:$AC74,AD71:AD74,$L71:$L74, M71:M74)</f>
        <v>#VALUE!</v>
      </c>
      <c r="AQ71" s="47" t="e">
        <f>bdrateOld($AC71:$AC74,AE71:AE74,$L71:$L74, N71:N74)</f>
        <v>#VALUE!</v>
      </c>
      <c r="AR71" s="48" t="e">
        <f>bdrateOld($AC71:$AC74,AF71:AF74,$L71:$L74, O71:O74)</f>
        <v>#VALUE!</v>
      </c>
    </row>
    <row r="72" spans="1:44" x14ac:dyDescent="0.2">
      <c r="A72" s="16"/>
      <c r="B72" s="16"/>
      <c r="C72" s="16">
        <v>27</v>
      </c>
      <c r="D72" s="17">
        <f>TM!B174</f>
        <v>0</v>
      </c>
      <c r="E72" s="18">
        <f>TM!C174</f>
        <v>0</v>
      </c>
      <c r="F72" s="18">
        <f>TM!D174</f>
        <v>0</v>
      </c>
      <c r="G72" s="18">
        <f>TM!E174</f>
        <v>0</v>
      </c>
      <c r="H72" s="18">
        <f>TM!F174</f>
        <v>0</v>
      </c>
      <c r="I72" s="18">
        <f>TM!G174</f>
        <v>0</v>
      </c>
      <c r="J72" s="19">
        <f t="shared" si="12"/>
        <v>0</v>
      </c>
      <c r="K72" s="27"/>
      <c r="L72" s="17">
        <f>Test!B174</f>
        <v>0</v>
      </c>
      <c r="M72" s="18">
        <f>Test!C174</f>
        <v>0</v>
      </c>
      <c r="N72" s="18">
        <f>Test!D174</f>
        <v>0</v>
      </c>
      <c r="O72" s="18">
        <f>Test!E174</f>
        <v>0</v>
      </c>
      <c r="P72" s="18">
        <f>Test!F174</f>
        <v>0</v>
      </c>
      <c r="Q72" s="18">
        <f>Test!G174</f>
        <v>0</v>
      </c>
      <c r="R72" s="19">
        <f t="shared" si="13"/>
        <v>0</v>
      </c>
      <c r="S72" s="18" t="e">
        <f t="shared" si="14"/>
        <v>#DIV/0!</v>
      </c>
      <c r="T72" s="18" t="e">
        <f t="shared" si="14"/>
        <v>#DIV/0!</v>
      </c>
      <c r="U72" s="94"/>
      <c r="V72" s="99"/>
      <c r="W72" s="100"/>
      <c r="X72" s="100"/>
      <c r="Y72" s="43"/>
      <c r="Z72" s="26"/>
      <c r="AA72" s="55"/>
      <c r="AB72" s="20"/>
      <c r="AC72" s="17">
        <f>BMS!B174</f>
        <v>0</v>
      </c>
      <c r="AD72" s="18">
        <f>BMS!C174</f>
        <v>0</v>
      </c>
      <c r="AE72" s="18">
        <f>BMS!D174</f>
        <v>0</v>
      </c>
      <c r="AF72" s="18">
        <f>BMS!E174</f>
        <v>0</v>
      </c>
      <c r="AG72" s="18">
        <f>BMS!F174</f>
        <v>0</v>
      </c>
      <c r="AH72" s="18">
        <f>BMS!G174</f>
        <v>0</v>
      </c>
      <c r="AI72" s="19">
        <f t="shared" si="3"/>
        <v>0</v>
      </c>
      <c r="AJ72" s="18" t="e">
        <f t="shared" si="4"/>
        <v>#DIV/0!</v>
      </c>
      <c r="AK72" s="18" t="e">
        <f t="shared" si="5"/>
        <v>#DIV/0!</v>
      </c>
      <c r="AL72" s="20"/>
      <c r="AM72" s="43"/>
      <c r="AN72" s="26"/>
      <c r="AO72" s="55"/>
      <c r="AP72" s="43"/>
      <c r="AQ72" s="26"/>
      <c r="AR72" s="55"/>
    </row>
    <row r="73" spans="1:44" x14ac:dyDescent="0.2">
      <c r="A73" s="16"/>
      <c r="B73" s="16"/>
      <c r="C73" s="16">
        <v>32</v>
      </c>
      <c r="D73" s="17">
        <f>TM!B175</f>
        <v>0</v>
      </c>
      <c r="E73" s="18">
        <f>TM!C175</f>
        <v>0</v>
      </c>
      <c r="F73" s="18">
        <f>TM!D175</f>
        <v>0</v>
      </c>
      <c r="G73" s="18">
        <f>TM!E175</f>
        <v>0</v>
      </c>
      <c r="H73" s="18">
        <f>TM!F175</f>
        <v>0</v>
      </c>
      <c r="I73" s="18">
        <f>TM!G175</f>
        <v>0</v>
      </c>
      <c r="J73" s="19">
        <f t="shared" si="12"/>
        <v>0</v>
      </c>
      <c r="K73" s="27"/>
      <c r="L73" s="17">
        <f>Test!B175</f>
        <v>0</v>
      </c>
      <c r="M73" s="18">
        <f>Test!C175</f>
        <v>0</v>
      </c>
      <c r="N73" s="18">
        <f>Test!D175</f>
        <v>0</v>
      </c>
      <c r="O73" s="18">
        <f>Test!E175</f>
        <v>0</v>
      </c>
      <c r="P73" s="18">
        <f>Test!F175</f>
        <v>0</v>
      </c>
      <c r="Q73" s="18">
        <f>Test!G175</f>
        <v>0</v>
      </c>
      <c r="R73" s="19">
        <f t="shared" si="13"/>
        <v>0</v>
      </c>
      <c r="S73" s="18" t="e">
        <f t="shared" si="14"/>
        <v>#DIV/0!</v>
      </c>
      <c r="T73" s="18" t="e">
        <f t="shared" si="14"/>
        <v>#DIV/0!</v>
      </c>
      <c r="U73" s="94"/>
      <c r="V73" s="99"/>
      <c r="W73" s="100"/>
      <c r="X73" s="100"/>
      <c r="Y73" s="43"/>
      <c r="Z73" s="26"/>
      <c r="AA73" s="55"/>
      <c r="AB73" s="20"/>
      <c r="AC73" s="17">
        <f>BMS!B175</f>
        <v>0</v>
      </c>
      <c r="AD73" s="18">
        <f>BMS!C175</f>
        <v>0</v>
      </c>
      <c r="AE73" s="18">
        <f>BMS!D175</f>
        <v>0</v>
      </c>
      <c r="AF73" s="18">
        <f>BMS!E175</f>
        <v>0</v>
      </c>
      <c r="AG73" s="18">
        <f>BMS!F175</f>
        <v>0</v>
      </c>
      <c r="AH73" s="18">
        <f>BMS!G175</f>
        <v>0</v>
      </c>
      <c r="AI73" s="19">
        <f t="shared" si="3"/>
        <v>0</v>
      </c>
      <c r="AJ73" s="18" t="e">
        <f t="shared" si="4"/>
        <v>#DIV/0!</v>
      </c>
      <c r="AK73" s="18" t="e">
        <f t="shared" si="5"/>
        <v>#DIV/0!</v>
      </c>
      <c r="AL73" s="20"/>
      <c r="AM73" s="43"/>
      <c r="AN73" s="26"/>
      <c r="AO73" s="55"/>
      <c r="AP73" s="43"/>
      <c r="AQ73" s="26"/>
      <c r="AR73" s="55"/>
    </row>
    <row r="74" spans="1:44" ht="12.75" thickBot="1" x14ac:dyDescent="0.25">
      <c r="A74" s="16"/>
      <c r="B74" s="21"/>
      <c r="C74" s="21">
        <v>37</v>
      </c>
      <c r="D74" s="22">
        <f>TM!B176</f>
        <v>0</v>
      </c>
      <c r="E74" s="23">
        <f>TM!C176</f>
        <v>0</v>
      </c>
      <c r="F74" s="23">
        <f>TM!D176</f>
        <v>0</v>
      </c>
      <c r="G74" s="23">
        <f>TM!E176</f>
        <v>0</v>
      </c>
      <c r="H74" s="23">
        <f>TM!F176</f>
        <v>0</v>
      </c>
      <c r="I74" s="23">
        <f>TM!G176</f>
        <v>0</v>
      </c>
      <c r="J74" s="24">
        <f t="shared" si="12"/>
        <v>0</v>
      </c>
      <c r="K74" s="27"/>
      <c r="L74" s="22">
        <f>Test!B176</f>
        <v>0</v>
      </c>
      <c r="M74" s="23">
        <f>Test!C176</f>
        <v>0</v>
      </c>
      <c r="N74" s="23">
        <f>Test!D176</f>
        <v>0</v>
      </c>
      <c r="O74" s="23">
        <f>Test!E176</f>
        <v>0</v>
      </c>
      <c r="P74" s="23">
        <f>Test!F176</f>
        <v>0</v>
      </c>
      <c r="Q74" s="23">
        <f>Test!G176</f>
        <v>0</v>
      </c>
      <c r="R74" s="24">
        <f t="shared" si="13"/>
        <v>0</v>
      </c>
      <c r="S74" s="18" t="e">
        <f t="shared" si="14"/>
        <v>#DIV/0!</v>
      </c>
      <c r="T74" s="18" t="e">
        <f t="shared" si="14"/>
        <v>#DIV/0!</v>
      </c>
      <c r="U74" s="94"/>
      <c r="V74" s="102"/>
      <c r="W74" s="103"/>
      <c r="X74" s="103"/>
      <c r="Y74" s="44"/>
      <c r="Z74" s="56"/>
      <c r="AA74" s="57"/>
      <c r="AB74" s="20"/>
      <c r="AC74" s="22">
        <f>BMS!B176</f>
        <v>0</v>
      </c>
      <c r="AD74" s="23">
        <f>BMS!C176</f>
        <v>0</v>
      </c>
      <c r="AE74" s="23">
        <f>BMS!D176</f>
        <v>0</v>
      </c>
      <c r="AF74" s="23">
        <f>BMS!E176</f>
        <v>0</v>
      </c>
      <c r="AG74" s="23">
        <f>BMS!F176</f>
        <v>0</v>
      </c>
      <c r="AH74" s="23">
        <f>BMS!G176</f>
        <v>0</v>
      </c>
      <c r="AI74" s="24">
        <f t="shared" si="3"/>
        <v>0</v>
      </c>
      <c r="AJ74" s="18" t="e">
        <f t="shared" si="4"/>
        <v>#DIV/0!</v>
      </c>
      <c r="AK74" s="18" t="e">
        <f t="shared" si="5"/>
        <v>#DIV/0!</v>
      </c>
      <c r="AL74" s="20"/>
      <c r="AM74" s="44"/>
      <c r="AN74" s="56"/>
      <c r="AO74" s="57"/>
      <c r="AP74" s="44"/>
      <c r="AQ74" s="56"/>
      <c r="AR74" s="57"/>
    </row>
    <row r="75" spans="1:44" x14ac:dyDescent="0.2">
      <c r="A75" s="16"/>
      <c r="B75" s="11" t="s">
        <v>57</v>
      </c>
      <c r="C75" s="11">
        <v>22</v>
      </c>
      <c r="D75" s="12">
        <f>TM!B177</f>
        <v>0</v>
      </c>
      <c r="E75" s="13">
        <f>TM!C177</f>
        <v>0</v>
      </c>
      <c r="F75" s="13">
        <f>TM!D177</f>
        <v>0</v>
      </c>
      <c r="G75" s="13">
        <f>TM!E177</f>
        <v>0</v>
      </c>
      <c r="H75" s="13">
        <f>TM!F177</f>
        <v>0</v>
      </c>
      <c r="I75" s="13">
        <f>TM!G177</f>
        <v>0</v>
      </c>
      <c r="J75" s="14">
        <f t="shared" si="12"/>
        <v>0</v>
      </c>
      <c r="K75" s="27"/>
      <c r="L75" s="12">
        <f>Test!B177</f>
        <v>0</v>
      </c>
      <c r="M75" s="13">
        <f>Test!C177</f>
        <v>0</v>
      </c>
      <c r="N75" s="13">
        <f>Test!D177</f>
        <v>0</v>
      </c>
      <c r="O75" s="13">
        <f>Test!E177</f>
        <v>0</v>
      </c>
      <c r="P75" s="13">
        <f>Test!F177</f>
        <v>0</v>
      </c>
      <c r="Q75" s="13">
        <f>Test!G177</f>
        <v>0</v>
      </c>
      <c r="R75" s="14">
        <f t="shared" si="13"/>
        <v>0</v>
      </c>
      <c r="S75" s="18" t="e">
        <f t="shared" si="14"/>
        <v>#DIV/0!</v>
      </c>
      <c r="T75" s="18" t="e">
        <f t="shared" si="14"/>
        <v>#DIV/0!</v>
      </c>
      <c r="U75" s="94"/>
      <c r="V75" s="96" t="e">
        <f>bdrate($D75:$D78,E75:E78,$L75:$L78,M75:M78)</f>
        <v>#VALUE!</v>
      </c>
      <c r="W75" s="97" t="e">
        <f>bdrate($D75:$D78,F75:F78,$L75:$L78,N75:N78)</f>
        <v>#VALUE!</v>
      </c>
      <c r="X75" s="97" t="e">
        <f>bdrate($D75:$D78,G75:G78,$L75:$L78,O75:O78)</f>
        <v>#VALUE!</v>
      </c>
      <c r="Y75" s="45" t="e">
        <f>bdrateOld($D75:$D78,E75:E78,$L75:$L78,M75:M78)</f>
        <v>#VALUE!</v>
      </c>
      <c r="Z75" s="49" t="e">
        <f>bdrateOld($D75:$D78,F75:F78,$L75:$L78,N75:N78)</f>
        <v>#VALUE!</v>
      </c>
      <c r="AA75" s="50" t="e">
        <f>bdrateOld($D75:$D78,G75:G78,$L75:$L78,O75:O78)</f>
        <v>#VALUE!</v>
      </c>
      <c r="AB75" s="20"/>
      <c r="AC75" s="12">
        <f>BMS!B177</f>
        <v>0</v>
      </c>
      <c r="AD75" s="13">
        <f>BMS!C177</f>
        <v>0</v>
      </c>
      <c r="AE75" s="13">
        <f>BMS!D177</f>
        <v>0</v>
      </c>
      <c r="AF75" s="13">
        <f>BMS!E177</f>
        <v>0</v>
      </c>
      <c r="AG75" s="13">
        <f>BMS!F177</f>
        <v>0</v>
      </c>
      <c r="AH75" s="13">
        <f>BMS!G177</f>
        <v>0</v>
      </c>
      <c r="AI75" s="14">
        <f t="shared" si="3"/>
        <v>0</v>
      </c>
      <c r="AJ75" s="18" t="e">
        <f t="shared" si="4"/>
        <v>#DIV/0!</v>
      </c>
      <c r="AK75" s="18" t="e">
        <f t="shared" si="5"/>
        <v>#DIV/0!</v>
      </c>
      <c r="AL75" s="20"/>
      <c r="AM75" s="42" t="e">
        <f>bdrate($AC75:$AC78,AD75:AD78,$L75:$L78, M75:M78)</f>
        <v>#VALUE!</v>
      </c>
      <c r="AN75" s="47" t="e">
        <f>bdrate($AC75:$AC78,AE75:AE78,$L75:$L78, N75:N78)</f>
        <v>#VALUE!</v>
      </c>
      <c r="AO75" s="48" t="e">
        <f>bdrate($AC75:$AC78,AF75:AF78,$L75:$L78, O75:O78)</f>
        <v>#VALUE!</v>
      </c>
      <c r="AP75" s="42" t="e">
        <f>bdrateOld($AC75:$AC78,AD75:AD78,$L75:$L78, M75:M78)</f>
        <v>#VALUE!</v>
      </c>
      <c r="AQ75" s="47" t="e">
        <f>bdrateOld($AC75:$AC78,AE75:AE78,$L75:$L78, N75:N78)</f>
        <v>#VALUE!</v>
      </c>
      <c r="AR75" s="48" t="e">
        <f>bdrateOld($AC75:$AC78,AF75:AF78,$L75:$L78, O75:O78)</f>
        <v>#VALUE!</v>
      </c>
    </row>
    <row r="76" spans="1:44" x14ac:dyDescent="0.2">
      <c r="A76" s="16"/>
      <c r="B76" s="16"/>
      <c r="C76" s="16">
        <v>27</v>
      </c>
      <c r="D76" s="17">
        <f>TM!B178</f>
        <v>0</v>
      </c>
      <c r="E76" s="18">
        <f>TM!C178</f>
        <v>0</v>
      </c>
      <c r="F76" s="18">
        <f>TM!D178</f>
        <v>0</v>
      </c>
      <c r="G76" s="18">
        <f>TM!E178</f>
        <v>0</v>
      </c>
      <c r="H76" s="18">
        <f>TM!F178</f>
        <v>0</v>
      </c>
      <c r="I76" s="18">
        <f>TM!G178</f>
        <v>0</v>
      </c>
      <c r="J76" s="19">
        <f t="shared" si="12"/>
        <v>0</v>
      </c>
      <c r="K76" s="27"/>
      <c r="L76" s="17">
        <f>Test!B178</f>
        <v>0</v>
      </c>
      <c r="M76" s="18">
        <f>Test!C178</f>
        <v>0</v>
      </c>
      <c r="N76" s="18">
        <f>Test!D178</f>
        <v>0</v>
      </c>
      <c r="O76" s="18">
        <f>Test!E178</f>
        <v>0</v>
      </c>
      <c r="P76" s="18">
        <f>Test!F178</f>
        <v>0</v>
      </c>
      <c r="Q76" s="18">
        <f>Test!G178</f>
        <v>0</v>
      </c>
      <c r="R76" s="19">
        <f t="shared" si="13"/>
        <v>0</v>
      </c>
      <c r="S76" s="18" t="e">
        <f t="shared" si="14"/>
        <v>#DIV/0!</v>
      </c>
      <c r="T76" s="18" t="e">
        <f t="shared" si="14"/>
        <v>#DIV/0!</v>
      </c>
      <c r="U76" s="94"/>
      <c r="V76" s="43"/>
      <c r="W76" s="26"/>
      <c r="X76" s="26"/>
      <c r="Y76" s="43"/>
      <c r="Z76" s="26"/>
      <c r="AA76" s="55"/>
      <c r="AB76" s="20"/>
      <c r="AC76" s="17">
        <f>BMS!B178</f>
        <v>0</v>
      </c>
      <c r="AD76" s="18">
        <f>BMS!C178</f>
        <v>0</v>
      </c>
      <c r="AE76" s="18">
        <f>BMS!D178</f>
        <v>0</v>
      </c>
      <c r="AF76" s="18">
        <f>BMS!E178</f>
        <v>0</v>
      </c>
      <c r="AG76" s="18">
        <f>BMS!F178</f>
        <v>0</v>
      </c>
      <c r="AH76" s="18">
        <f>BMS!G178</f>
        <v>0</v>
      </c>
      <c r="AI76" s="19">
        <f t="shared" si="3"/>
        <v>0</v>
      </c>
      <c r="AJ76" s="18" t="e">
        <f t="shared" ref="AJ76:AJ106" si="15">R76/AI76</f>
        <v>#DIV/0!</v>
      </c>
      <c r="AK76" s="18" t="e">
        <f t="shared" ref="AK76:AK106" si="16">Q76/AH76</f>
        <v>#DIV/0!</v>
      </c>
      <c r="AL76" s="20"/>
      <c r="AM76" s="43"/>
      <c r="AN76" s="26"/>
      <c r="AO76" s="55"/>
      <c r="AP76" s="43"/>
      <c r="AQ76" s="26"/>
      <c r="AR76" s="55"/>
    </row>
    <row r="77" spans="1:44" x14ac:dyDescent="0.2">
      <c r="A77" s="16"/>
      <c r="B77" s="16"/>
      <c r="C77" s="16">
        <v>32</v>
      </c>
      <c r="D77" s="17">
        <f>TM!B179</f>
        <v>0</v>
      </c>
      <c r="E77" s="18">
        <f>TM!C179</f>
        <v>0</v>
      </c>
      <c r="F77" s="18">
        <f>TM!D179</f>
        <v>0</v>
      </c>
      <c r="G77" s="18">
        <f>TM!E179</f>
        <v>0</v>
      </c>
      <c r="H77" s="18">
        <f>TM!F179</f>
        <v>0</v>
      </c>
      <c r="I77" s="18">
        <f>TM!G179</f>
        <v>0</v>
      </c>
      <c r="J77" s="19">
        <f t="shared" si="12"/>
        <v>0</v>
      </c>
      <c r="K77" s="27"/>
      <c r="L77" s="17">
        <f>Test!B179</f>
        <v>0</v>
      </c>
      <c r="M77" s="18">
        <f>Test!C179</f>
        <v>0</v>
      </c>
      <c r="N77" s="18">
        <f>Test!D179</f>
        <v>0</v>
      </c>
      <c r="O77" s="18">
        <f>Test!E179</f>
        <v>0</v>
      </c>
      <c r="P77" s="18">
        <f>Test!F179</f>
        <v>0</v>
      </c>
      <c r="Q77" s="18">
        <f>Test!G179</f>
        <v>0</v>
      </c>
      <c r="R77" s="19">
        <f t="shared" si="13"/>
        <v>0</v>
      </c>
      <c r="S77" s="18" t="e">
        <f t="shared" si="14"/>
        <v>#DIV/0!</v>
      </c>
      <c r="T77" s="18" t="e">
        <f t="shared" si="14"/>
        <v>#DIV/0!</v>
      </c>
      <c r="U77" s="94"/>
      <c r="V77" s="43"/>
      <c r="W77" s="26"/>
      <c r="X77" s="26"/>
      <c r="Y77" s="43"/>
      <c r="Z77" s="26"/>
      <c r="AA77" s="55"/>
      <c r="AB77" s="20"/>
      <c r="AC77" s="17">
        <f>BMS!B179</f>
        <v>0</v>
      </c>
      <c r="AD77" s="18">
        <f>BMS!C179</f>
        <v>0</v>
      </c>
      <c r="AE77" s="18">
        <f>BMS!D179</f>
        <v>0</v>
      </c>
      <c r="AF77" s="18">
        <f>BMS!E179</f>
        <v>0</v>
      </c>
      <c r="AG77" s="18">
        <f>BMS!F179</f>
        <v>0</v>
      </c>
      <c r="AH77" s="18">
        <f>BMS!G179</f>
        <v>0</v>
      </c>
      <c r="AI77" s="19">
        <f t="shared" si="3"/>
        <v>0</v>
      </c>
      <c r="AJ77" s="18" t="e">
        <f t="shared" si="15"/>
        <v>#DIV/0!</v>
      </c>
      <c r="AK77" s="18" t="e">
        <f t="shared" si="16"/>
        <v>#DIV/0!</v>
      </c>
      <c r="AL77" s="20"/>
      <c r="AM77" s="43"/>
      <c r="AN77" s="26"/>
      <c r="AO77" s="55"/>
      <c r="AP77" s="43"/>
      <c r="AQ77" s="26"/>
      <c r="AR77" s="55"/>
    </row>
    <row r="78" spans="1:44" ht="12.75" thickBot="1" x14ac:dyDescent="0.25">
      <c r="A78" s="21"/>
      <c r="B78" s="21"/>
      <c r="C78" s="21">
        <v>37</v>
      </c>
      <c r="D78" s="22">
        <f>TM!B180</f>
        <v>0</v>
      </c>
      <c r="E78" s="23">
        <f>TM!C180</f>
        <v>0</v>
      </c>
      <c r="F78" s="23">
        <f>TM!D180</f>
        <v>0</v>
      </c>
      <c r="G78" s="23">
        <f>TM!E180</f>
        <v>0</v>
      </c>
      <c r="H78" s="23">
        <f>TM!F180</f>
        <v>0</v>
      </c>
      <c r="I78" s="23">
        <f>TM!G180</f>
        <v>0</v>
      </c>
      <c r="J78" s="24">
        <f t="shared" si="12"/>
        <v>0</v>
      </c>
      <c r="K78" s="27"/>
      <c r="L78" s="22">
        <f>Test!B180</f>
        <v>0</v>
      </c>
      <c r="M78" s="23">
        <f>Test!C180</f>
        <v>0</v>
      </c>
      <c r="N78" s="23">
        <f>Test!D180</f>
        <v>0</v>
      </c>
      <c r="O78" s="23">
        <f>Test!E180</f>
        <v>0</v>
      </c>
      <c r="P78" s="23">
        <f>Test!F180</f>
        <v>0</v>
      </c>
      <c r="Q78" s="23">
        <f>Test!G180</f>
        <v>0</v>
      </c>
      <c r="R78" s="24">
        <f t="shared" si="13"/>
        <v>0</v>
      </c>
      <c r="S78" s="23" t="e">
        <f t="shared" si="14"/>
        <v>#DIV/0!</v>
      </c>
      <c r="T78" s="23" t="e">
        <f t="shared" si="14"/>
        <v>#DIV/0!</v>
      </c>
      <c r="U78" s="95"/>
      <c r="V78" s="44"/>
      <c r="W78" s="56"/>
      <c r="X78" s="56"/>
      <c r="Y78" s="44"/>
      <c r="Z78" s="56"/>
      <c r="AA78" s="57"/>
      <c r="AB78" s="25"/>
      <c r="AC78" s="22">
        <f>BMS!B180</f>
        <v>0</v>
      </c>
      <c r="AD78" s="23">
        <f>BMS!C180</f>
        <v>0</v>
      </c>
      <c r="AE78" s="23">
        <f>BMS!D180</f>
        <v>0</v>
      </c>
      <c r="AF78" s="23">
        <f>BMS!E180</f>
        <v>0</v>
      </c>
      <c r="AG78" s="23">
        <f>BMS!F180</f>
        <v>0</v>
      </c>
      <c r="AH78" s="23">
        <f>BMS!G180</f>
        <v>0</v>
      </c>
      <c r="AI78" s="24">
        <f t="shared" si="3"/>
        <v>0</v>
      </c>
      <c r="AJ78" s="23" t="e">
        <f t="shared" si="15"/>
        <v>#DIV/0!</v>
      </c>
      <c r="AK78" s="23" t="e">
        <f t="shared" si="16"/>
        <v>#DIV/0!</v>
      </c>
      <c r="AL78" s="25"/>
      <c r="AM78" s="44"/>
      <c r="AN78" s="56"/>
      <c r="AO78" s="57"/>
      <c r="AP78" s="44"/>
      <c r="AQ78" s="56"/>
      <c r="AR78" s="57"/>
    </row>
    <row r="79" spans="1:44" x14ac:dyDescent="0.2">
      <c r="A79" s="11" t="s">
        <v>52</v>
      </c>
      <c r="B79" s="11" t="s">
        <v>61</v>
      </c>
      <c r="C79" s="11">
        <v>22</v>
      </c>
      <c r="D79" s="12"/>
      <c r="E79" s="13"/>
      <c r="F79" s="13"/>
      <c r="G79" s="13"/>
      <c r="H79" s="13"/>
      <c r="I79" s="13"/>
      <c r="J79" s="14"/>
      <c r="L79" s="12"/>
      <c r="M79" s="13"/>
      <c r="N79" s="13"/>
      <c r="O79" s="13"/>
      <c r="P79" s="13"/>
      <c r="Q79" s="13"/>
      <c r="R79" s="14"/>
      <c r="S79" s="13"/>
      <c r="T79" s="13"/>
      <c r="U79" s="59"/>
      <c r="V79" s="84"/>
      <c r="W79" s="85"/>
      <c r="X79" s="86"/>
      <c r="Y79" s="42"/>
      <c r="Z79" s="47"/>
      <c r="AA79" s="48"/>
      <c r="AB79" s="54"/>
      <c r="AC79" s="12"/>
      <c r="AD79" s="13"/>
      <c r="AE79" s="13"/>
      <c r="AF79" s="13"/>
      <c r="AG79" s="13"/>
      <c r="AH79" s="13"/>
      <c r="AI79" s="14"/>
      <c r="AJ79" s="13"/>
      <c r="AK79" s="13"/>
      <c r="AL79" s="54"/>
      <c r="AM79" s="42"/>
      <c r="AN79" s="47"/>
      <c r="AO79" s="48"/>
      <c r="AP79" s="42"/>
      <c r="AQ79" s="47"/>
      <c r="AR79" s="48"/>
    </row>
    <row r="80" spans="1:44" x14ac:dyDescent="0.2">
      <c r="A80" s="16" t="s">
        <v>53</v>
      </c>
      <c r="B80" s="16"/>
      <c r="C80" s="16">
        <v>27</v>
      </c>
      <c r="D80" s="17"/>
      <c r="E80" s="18"/>
      <c r="F80" s="18"/>
      <c r="G80" s="18"/>
      <c r="H80" s="18"/>
      <c r="I80" s="18"/>
      <c r="J80" s="19"/>
      <c r="L80" s="17"/>
      <c r="M80" s="18"/>
      <c r="N80" s="18"/>
      <c r="O80" s="18"/>
      <c r="P80" s="18"/>
      <c r="Q80" s="18"/>
      <c r="R80" s="19"/>
      <c r="S80" s="18"/>
      <c r="T80" s="18"/>
      <c r="U80" s="60"/>
      <c r="V80" s="87"/>
      <c r="W80" s="88"/>
      <c r="X80" s="89"/>
      <c r="Y80" s="43"/>
      <c r="Z80" s="26"/>
      <c r="AA80" s="55"/>
      <c r="AB80" s="20"/>
      <c r="AC80" s="17"/>
      <c r="AD80" s="18"/>
      <c r="AE80" s="18"/>
      <c r="AF80" s="18"/>
      <c r="AG80" s="18"/>
      <c r="AH80" s="18"/>
      <c r="AI80" s="19"/>
      <c r="AJ80" s="18"/>
      <c r="AK80" s="18"/>
      <c r="AL80" s="20"/>
      <c r="AM80" s="43"/>
      <c r="AN80" s="26"/>
      <c r="AO80" s="55"/>
      <c r="AP80" s="43"/>
      <c r="AQ80" s="26"/>
      <c r="AR80" s="55"/>
    </row>
    <row r="81" spans="1:44" x14ac:dyDescent="0.2">
      <c r="A81" s="16"/>
      <c r="B81" s="16"/>
      <c r="C81" s="16">
        <v>32</v>
      </c>
      <c r="D81" s="17"/>
      <c r="E81" s="18"/>
      <c r="F81" s="18"/>
      <c r="G81" s="18"/>
      <c r="H81" s="18"/>
      <c r="I81" s="18"/>
      <c r="J81" s="19"/>
      <c r="L81" s="17"/>
      <c r="M81" s="18"/>
      <c r="N81" s="18"/>
      <c r="O81" s="18"/>
      <c r="P81" s="18"/>
      <c r="Q81" s="18"/>
      <c r="R81" s="19"/>
      <c r="S81" s="18"/>
      <c r="T81" s="18"/>
      <c r="U81" s="60"/>
      <c r="V81" s="87"/>
      <c r="W81" s="88"/>
      <c r="X81" s="89"/>
      <c r="Y81" s="43"/>
      <c r="Z81" s="26"/>
      <c r="AA81" s="55"/>
      <c r="AB81" s="20"/>
      <c r="AC81" s="17"/>
      <c r="AD81" s="18"/>
      <c r="AE81" s="18"/>
      <c r="AF81" s="18"/>
      <c r="AG81" s="18"/>
      <c r="AH81" s="18"/>
      <c r="AI81" s="19"/>
      <c r="AJ81" s="18"/>
      <c r="AK81" s="18"/>
      <c r="AL81" s="20"/>
      <c r="AM81" s="43"/>
      <c r="AN81" s="26"/>
      <c r="AO81" s="55"/>
      <c r="AP81" s="43"/>
      <c r="AQ81" s="26"/>
      <c r="AR81" s="55"/>
    </row>
    <row r="82" spans="1:44" ht="12.75" thickBot="1" x14ac:dyDescent="0.25">
      <c r="A82" s="16"/>
      <c r="B82" s="21"/>
      <c r="C82" s="21">
        <v>37</v>
      </c>
      <c r="D82" s="22"/>
      <c r="E82" s="23"/>
      <c r="F82" s="23"/>
      <c r="G82" s="23"/>
      <c r="H82" s="23"/>
      <c r="I82" s="23"/>
      <c r="J82" s="24"/>
      <c r="L82" s="22"/>
      <c r="M82" s="23"/>
      <c r="N82" s="23"/>
      <c r="O82" s="23"/>
      <c r="P82" s="23"/>
      <c r="Q82" s="23"/>
      <c r="R82" s="24"/>
      <c r="S82" s="18"/>
      <c r="T82" s="18"/>
      <c r="U82" s="60"/>
      <c r="V82" s="90"/>
      <c r="W82" s="91"/>
      <c r="X82" s="92"/>
      <c r="Y82" s="44"/>
      <c r="Z82" s="56"/>
      <c r="AA82" s="57"/>
      <c r="AB82" s="20"/>
      <c r="AC82" s="22"/>
      <c r="AD82" s="23"/>
      <c r="AE82" s="23"/>
      <c r="AF82" s="23"/>
      <c r="AG82" s="23"/>
      <c r="AH82" s="23"/>
      <c r="AI82" s="24"/>
      <c r="AJ82" s="18"/>
      <c r="AK82" s="18"/>
      <c r="AL82" s="20"/>
      <c r="AM82" s="44"/>
      <c r="AN82" s="56"/>
      <c r="AO82" s="57"/>
      <c r="AP82" s="44"/>
      <c r="AQ82" s="56"/>
      <c r="AR82" s="57"/>
    </row>
    <row r="83" spans="1:44" x14ac:dyDescent="0.2">
      <c r="A83" s="16"/>
      <c r="B83" s="11" t="s">
        <v>62</v>
      </c>
      <c r="C83" s="11">
        <v>22</v>
      </c>
      <c r="D83" s="12"/>
      <c r="E83" s="13"/>
      <c r="F83" s="13"/>
      <c r="G83" s="13"/>
      <c r="H83" s="13"/>
      <c r="I83" s="13"/>
      <c r="J83" s="14"/>
      <c r="L83" s="12"/>
      <c r="M83" s="13"/>
      <c r="N83" s="13"/>
      <c r="O83" s="13"/>
      <c r="P83" s="13"/>
      <c r="Q83" s="13"/>
      <c r="R83" s="14"/>
      <c r="S83" s="18"/>
      <c r="T83" s="18"/>
      <c r="U83" s="60"/>
      <c r="V83" s="84"/>
      <c r="W83" s="85"/>
      <c r="X83" s="85"/>
      <c r="Y83" s="45"/>
      <c r="Z83" s="49"/>
      <c r="AA83" s="50"/>
      <c r="AB83" s="20"/>
      <c r="AC83" s="12"/>
      <c r="AD83" s="13"/>
      <c r="AE83" s="13"/>
      <c r="AF83" s="13"/>
      <c r="AG83" s="13"/>
      <c r="AH83" s="13"/>
      <c r="AI83" s="14"/>
      <c r="AJ83" s="18"/>
      <c r="AK83" s="18"/>
      <c r="AL83" s="20"/>
      <c r="AM83" s="42"/>
      <c r="AN83" s="47"/>
      <c r="AO83" s="48"/>
      <c r="AP83" s="42"/>
      <c r="AQ83" s="47"/>
      <c r="AR83" s="48"/>
    </row>
    <row r="84" spans="1:44" x14ac:dyDescent="0.2">
      <c r="A84" s="16"/>
      <c r="B84" s="16"/>
      <c r="C84" s="16">
        <v>27</v>
      </c>
      <c r="D84" s="17"/>
      <c r="E84" s="18"/>
      <c r="F84" s="18"/>
      <c r="G84" s="18"/>
      <c r="H84" s="18"/>
      <c r="I84" s="18"/>
      <c r="J84" s="19"/>
      <c r="L84" s="17"/>
      <c r="M84" s="18"/>
      <c r="N84" s="18"/>
      <c r="O84" s="18"/>
      <c r="P84" s="18"/>
      <c r="Q84" s="18"/>
      <c r="R84" s="19"/>
      <c r="S84" s="18"/>
      <c r="T84" s="18"/>
      <c r="U84" s="60"/>
      <c r="V84" s="87"/>
      <c r="W84" s="88"/>
      <c r="X84" s="88"/>
      <c r="Y84" s="43"/>
      <c r="Z84" s="26"/>
      <c r="AA84" s="55"/>
      <c r="AB84" s="20"/>
      <c r="AC84" s="17"/>
      <c r="AD84" s="18"/>
      <c r="AE84" s="18"/>
      <c r="AF84" s="18"/>
      <c r="AG84" s="18"/>
      <c r="AH84" s="18"/>
      <c r="AI84" s="19"/>
      <c r="AJ84" s="18"/>
      <c r="AK84" s="18"/>
      <c r="AL84" s="20"/>
      <c r="AM84" s="43"/>
      <c r="AN84" s="26"/>
      <c r="AO84" s="55"/>
      <c r="AP84" s="43"/>
      <c r="AQ84" s="26"/>
      <c r="AR84" s="55"/>
    </row>
    <row r="85" spans="1:44" x14ac:dyDescent="0.2">
      <c r="A85" s="16"/>
      <c r="B85" s="16"/>
      <c r="C85" s="16">
        <v>32</v>
      </c>
      <c r="D85" s="17"/>
      <c r="E85" s="18"/>
      <c r="F85" s="18"/>
      <c r="G85" s="18"/>
      <c r="H85" s="18"/>
      <c r="I85" s="18"/>
      <c r="J85" s="19"/>
      <c r="L85" s="17"/>
      <c r="M85" s="18"/>
      <c r="N85" s="18"/>
      <c r="O85" s="18"/>
      <c r="P85" s="18"/>
      <c r="Q85" s="18"/>
      <c r="R85" s="19"/>
      <c r="S85" s="18"/>
      <c r="T85" s="18"/>
      <c r="U85" s="60"/>
      <c r="V85" s="87"/>
      <c r="W85" s="88"/>
      <c r="X85" s="88"/>
      <c r="Y85" s="43"/>
      <c r="Z85" s="26"/>
      <c r="AA85" s="55"/>
      <c r="AB85" s="20"/>
      <c r="AC85" s="17"/>
      <c r="AD85" s="18"/>
      <c r="AE85" s="18"/>
      <c r="AF85" s="18"/>
      <c r="AG85" s="18"/>
      <c r="AH85" s="18"/>
      <c r="AI85" s="19"/>
      <c r="AJ85" s="18"/>
      <c r="AK85" s="18"/>
      <c r="AL85" s="20"/>
      <c r="AM85" s="43"/>
      <c r="AN85" s="26"/>
      <c r="AO85" s="55"/>
      <c r="AP85" s="43"/>
      <c r="AQ85" s="26"/>
      <c r="AR85" s="55"/>
    </row>
    <row r="86" spans="1:44" ht="12.75" thickBot="1" x14ac:dyDescent="0.25">
      <c r="A86" s="16"/>
      <c r="B86" s="21"/>
      <c r="C86" s="21">
        <v>37</v>
      </c>
      <c r="D86" s="22"/>
      <c r="E86" s="23"/>
      <c r="F86" s="23"/>
      <c r="G86" s="23"/>
      <c r="H86" s="23"/>
      <c r="I86" s="23"/>
      <c r="J86" s="24"/>
      <c r="L86" s="22"/>
      <c r="M86" s="23"/>
      <c r="N86" s="23"/>
      <c r="O86" s="23"/>
      <c r="P86" s="23"/>
      <c r="Q86" s="23"/>
      <c r="R86" s="24"/>
      <c r="S86" s="18"/>
      <c r="T86" s="18"/>
      <c r="U86" s="60"/>
      <c r="V86" s="90"/>
      <c r="W86" s="91"/>
      <c r="X86" s="91"/>
      <c r="Y86" s="44"/>
      <c r="Z86" s="56"/>
      <c r="AA86" s="57"/>
      <c r="AB86" s="20"/>
      <c r="AC86" s="22"/>
      <c r="AD86" s="23"/>
      <c r="AE86" s="23"/>
      <c r="AF86" s="23"/>
      <c r="AG86" s="23"/>
      <c r="AH86" s="23"/>
      <c r="AI86" s="24"/>
      <c r="AJ86" s="18"/>
      <c r="AK86" s="18"/>
      <c r="AL86" s="20"/>
      <c r="AM86" s="44"/>
      <c r="AN86" s="56"/>
      <c r="AO86" s="57"/>
      <c r="AP86" s="44"/>
      <c r="AQ86" s="56"/>
      <c r="AR86" s="57"/>
    </row>
    <row r="87" spans="1:44" x14ac:dyDescent="0.2">
      <c r="A87" s="16"/>
      <c r="B87" s="11" t="s">
        <v>63</v>
      </c>
      <c r="C87" s="11">
        <v>22</v>
      </c>
      <c r="D87" s="12"/>
      <c r="E87" s="13"/>
      <c r="F87" s="13"/>
      <c r="G87" s="13"/>
      <c r="H87" s="13"/>
      <c r="I87" s="13"/>
      <c r="J87" s="14"/>
      <c r="L87" s="12"/>
      <c r="M87" s="13"/>
      <c r="N87" s="13"/>
      <c r="O87" s="13"/>
      <c r="P87" s="13"/>
      <c r="Q87" s="13"/>
      <c r="R87" s="14"/>
      <c r="S87" s="18"/>
      <c r="T87" s="18"/>
      <c r="U87" s="60"/>
      <c r="V87" s="84"/>
      <c r="W87" s="85"/>
      <c r="X87" s="85"/>
      <c r="Y87" s="45"/>
      <c r="Z87" s="49"/>
      <c r="AA87" s="50"/>
      <c r="AB87" s="20"/>
      <c r="AC87" s="12"/>
      <c r="AD87" s="13"/>
      <c r="AE87" s="13"/>
      <c r="AF87" s="13"/>
      <c r="AG87" s="13"/>
      <c r="AH87" s="13"/>
      <c r="AI87" s="14"/>
      <c r="AJ87" s="18"/>
      <c r="AK87" s="18"/>
      <c r="AL87" s="20"/>
      <c r="AM87" s="42"/>
      <c r="AN87" s="47"/>
      <c r="AO87" s="48"/>
      <c r="AP87" s="42"/>
      <c r="AQ87" s="47"/>
      <c r="AR87" s="48"/>
    </row>
    <row r="88" spans="1:44" x14ac:dyDescent="0.2">
      <c r="A88" s="16"/>
      <c r="B88" s="16"/>
      <c r="C88" s="16">
        <v>27</v>
      </c>
      <c r="D88" s="17"/>
      <c r="E88" s="18"/>
      <c r="F88" s="18"/>
      <c r="G88" s="18"/>
      <c r="H88" s="18"/>
      <c r="I88" s="18"/>
      <c r="J88" s="19"/>
      <c r="L88" s="17"/>
      <c r="M88" s="18"/>
      <c r="N88" s="18"/>
      <c r="O88" s="18"/>
      <c r="P88" s="18"/>
      <c r="Q88" s="18"/>
      <c r="R88" s="19"/>
      <c r="S88" s="18"/>
      <c r="T88" s="18"/>
      <c r="U88" s="60"/>
      <c r="V88" s="87"/>
      <c r="W88" s="88"/>
      <c r="X88" s="88"/>
      <c r="Y88" s="43"/>
      <c r="Z88" s="26"/>
      <c r="AA88" s="55"/>
      <c r="AB88" s="20"/>
      <c r="AC88" s="17"/>
      <c r="AD88" s="18"/>
      <c r="AE88" s="18"/>
      <c r="AF88" s="18"/>
      <c r="AG88" s="18"/>
      <c r="AH88" s="18"/>
      <c r="AI88" s="19"/>
      <c r="AJ88" s="18"/>
      <c r="AK88" s="18"/>
      <c r="AL88" s="20"/>
      <c r="AM88" s="43"/>
      <c r="AN88" s="26"/>
      <c r="AO88" s="55"/>
      <c r="AP88" s="43"/>
      <c r="AQ88" s="26"/>
      <c r="AR88" s="55"/>
    </row>
    <row r="89" spans="1:44" x14ac:dyDescent="0.2">
      <c r="A89" s="16"/>
      <c r="B89" s="16"/>
      <c r="C89" s="16">
        <v>32</v>
      </c>
      <c r="D89" s="17"/>
      <c r="E89" s="18"/>
      <c r="F89" s="18"/>
      <c r="G89" s="18"/>
      <c r="H89" s="18"/>
      <c r="I89" s="18"/>
      <c r="J89" s="19"/>
      <c r="L89" s="17"/>
      <c r="M89" s="18"/>
      <c r="N89" s="18"/>
      <c r="O89" s="18"/>
      <c r="P89" s="18"/>
      <c r="Q89" s="18"/>
      <c r="R89" s="19"/>
      <c r="S89" s="18"/>
      <c r="T89" s="18"/>
      <c r="U89" s="60"/>
      <c r="V89" s="87"/>
      <c r="W89" s="88"/>
      <c r="X89" s="88"/>
      <c r="Y89" s="43"/>
      <c r="Z89" s="26"/>
      <c r="AA89" s="55"/>
      <c r="AB89" s="20"/>
      <c r="AC89" s="17"/>
      <c r="AD89" s="18"/>
      <c r="AE89" s="18"/>
      <c r="AF89" s="18"/>
      <c r="AG89" s="18"/>
      <c r="AH89" s="18"/>
      <c r="AI89" s="19"/>
      <c r="AJ89" s="18"/>
      <c r="AK89" s="18"/>
      <c r="AL89" s="20"/>
      <c r="AM89" s="43"/>
      <c r="AN89" s="26"/>
      <c r="AO89" s="55"/>
      <c r="AP89" s="43"/>
      <c r="AQ89" s="26"/>
      <c r="AR89" s="55"/>
    </row>
    <row r="90" spans="1:44" ht="12.75" thickBot="1" x14ac:dyDescent="0.25">
      <c r="A90" s="21"/>
      <c r="B90" s="21"/>
      <c r="C90" s="21">
        <v>37</v>
      </c>
      <c r="D90" s="22"/>
      <c r="E90" s="23"/>
      <c r="F90" s="23"/>
      <c r="G90" s="23"/>
      <c r="H90" s="23"/>
      <c r="I90" s="23"/>
      <c r="J90" s="24"/>
      <c r="L90" s="22"/>
      <c r="M90" s="23"/>
      <c r="N90" s="23"/>
      <c r="O90" s="23"/>
      <c r="P90" s="23"/>
      <c r="Q90" s="23"/>
      <c r="R90" s="24"/>
      <c r="S90" s="18"/>
      <c r="T90" s="18"/>
      <c r="U90" s="60"/>
      <c r="V90" s="90"/>
      <c r="W90" s="91"/>
      <c r="X90" s="91"/>
      <c r="Y90" s="44"/>
      <c r="Z90" s="56"/>
      <c r="AA90" s="57"/>
      <c r="AB90" s="20"/>
      <c r="AC90" s="22"/>
      <c r="AD90" s="23"/>
      <c r="AE90" s="23"/>
      <c r="AF90" s="23"/>
      <c r="AG90" s="23"/>
      <c r="AH90" s="23"/>
      <c r="AI90" s="24"/>
      <c r="AJ90" s="18"/>
      <c r="AK90" s="18"/>
      <c r="AL90" s="20"/>
      <c r="AM90" s="44"/>
      <c r="AN90" s="56"/>
      <c r="AO90" s="57"/>
      <c r="AP90" s="44"/>
      <c r="AQ90" s="56"/>
      <c r="AR90" s="57"/>
    </row>
    <row r="91" spans="1:44" x14ac:dyDescent="0.2">
      <c r="A91" s="35" t="s">
        <v>54</v>
      </c>
      <c r="B91" s="35" t="s">
        <v>64</v>
      </c>
      <c r="C91" s="35">
        <v>22</v>
      </c>
      <c r="D91" s="12">
        <f>TM!B193</f>
        <v>0</v>
      </c>
      <c r="E91" s="13">
        <f>TM!C193</f>
        <v>0</v>
      </c>
      <c r="F91" s="13">
        <f>TM!D193</f>
        <v>0</v>
      </c>
      <c r="G91" s="13">
        <f>TM!E193</f>
        <v>0</v>
      </c>
      <c r="H91" s="13">
        <f>TM!F193</f>
        <v>0</v>
      </c>
      <c r="I91" s="13">
        <f>TM!G193</f>
        <v>0</v>
      </c>
      <c r="J91" s="14">
        <f t="shared" si="12"/>
        <v>0</v>
      </c>
      <c r="L91" s="12">
        <f>Test!B193</f>
        <v>0</v>
      </c>
      <c r="M91" s="13">
        <f>Test!C193</f>
        <v>0</v>
      </c>
      <c r="N91" s="13">
        <f>Test!D193</f>
        <v>0</v>
      </c>
      <c r="O91" s="13">
        <f>Test!E193</f>
        <v>0</v>
      </c>
      <c r="P91" s="13">
        <f>Test!F193</f>
        <v>0</v>
      </c>
      <c r="Q91" s="13">
        <f>Test!G193</f>
        <v>0</v>
      </c>
      <c r="R91" s="14">
        <f t="shared" si="13"/>
        <v>0</v>
      </c>
      <c r="S91" s="13" t="e">
        <f t="shared" ref="S91:T106" si="17">P91/H91</f>
        <v>#DIV/0!</v>
      </c>
      <c r="T91" s="13" t="e">
        <f t="shared" si="17"/>
        <v>#DIV/0!</v>
      </c>
      <c r="U91" s="59"/>
      <c r="V91" s="42" t="e">
        <f>bdrate($D91:$D94,E91:E94,$L91:$L94,M91:M94)</f>
        <v>#VALUE!</v>
      </c>
      <c r="W91" s="47" t="e">
        <f>bdrate($D91:$D94,F91:F94,$L91:$L94,N91:N94)</f>
        <v>#VALUE!</v>
      </c>
      <c r="X91" s="48" t="e">
        <f>bdrate($D91:$D94,G91:G94,$L91:$L94,O91:O94)</f>
        <v>#VALUE!</v>
      </c>
      <c r="Y91" s="42" t="e">
        <f>bdrateOld($D91:$D94,E91:E94,$L91:$L94,M91:M94)</f>
        <v>#VALUE!</v>
      </c>
      <c r="Z91" s="47" t="e">
        <f>bdrateOld($D91:$D94,F91:F94,$L91:$L94,N91:N94)</f>
        <v>#VALUE!</v>
      </c>
      <c r="AA91" s="48" t="e">
        <f>bdrateOld($D91:$D94,G91:G94,$L91:$L94,O91:O94)</f>
        <v>#VALUE!</v>
      </c>
      <c r="AB91" s="54"/>
      <c r="AC91" s="12">
        <f>BMS!B193</f>
        <v>0</v>
      </c>
      <c r="AD91" s="13">
        <f>BMS!C193</f>
        <v>0</v>
      </c>
      <c r="AE91" s="13">
        <f>BMS!D193</f>
        <v>0</v>
      </c>
      <c r="AF91" s="13">
        <f>BMS!E193</f>
        <v>0</v>
      </c>
      <c r="AG91" s="13">
        <f>BMS!F193</f>
        <v>0</v>
      </c>
      <c r="AH91" s="13">
        <f>BMS!G193</f>
        <v>0</v>
      </c>
      <c r="AI91" s="14">
        <f t="shared" ref="AI91:AI106" si="18">AG91/3600</f>
        <v>0</v>
      </c>
      <c r="AJ91" s="13" t="e">
        <f t="shared" si="15"/>
        <v>#DIV/0!</v>
      </c>
      <c r="AK91" s="13" t="e">
        <f t="shared" si="16"/>
        <v>#DIV/0!</v>
      </c>
      <c r="AL91" s="54"/>
      <c r="AM91" s="42" t="e">
        <f>bdrate($AC91:$AC94,AD91:AD94,$L91:$L94, M91:M94)</f>
        <v>#VALUE!</v>
      </c>
      <c r="AN91" s="47" t="e">
        <f>bdrate($AC91:$AC94,AE91:AE94,$L91:$L94, N91:N94)</f>
        <v>#VALUE!</v>
      </c>
      <c r="AO91" s="48" t="e">
        <f>bdrate($AC91:$AC94,AF91:AF94,$L91:$L94, O91:O94)</f>
        <v>#VALUE!</v>
      </c>
      <c r="AP91" s="42" t="e">
        <f>bdrateOld($AC91:$AC94,AD91:AD94,$L91:$L94, M91:M94)</f>
        <v>#VALUE!</v>
      </c>
      <c r="AQ91" s="47" t="e">
        <f>bdrateOld($AC91:$AC94,AE91:AE94,$L91:$L94, N91:N94)</f>
        <v>#VALUE!</v>
      </c>
      <c r="AR91" s="48" t="e">
        <f>bdrateOld($AC91:$AC94,AF91:AF94,$L91:$L94, O91:O94)</f>
        <v>#VALUE!</v>
      </c>
    </row>
    <row r="92" spans="1:44" x14ac:dyDescent="0.2">
      <c r="A92" s="36"/>
      <c r="B92" s="36"/>
      <c r="C92" s="36">
        <v>27</v>
      </c>
      <c r="D92" s="17">
        <f>TM!B194</f>
        <v>0</v>
      </c>
      <c r="E92" s="18">
        <f>TM!C194</f>
        <v>0</v>
      </c>
      <c r="F92" s="18">
        <f>TM!D194</f>
        <v>0</v>
      </c>
      <c r="G92" s="18">
        <f>TM!E194</f>
        <v>0</v>
      </c>
      <c r="H92" s="18">
        <f>TM!F194</f>
        <v>0</v>
      </c>
      <c r="I92" s="18">
        <f>TM!G194</f>
        <v>0</v>
      </c>
      <c r="J92" s="19">
        <f t="shared" si="12"/>
        <v>0</v>
      </c>
      <c r="L92" s="17">
        <f>Test!B194</f>
        <v>0</v>
      </c>
      <c r="M92" s="18">
        <f>Test!C194</f>
        <v>0</v>
      </c>
      <c r="N92" s="18">
        <f>Test!D194</f>
        <v>0</v>
      </c>
      <c r="O92" s="18">
        <f>Test!E194</f>
        <v>0</v>
      </c>
      <c r="P92" s="18">
        <f>Test!F194</f>
        <v>0</v>
      </c>
      <c r="Q92" s="18">
        <f>Test!G194</f>
        <v>0</v>
      </c>
      <c r="R92" s="19">
        <f t="shared" si="13"/>
        <v>0</v>
      </c>
      <c r="S92" s="18" t="e">
        <f t="shared" si="17"/>
        <v>#DIV/0!</v>
      </c>
      <c r="T92" s="18" t="e">
        <f t="shared" si="17"/>
        <v>#DIV/0!</v>
      </c>
      <c r="U92" s="60"/>
      <c r="V92" s="43"/>
      <c r="W92" s="26"/>
      <c r="X92" s="55"/>
      <c r="Y92" s="43"/>
      <c r="Z92" s="26"/>
      <c r="AA92" s="55"/>
      <c r="AB92" s="20"/>
      <c r="AC92" s="17">
        <f>BMS!B194</f>
        <v>0</v>
      </c>
      <c r="AD92" s="18">
        <f>BMS!C194</f>
        <v>0</v>
      </c>
      <c r="AE92" s="18">
        <f>BMS!D194</f>
        <v>0</v>
      </c>
      <c r="AF92" s="18">
        <f>BMS!E194</f>
        <v>0</v>
      </c>
      <c r="AG92" s="18">
        <f>BMS!F194</f>
        <v>0</v>
      </c>
      <c r="AH92" s="18">
        <f>BMS!G194</f>
        <v>0</v>
      </c>
      <c r="AI92" s="19">
        <f t="shared" si="18"/>
        <v>0</v>
      </c>
      <c r="AJ92" s="18" t="e">
        <f t="shared" si="15"/>
        <v>#DIV/0!</v>
      </c>
      <c r="AK92" s="18" t="e">
        <f t="shared" si="16"/>
        <v>#DIV/0!</v>
      </c>
      <c r="AL92" s="20"/>
      <c r="AM92" s="43"/>
      <c r="AN92" s="26"/>
      <c r="AO92" s="55"/>
      <c r="AP92" s="43"/>
      <c r="AQ92" s="26"/>
      <c r="AR92" s="55"/>
    </row>
    <row r="93" spans="1:44" x14ac:dyDescent="0.2">
      <c r="A93" s="36"/>
      <c r="B93" s="36"/>
      <c r="C93" s="36">
        <v>32</v>
      </c>
      <c r="D93" s="17">
        <f>TM!B195</f>
        <v>0</v>
      </c>
      <c r="E93" s="18">
        <f>TM!C195</f>
        <v>0</v>
      </c>
      <c r="F93" s="18">
        <f>TM!D195</f>
        <v>0</v>
      </c>
      <c r="G93" s="18">
        <f>TM!E195</f>
        <v>0</v>
      </c>
      <c r="H93" s="18">
        <f>TM!F195</f>
        <v>0</v>
      </c>
      <c r="I93" s="18">
        <f>TM!G195</f>
        <v>0</v>
      </c>
      <c r="J93" s="19">
        <f t="shared" si="12"/>
        <v>0</v>
      </c>
      <c r="L93" s="17">
        <f>Test!B195</f>
        <v>0</v>
      </c>
      <c r="M93" s="18">
        <f>Test!C195</f>
        <v>0</v>
      </c>
      <c r="N93" s="18">
        <f>Test!D195</f>
        <v>0</v>
      </c>
      <c r="O93" s="18">
        <f>Test!E195</f>
        <v>0</v>
      </c>
      <c r="P93" s="18">
        <f>Test!F195</f>
        <v>0</v>
      </c>
      <c r="Q93" s="18">
        <f>Test!G195</f>
        <v>0</v>
      </c>
      <c r="R93" s="19">
        <f t="shared" si="13"/>
        <v>0</v>
      </c>
      <c r="S93" s="18" t="e">
        <f t="shared" si="17"/>
        <v>#DIV/0!</v>
      </c>
      <c r="T93" s="18" t="e">
        <f t="shared" si="17"/>
        <v>#DIV/0!</v>
      </c>
      <c r="U93" s="60"/>
      <c r="V93" s="43"/>
      <c r="W93" s="26"/>
      <c r="X93" s="55"/>
      <c r="Y93" s="43"/>
      <c r="Z93" s="26"/>
      <c r="AA93" s="55"/>
      <c r="AB93" s="20"/>
      <c r="AC93" s="17">
        <f>BMS!B195</f>
        <v>0</v>
      </c>
      <c r="AD93" s="18">
        <f>BMS!C195</f>
        <v>0</v>
      </c>
      <c r="AE93" s="18">
        <f>BMS!D195</f>
        <v>0</v>
      </c>
      <c r="AF93" s="18">
        <f>BMS!E195</f>
        <v>0</v>
      </c>
      <c r="AG93" s="18">
        <f>BMS!F195</f>
        <v>0</v>
      </c>
      <c r="AH93" s="18">
        <f>BMS!G195</f>
        <v>0</v>
      </c>
      <c r="AI93" s="19">
        <f t="shared" si="18"/>
        <v>0</v>
      </c>
      <c r="AJ93" s="18" t="e">
        <f t="shared" si="15"/>
        <v>#DIV/0!</v>
      </c>
      <c r="AK93" s="18" t="e">
        <f t="shared" si="16"/>
        <v>#DIV/0!</v>
      </c>
      <c r="AL93" s="20"/>
      <c r="AM93" s="43"/>
      <c r="AN93" s="26"/>
      <c r="AO93" s="55"/>
      <c r="AP93" s="43"/>
      <c r="AQ93" s="26"/>
      <c r="AR93" s="55"/>
    </row>
    <row r="94" spans="1:44" ht="12.75" thickBot="1" x14ac:dyDescent="0.25">
      <c r="A94" s="36"/>
      <c r="B94" s="37"/>
      <c r="C94" s="37">
        <v>37</v>
      </c>
      <c r="D94" s="22">
        <f>TM!B196</f>
        <v>0</v>
      </c>
      <c r="E94" s="23">
        <f>TM!C196</f>
        <v>0</v>
      </c>
      <c r="F94" s="23">
        <f>TM!D196</f>
        <v>0</v>
      </c>
      <c r="G94" s="23">
        <f>TM!E196</f>
        <v>0</v>
      </c>
      <c r="H94" s="23">
        <f>TM!F196</f>
        <v>0</v>
      </c>
      <c r="I94" s="23">
        <f>TM!G196</f>
        <v>0</v>
      </c>
      <c r="J94" s="24">
        <f t="shared" si="12"/>
        <v>0</v>
      </c>
      <c r="L94" s="22">
        <f>Test!B196</f>
        <v>0</v>
      </c>
      <c r="M94" s="23">
        <f>Test!C196</f>
        <v>0</v>
      </c>
      <c r="N94" s="23">
        <f>Test!D196</f>
        <v>0</v>
      </c>
      <c r="O94" s="23">
        <f>Test!E196</f>
        <v>0</v>
      </c>
      <c r="P94" s="23">
        <f>Test!F196</f>
        <v>0</v>
      </c>
      <c r="Q94" s="23">
        <f>Test!G196</f>
        <v>0</v>
      </c>
      <c r="R94" s="24">
        <f t="shared" si="13"/>
        <v>0</v>
      </c>
      <c r="S94" s="18" t="e">
        <f t="shared" si="17"/>
        <v>#DIV/0!</v>
      </c>
      <c r="T94" s="18" t="e">
        <f t="shared" si="17"/>
        <v>#DIV/0!</v>
      </c>
      <c r="U94" s="60"/>
      <c r="V94" s="44"/>
      <c r="W94" s="56"/>
      <c r="X94" s="57"/>
      <c r="Y94" s="44"/>
      <c r="Z94" s="56"/>
      <c r="AA94" s="57"/>
      <c r="AB94" s="20"/>
      <c r="AC94" s="22">
        <f>BMS!B196</f>
        <v>0</v>
      </c>
      <c r="AD94" s="23">
        <f>BMS!C196</f>
        <v>0</v>
      </c>
      <c r="AE94" s="23">
        <f>BMS!D196</f>
        <v>0</v>
      </c>
      <c r="AF94" s="23">
        <f>BMS!E196</f>
        <v>0</v>
      </c>
      <c r="AG94" s="23">
        <f>BMS!F196</f>
        <v>0</v>
      </c>
      <c r="AH94" s="23">
        <f>BMS!G196</f>
        <v>0</v>
      </c>
      <c r="AI94" s="24">
        <f t="shared" si="18"/>
        <v>0</v>
      </c>
      <c r="AJ94" s="18" t="e">
        <f t="shared" si="15"/>
        <v>#DIV/0!</v>
      </c>
      <c r="AK94" s="18" t="e">
        <f t="shared" si="16"/>
        <v>#DIV/0!</v>
      </c>
      <c r="AL94" s="20"/>
      <c r="AM94" s="44"/>
      <c r="AN94" s="56"/>
      <c r="AO94" s="57"/>
      <c r="AP94" s="44"/>
      <c r="AQ94" s="56"/>
      <c r="AR94" s="57"/>
    </row>
    <row r="95" spans="1:44" x14ac:dyDescent="0.2">
      <c r="A95" s="36"/>
      <c r="B95" s="35" t="s">
        <v>65</v>
      </c>
      <c r="C95" s="35">
        <v>22</v>
      </c>
      <c r="D95" s="12">
        <f>TM!B197</f>
        <v>0</v>
      </c>
      <c r="E95" s="13">
        <f>TM!C197</f>
        <v>0</v>
      </c>
      <c r="F95" s="13">
        <f>TM!D197</f>
        <v>0</v>
      </c>
      <c r="G95" s="13">
        <f>TM!E197</f>
        <v>0</v>
      </c>
      <c r="H95" s="13">
        <f>TM!F197</f>
        <v>0</v>
      </c>
      <c r="I95" s="13">
        <f>TM!G197</f>
        <v>0</v>
      </c>
      <c r="J95" s="14">
        <f t="shared" si="12"/>
        <v>0</v>
      </c>
      <c r="L95" s="12">
        <f>Test!B197</f>
        <v>0</v>
      </c>
      <c r="M95" s="13">
        <f>Test!C197</f>
        <v>0</v>
      </c>
      <c r="N95" s="13">
        <f>Test!D197</f>
        <v>0</v>
      </c>
      <c r="O95" s="13">
        <f>Test!E197</f>
        <v>0</v>
      </c>
      <c r="P95" s="13">
        <f>Test!F197</f>
        <v>0</v>
      </c>
      <c r="Q95" s="13">
        <f>Test!G197</f>
        <v>0</v>
      </c>
      <c r="R95" s="14">
        <f t="shared" si="13"/>
        <v>0</v>
      </c>
      <c r="S95" s="18" t="e">
        <f t="shared" si="17"/>
        <v>#DIV/0!</v>
      </c>
      <c r="T95" s="18" t="e">
        <f t="shared" si="17"/>
        <v>#DIV/0!</v>
      </c>
      <c r="U95" s="60"/>
      <c r="V95" s="42" t="e">
        <f>bdrate($D95:$D98,E95:E98,$L95:$L98,M95:M98)</f>
        <v>#VALUE!</v>
      </c>
      <c r="W95" s="47" t="e">
        <f>bdrate($D95:$D98,F95:F98,$L95:$L98,N95:N98)</f>
        <v>#VALUE!</v>
      </c>
      <c r="X95" s="47" t="e">
        <f>bdrate($D95:$D98,G95:G98,$L95:$L98,O95:O98)</f>
        <v>#VALUE!</v>
      </c>
      <c r="Y95" s="45" t="e">
        <f>bdrateOld($D95:$D98,E95:E98,$L95:$L98,M95:M98)</f>
        <v>#VALUE!</v>
      </c>
      <c r="Z95" s="49" t="e">
        <f>bdrateOld($D95:$D98,F95:F98,$L95:$L98,N95:N98)</f>
        <v>#VALUE!</v>
      </c>
      <c r="AA95" s="50" t="e">
        <f>bdrateOld($D95:$D98,G95:G98,$L95:$L98,O95:O98)</f>
        <v>#VALUE!</v>
      </c>
      <c r="AB95" s="20"/>
      <c r="AC95" s="12">
        <f>BMS!B197</f>
        <v>0</v>
      </c>
      <c r="AD95" s="13">
        <f>BMS!C197</f>
        <v>0</v>
      </c>
      <c r="AE95" s="13">
        <f>BMS!D197</f>
        <v>0</v>
      </c>
      <c r="AF95" s="13">
        <f>BMS!E197</f>
        <v>0</v>
      </c>
      <c r="AG95" s="13">
        <f>BMS!F197</f>
        <v>0</v>
      </c>
      <c r="AH95" s="13">
        <f>BMS!G197</f>
        <v>0</v>
      </c>
      <c r="AI95" s="14">
        <f t="shared" si="18"/>
        <v>0</v>
      </c>
      <c r="AJ95" s="18" t="e">
        <f t="shared" si="15"/>
        <v>#DIV/0!</v>
      </c>
      <c r="AK95" s="18" t="e">
        <f t="shared" si="16"/>
        <v>#DIV/0!</v>
      </c>
      <c r="AL95" s="20"/>
      <c r="AM95" s="42" t="e">
        <f>bdrate($AC95:$AC98,AD95:AD98,$L95:$L98, M95:M98)</f>
        <v>#VALUE!</v>
      </c>
      <c r="AN95" s="47" t="e">
        <f>bdrate($AC95:$AC98,AE95:AE98,$L95:$L98, N95:N98)</f>
        <v>#VALUE!</v>
      </c>
      <c r="AO95" s="48" t="e">
        <f>bdrate($AC95:$AC98,AF95:AF98,$L95:$L98, O95:O98)</f>
        <v>#VALUE!</v>
      </c>
      <c r="AP95" s="42" t="e">
        <f>bdrateOld($AC95:$AC98,AD95:AD98,$L95:$L98, M95:M98)</f>
        <v>#VALUE!</v>
      </c>
      <c r="AQ95" s="47" t="e">
        <f>bdrateOld($AC95:$AC98,AE95:AE98,$L95:$L98, N95:N98)</f>
        <v>#VALUE!</v>
      </c>
      <c r="AR95" s="48" t="e">
        <f>bdrateOld($AC95:$AC98,AF95:AF98,$L95:$L98, O95:O98)</f>
        <v>#VALUE!</v>
      </c>
    </row>
    <row r="96" spans="1:44" x14ac:dyDescent="0.2">
      <c r="A96" s="36"/>
      <c r="B96" s="36"/>
      <c r="C96" s="36">
        <v>27</v>
      </c>
      <c r="D96" s="17">
        <f>TM!B198</f>
        <v>0</v>
      </c>
      <c r="E96" s="18">
        <f>TM!C198</f>
        <v>0</v>
      </c>
      <c r="F96" s="18">
        <f>TM!D198</f>
        <v>0</v>
      </c>
      <c r="G96" s="18">
        <f>TM!E198</f>
        <v>0</v>
      </c>
      <c r="H96" s="18">
        <f>TM!F198</f>
        <v>0</v>
      </c>
      <c r="I96" s="18">
        <f>TM!G198</f>
        <v>0</v>
      </c>
      <c r="J96" s="19">
        <f t="shared" si="12"/>
        <v>0</v>
      </c>
      <c r="L96" s="17">
        <f>Test!B198</f>
        <v>0</v>
      </c>
      <c r="M96" s="18">
        <f>Test!C198</f>
        <v>0</v>
      </c>
      <c r="N96" s="18">
        <f>Test!D198</f>
        <v>0</v>
      </c>
      <c r="O96" s="18">
        <f>Test!E198</f>
        <v>0</v>
      </c>
      <c r="P96" s="18">
        <f>Test!F198</f>
        <v>0</v>
      </c>
      <c r="Q96" s="18">
        <f>Test!G198</f>
        <v>0</v>
      </c>
      <c r="R96" s="19">
        <f t="shared" si="13"/>
        <v>0</v>
      </c>
      <c r="S96" s="18" t="e">
        <f t="shared" si="17"/>
        <v>#DIV/0!</v>
      </c>
      <c r="T96" s="18" t="e">
        <f t="shared" si="17"/>
        <v>#DIV/0!</v>
      </c>
      <c r="U96" s="60"/>
      <c r="V96" s="43"/>
      <c r="W96" s="26"/>
      <c r="X96" s="26"/>
      <c r="Y96" s="43"/>
      <c r="Z96" s="26"/>
      <c r="AA96" s="55"/>
      <c r="AB96" s="20"/>
      <c r="AC96" s="17">
        <f>BMS!B198</f>
        <v>0</v>
      </c>
      <c r="AD96" s="18">
        <f>BMS!C198</f>
        <v>0</v>
      </c>
      <c r="AE96" s="18">
        <f>BMS!D198</f>
        <v>0</v>
      </c>
      <c r="AF96" s="18">
        <f>BMS!E198</f>
        <v>0</v>
      </c>
      <c r="AG96" s="18">
        <f>BMS!F198</f>
        <v>0</v>
      </c>
      <c r="AH96" s="18">
        <f>BMS!G198</f>
        <v>0</v>
      </c>
      <c r="AI96" s="19">
        <f t="shared" si="18"/>
        <v>0</v>
      </c>
      <c r="AJ96" s="18" t="e">
        <f t="shared" si="15"/>
        <v>#DIV/0!</v>
      </c>
      <c r="AK96" s="18" t="e">
        <f t="shared" si="16"/>
        <v>#DIV/0!</v>
      </c>
      <c r="AL96" s="20"/>
      <c r="AM96" s="43"/>
      <c r="AN96" s="26"/>
      <c r="AO96" s="55"/>
      <c r="AP96" s="43"/>
      <c r="AQ96" s="26"/>
      <c r="AR96" s="55"/>
    </row>
    <row r="97" spans="1:44" x14ac:dyDescent="0.2">
      <c r="A97" s="36"/>
      <c r="B97" s="36"/>
      <c r="C97" s="36">
        <v>32</v>
      </c>
      <c r="D97" s="17">
        <f>TM!B199</f>
        <v>0</v>
      </c>
      <c r="E97" s="18">
        <f>TM!C199</f>
        <v>0</v>
      </c>
      <c r="F97" s="18">
        <f>TM!D199</f>
        <v>0</v>
      </c>
      <c r="G97" s="18">
        <f>TM!E199</f>
        <v>0</v>
      </c>
      <c r="H97" s="18">
        <f>TM!F199</f>
        <v>0</v>
      </c>
      <c r="I97" s="18">
        <f>TM!G199</f>
        <v>0</v>
      </c>
      <c r="J97" s="19">
        <f t="shared" si="12"/>
        <v>0</v>
      </c>
      <c r="L97" s="17">
        <f>Test!B199</f>
        <v>0</v>
      </c>
      <c r="M97" s="18">
        <f>Test!C199</f>
        <v>0</v>
      </c>
      <c r="N97" s="18">
        <f>Test!D199</f>
        <v>0</v>
      </c>
      <c r="O97" s="18">
        <f>Test!E199</f>
        <v>0</v>
      </c>
      <c r="P97" s="18">
        <f>Test!F199</f>
        <v>0</v>
      </c>
      <c r="Q97" s="18">
        <f>Test!G199</f>
        <v>0</v>
      </c>
      <c r="R97" s="19">
        <f t="shared" si="13"/>
        <v>0</v>
      </c>
      <c r="S97" s="18" t="e">
        <f t="shared" si="17"/>
        <v>#DIV/0!</v>
      </c>
      <c r="T97" s="18" t="e">
        <f t="shared" si="17"/>
        <v>#DIV/0!</v>
      </c>
      <c r="U97" s="60"/>
      <c r="V97" s="43"/>
      <c r="W97" s="26"/>
      <c r="X97" s="26"/>
      <c r="Y97" s="43"/>
      <c r="Z97" s="26"/>
      <c r="AA97" s="55"/>
      <c r="AB97" s="20"/>
      <c r="AC97" s="17">
        <f>BMS!B199</f>
        <v>0</v>
      </c>
      <c r="AD97" s="18">
        <f>BMS!C199</f>
        <v>0</v>
      </c>
      <c r="AE97" s="18">
        <f>BMS!D199</f>
        <v>0</v>
      </c>
      <c r="AF97" s="18">
        <f>BMS!E199</f>
        <v>0</v>
      </c>
      <c r="AG97" s="18">
        <f>BMS!F199</f>
        <v>0</v>
      </c>
      <c r="AH97" s="18">
        <f>BMS!G199</f>
        <v>0</v>
      </c>
      <c r="AI97" s="19">
        <f t="shared" si="18"/>
        <v>0</v>
      </c>
      <c r="AJ97" s="18" t="e">
        <f t="shared" si="15"/>
        <v>#DIV/0!</v>
      </c>
      <c r="AK97" s="18" t="e">
        <f t="shared" si="16"/>
        <v>#DIV/0!</v>
      </c>
      <c r="AL97" s="20"/>
      <c r="AM97" s="43"/>
      <c r="AN97" s="26"/>
      <c r="AO97" s="55"/>
      <c r="AP97" s="43"/>
      <c r="AQ97" s="26"/>
      <c r="AR97" s="55"/>
    </row>
    <row r="98" spans="1:44" ht="12.75" thickBot="1" x14ac:dyDescent="0.25">
      <c r="A98" s="36"/>
      <c r="B98" s="37"/>
      <c r="C98" s="37">
        <v>37</v>
      </c>
      <c r="D98" s="22">
        <f>TM!B200</f>
        <v>0</v>
      </c>
      <c r="E98" s="23">
        <f>TM!C200</f>
        <v>0</v>
      </c>
      <c r="F98" s="23">
        <f>TM!D200</f>
        <v>0</v>
      </c>
      <c r="G98" s="23">
        <f>TM!E200</f>
        <v>0</v>
      </c>
      <c r="H98" s="23">
        <f>TM!F200</f>
        <v>0</v>
      </c>
      <c r="I98" s="23">
        <f>TM!G200</f>
        <v>0</v>
      </c>
      <c r="J98" s="24">
        <f t="shared" si="12"/>
        <v>0</v>
      </c>
      <c r="L98" s="22">
        <f>Test!B200</f>
        <v>0</v>
      </c>
      <c r="M98" s="23">
        <f>Test!C200</f>
        <v>0</v>
      </c>
      <c r="N98" s="23">
        <f>Test!D200</f>
        <v>0</v>
      </c>
      <c r="O98" s="23">
        <f>Test!E200</f>
        <v>0</v>
      </c>
      <c r="P98" s="23">
        <f>Test!F200</f>
        <v>0</v>
      </c>
      <c r="Q98" s="23">
        <f>Test!G200</f>
        <v>0</v>
      </c>
      <c r="R98" s="24">
        <f t="shared" si="13"/>
        <v>0</v>
      </c>
      <c r="S98" s="18" t="e">
        <f t="shared" si="17"/>
        <v>#DIV/0!</v>
      </c>
      <c r="T98" s="18" t="e">
        <f t="shared" si="17"/>
        <v>#DIV/0!</v>
      </c>
      <c r="U98" s="60"/>
      <c r="V98" s="44"/>
      <c r="W98" s="56"/>
      <c r="X98" s="56"/>
      <c r="Y98" s="44"/>
      <c r="Z98" s="56"/>
      <c r="AA98" s="57"/>
      <c r="AB98" s="20"/>
      <c r="AC98" s="22">
        <f>BMS!B200</f>
        <v>0</v>
      </c>
      <c r="AD98" s="23">
        <f>BMS!C200</f>
        <v>0</v>
      </c>
      <c r="AE98" s="23">
        <f>BMS!D200</f>
        <v>0</v>
      </c>
      <c r="AF98" s="23">
        <f>BMS!E200</f>
        <v>0</v>
      </c>
      <c r="AG98" s="23">
        <f>BMS!F200</f>
        <v>0</v>
      </c>
      <c r="AH98" s="23">
        <f>BMS!G200</f>
        <v>0</v>
      </c>
      <c r="AI98" s="24">
        <f t="shared" si="18"/>
        <v>0</v>
      </c>
      <c r="AJ98" s="18" t="e">
        <f t="shared" si="15"/>
        <v>#DIV/0!</v>
      </c>
      <c r="AK98" s="18" t="e">
        <f t="shared" si="16"/>
        <v>#DIV/0!</v>
      </c>
      <c r="AL98" s="20"/>
      <c r="AM98" s="44"/>
      <c r="AN98" s="56"/>
      <c r="AO98" s="57"/>
      <c r="AP98" s="44"/>
      <c r="AQ98" s="56"/>
      <c r="AR98" s="57"/>
    </row>
    <row r="99" spans="1:44" x14ac:dyDescent="0.2">
      <c r="A99" s="36"/>
      <c r="B99" s="35" t="s">
        <v>66</v>
      </c>
      <c r="C99" s="35">
        <v>22</v>
      </c>
      <c r="D99" s="12">
        <f>TM!B201</f>
        <v>0</v>
      </c>
      <c r="E99" s="13">
        <f>TM!C201</f>
        <v>0</v>
      </c>
      <c r="F99" s="13">
        <f>TM!D201</f>
        <v>0</v>
      </c>
      <c r="G99" s="13">
        <f>TM!E201</f>
        <v>0</v>
      </c>
      <c r="H99" s="13">
        <f>TM!F201</f>
        <v>0</v>
      </c>
      <c r="I99" s="13">
        <f>TM!G201</f>
        <v>0</v>
      </c>
      <c r="J99" s="14">
        <f t="shared" si="12"/>
        <v>0</v>
      </c>
      <c r="L99" s="12">
        <f>Test!B201</f>
        <v>0</v>
      </c>
      <c r="M99" s="13">
        <f>Test!C201</f>
        <v>0</v>
      </c>
      <c r="N99" s="13">
        <f>Test!D201</f>
        <v>0</v>
      </c>
      <c r="O99" s="13">
        <f>Test!E201</f>
        <v>0</v>
      </c>
      <c r="P99" s="13">
        <f>Test!F201</f>
        <v>0</v>
      </c>
      <c r="Q99" s="13">
        <f>Test!G201</f>
        <v>0</v>
      </c>
      <c r="R99" s="14">
        <f t="shared" si="13"/>
        <v>0</v>
      </c>
      <c r="S99" s="18" t="e">
        <f t="shared" si="17"/>
        <v>#DIV/0!</v>
      </c>
      <c r="T99" s="18" t="e">
        <f t="shared" si="17"/>
        <v>#DIV/0!</v>
      </c>
      <c r="U99" s="60"/>
      <c r="V99" s="42" t="e">
        <f>bdrate($D99:$D102,E99:E102,$L99:$L102,M99:M102)</f>
        <v>#VALUE!</v>
      </c>
      <c r="W99" s="47" t="e">
        <f>bdrate($D99:$D102,F99:F102,$L99:$L102,N99:N102)</f>
        <v>#VALUE!</v>
      </c>
      <c r="X99" s="47" t="e">
        <f>bdrate($D99:$D102,G99:G102,$L99:$L102,O99:O102)</f>
        <v>#VALUE!</v>
      </c>
      <c r="Y99" s="45" t="e">
        <f>bdrateOld($D99:$D102,E99:E102,$L99:$L102,M99:M102)</f>
        <v>#VALUE!</v>
      </c>
      <c r="Z99" s="49" t="e">
        <f>bdrateOld($D99:$D102,F99:F102,$L99:$L102,N99:N102)</f>
        <v>#VALUE!</v>
      </c>
      <c r="AA99" s="50" t="e">
        <f>bdrateOld($D99:$D102,G99:G102,$L99:$L102,O99:O102)</f>
        <v>#VALUE!</v>
      </c>
      <c r="AB99" s="20"/>
      <c r="AC99" s="12">
        <f>BMS!B201</f>
        <v>0</v>
      </c>
      <c r="AD99" s="13">
        <f>BMS!C201</f>
        <v>0</v>
      </c>
      <c r="AE99" s="13">
        <f>BMS!D201</f>
        <v>0</v>
      </c>
      <c r="AF99" s="13">
        <f>BMS!E201</f>
        <v>0</v>
      </c>
      <c r="AG99" s="13">
        <f>BMS!F201</f>
        <v>0</v>
      </c>
      <c r="AH99" s="13">
        <f>BMS!G201</f>
        <v>0</v>
      </c>
      <c r="AI99" s="14">
        <f t="shared" si="18"/>
        <v>0</v>
      </c>
      <c r="AJ99" s="18" t="e">
        <f t="shared" si="15"/>
        <v>#DIV/0!</v>
      </c>
      <c r="AK99" s="18" t="e">
        <f t="shared" si="16"/>
        <v>#DIV/0!</v>
      </c>
      <c r="AL99" s="20"/>
      <c r="AM99" s="42" t="e">
        <f>bdrate($AC99:$AC102,AD99:AD102,$L99:$L102, M99:M102)</f>
        <v>#VALUE!</v>
      </c>
      <c r="AN99" s="47" t="e">
        <f>bdrate($AC99:$AC102,AE99:AE102,$L99:$L102, N99:N102)</f>
        <v>#VALUE!</v>
      </c>
      <c r="AO99" s="48" t="e">
        <f>bdrate($AC99:$AC102,AF99:AF102,$L99:$L102, O99:O102)</f>
        <v>#VALUE!</v>
      </c>
      <c r="AP99" s="42" t="e">
        <f>bdrateOld($AC99:$AC102,AD99:AD102,$L99:$L102, M99:M102)</f>
        <v>#VALUE!</v>
      </c>
      <c r="AQ99" s="47" t="e">
        <f>bdrateOld($AC99:$AC102,AE99:AE102,$L99:$L102, N99:N102)</f>
        <v>#VALUE!</v>
      </c>
      <c r="AR99" s="48" t="e">
        <f>bdrateOld($AC99:$AC102,AF99:AF102,$L99:$L102, O99:O102)</f>
        <v>#VALUE!</v>
      </c>
    </row>
    <row r="100" spans="1:44" x14ac:dyDescent="0.2">
      <c r="A100" s="36"/>
      <c r="B100" s="36"/>
      <c r="C100" s="36">
        <v>27</v>
      </c>
      <c r="D100" s="17">
        <f>TM!B202</f>
        <v>0</v>
      </c>
      <c r="E100" s="18">
        <f>TM!C202</f>
        <v>0</v>
      </c>
      <c r="F100" s="18">
        <f>TM!D202</f>
        <v>0</v>
      </c>
      <c r="G100" s="18">
        <f>TM!E202</f>
        <v>0</v>
      </c>
      <c r="H100" s="18">
        <f>TM!F202</f>
        <v>0</v>
      </c>
      <c r="I100" s="18">
        <f>TM!G202</f>
        <v>0</v>
      </c>
      <c r="J100" s="19">
        <f t="shared" si="12"/>
        <v>0</v>
      </c>
      <c r="L100" s="17">
        <f>Test!B202</f>
        <v>0</v>
      </c>
      <c r="M100" s="18">
        <f>Test!C202</f>
        <v>0</v>
      </c>
      <c r="N100" s="18">
        <f>Test!D202</f>
        <v>0</v>
      </c>
      <c r="O100" s="18">
        <f>Test!E202</f>
        <v>0</v>
      </c>
      <c r="P100" s="18">
        <f>Test!F202</f>
        <v>0</v>
      </c>
      <c r="Q100" s="18">
        <f>Test!G202</f>
        <v>0</v>
      </c>
      <c r="R100" s="19">
        <f t="shared" si="13"/>
        <v>0</v>
      </c>
      <c r="S100" s="18" t="e">
        <f t="shared" si="17"/>
        <v>#DIV/0!</v>
      </c>
      <c r="T100" s="18" t="e">
        <f t="shared" si="17"/>
        <v>#DIV/0!</v>
      </c>
      <c r="U100" s="60"/>
      <c r="V100" s="43"/>
      <c r="W100" s="26"/>
      <c r="X100" s="26"/>
      <c r="Y100" s="43"/>
      <c r="Z100" s="26"/>
      <c r="AA100" s="55"/>
      <c r="AB100" s="20"/>
      <c r="AC100" s="17">
        <f>BMS!B202</f>
        <v>0</v>
      </c>
      <c r="AD100" s="18">
        <f>BMS!C202</f>
        <v>0</v>
      </c>
      <c r="AE100" s="18">
        <f>BMS!D202</f>
        <v>0</v>
      </c>
      <c r="AF100" s="18">
        <f>BMS!E202</f>
        <v>0</v>
      </c>
      <c r="AG100" s="18">
        <f>BMS!F202</f>
        <v>0</v>
      </c>
      <c r="AH100" s="18">
        <f>BMS!G202</f>
        <v>0</v>
      </c>
      <c r="AI100" s="19">
        <f t="shared" si="18"/>
        <v>0</v>
      </c>
      <c r="AJ100" s="18" t="e">
        <f t="shared" si="15"/>
        <v>#DIV/0!</v>
      </c>
      <c r="AK100" s="18" t="e">
        <f t="shared" si="16"/>
        <v>#DIV/0!</v>
      </c>
      <c r="AL100" s="20"/>
      <c r="AM100" s="43"/>
      <c r="AN100" s="26"/>
      <c r="AO100" s="55"/>
      <c r="AP100" s="43"/>
      <c r="AQ100" s="26"/>
      <c r="AR100" s="55"/>
    </row>
    <row r="101" spans="1:44" x14ac:dyDescent="0.2">
      <c r="A101" s="36"/>
      <c r="B101" s="36"/>
      <c r="C101" s="36">
        <v>32</v>
      </c>
      <c r="D101" s="17">
        <f>TM!B203</f>
        <v>0</v>
      </c>
      <c r="E101" s="18">
        <f>TM!C203</f>
        <v>0</v>
      </c>
      <c r="F101" s="18">
        <f>TM!D203</f>
        <v>0</v>
      </c>
      <c r="G101" s="18">
        <f>TM!E203</f>
        <v>0</v>
      </c>
      <c r="H101" s="18">
        <f>TM!F203</f>
        <v>0</v>
      </c>
      <c r="I101" s="18">
        <f>TM!G203</f>
        <v>0</v>
      </c>
      <c r="J101" s="19">
        <f t="shared" si="12"/>
        <v>0</v>
      </c>
      <c r="L101" s="17">
        <f>Test!B203</f>
        <v>0</v>
      </c>
      <c r="M101" s="18">
        <f>Test!C203</f>
        <v>0</v>
      </c>
      <c r="N101" s="18">
        <f>Test!D203</f>
        <v>0</v>
      </c>
      <c r="O101" s="18">
        <f>Test!E203</f>
        <v>0</v>
      </c>
      <c r="P101" s="18">
        <f>Test!F203</f>
        <v>0</v>
      </c>
      <c r="Q101" s="18">
        <f>Test!G203</f>
        <v>0</v>
      </c>
      <c r="R101" s="19">
        <f t="shared" si="13"/>
        <v>0</v>
      </c>
      <c r="S101" s="18" t="e">
        <f t="shared" si="17"/>
        <v>#DIV/0!</v>
      </c>
      <c r="T101" s="18" t="e">
        <f t="shared" si="17"/>
        <v>#DIV/0!</v>
      </c>
      <c r="U101" s="60"/>
      <c r="V101" s="43"/>
      <c r="W101" s="26"/>
      <c r="X101" s="26"/>
      <c r="Y101" s="43"/>
      <c r="Z101" s="26"/>
      <c r="AA101" s="55"/>
      <c r="AB101" s="20"/>
      <c r="AC101" s="17">
        <f>BMS!B203</f>
        <v>0</v>
      </c>
      <c r="AD101" s="18">
        <f>BMS!C203</f>
        <v>0</v>
      </c>
      <c r="AE101" s="18">
        <f>BMS!D203</f>
        <v>0</v>
      </c>
      <c r="AF101" s="18">
        <f>BMS!E203</f>
        <v>0</v>
      </c>
      <c r="AG101" s="18">
        <f>BMS!F203</f>
        <v>0</v>
      </c>
      <c r="AH101" s="18">
        <f>BMS!G203</f>
        <v>0</v>
      </c>
      <c r="AI101" s="19">
        <f t="shared" si="18"/>
        <v>0</v>
      </c>
      <c r="AJ101" s="18" t="e">
        <f t="shared" si="15"/>
        <v>#DIV/0!</v>
      </c>
      <c r="AK101" s="18" t="e">
        <f t="shared" si="16"/>
        <v>#DIV/0!</v>
      </c>
      <c r="AL101" s="20"/>
      <c r="AM101" s="43"/>
      <c r="AN101" s="26"/>
      <c r="AO101" s="55"/>
      <c r="AP101" s="43"/>
      <c r="AQ101" s="26"/>
      <c r="AR101" s="55"/>
    </row>
    <row r="102" spans="1:44" ht="12.75" thickBot="1" x14ac:dyDescent="0.25">
      <c r="A102" s="36"/>
      <c r="B102" s="37"/>
      <c r="C102" s="37">
        <v>37</v>
      </c>
      <c r="D102" s="22">
        <f>TM!B204</f>
        <v>0</v>
      </c>
      <c r="E102" s="23">
        <f>TM!C204</f>
        <v>0</v>
      </c>
      <c r="F102" s="23">
        <f>TM!D204</f>
        <v>0</v>
      </c>
      <c r="G102" s="23">
        <f>TM!E204</f>
        <v>0</v>
      </c>
      <c r="H102" s="23">
        <f>TM!F204</f>
        <v>0</v>
      </c>
      <c r="I102" s="23">
        <f>TM!G204</f>
        <v>0</v>
      </c>
      <c r="J102" s="24">
        <f t="shared" si="12"/>
        <v>0</v>
      </c>
      <c r="L102" s="22">
        <f>Test!B204</f>
        <v>0</v>
      </c>
      <c r="M102" s="23">
        <f>Test!C204</f>
        <v>0</v>
      </c>
      <c r="N102" s="23">
        <f>Test!D204</f>
        <v>0</v>
      </c>
      <c r="O102" s="23">
        <f>Test!E204</f>
        <v>0</v>
      </c>
      <c r="P102" s="23">
        <f>Test!F204</f>
        <v>0</v>
      </c>
      <c r="Q102" s="23">
        <f>Test!G204</f>
        <v>0</v>
      </c>
      <c r="R102" s="24">
        <f t="shared" si="13"/>
        <v>0</v>
      </c>
      <c r="S102" s="18" t="e">
        <f t="shared" si="17"/>
        <v>#DIV/0!</v>
      </c>
      <c r="T102" s="18" t="e">
        <f t="shared" si="17"/>
        <v>#DIV/0!</v>
      </c>
      <c r="U102" s="60"/>
      <c r="V102" s="44"/>
      <c r="W102" s="56"/>
      <c r="X102" s="56"/>
      <c r="Y102" s="44"/>
      <c r="Z102" s="56"/>
      <c r="AA102" s="57"/>
      <c r="AB102" s="20"/>
      <c r="AC102" s="22">
        <f>BMS!B204</f>
        <v>0</v>
      </c>
      <c r="AD102" s="23">
        <f>BMS!C204</f>
        <v>0</v>
      </c>
      <c r="AE102" s="23">
        <f>BMS!D204</f>
        <v>0</v>
      </c>
      <c r="AF102" s="23">
        <f>BMS!E204</f>
        <v>0</v>
      </c>
      <c r="AG102" s="23">
        <f>BMS!F204</f>
        <v>0</v>
      </c>
      <c r="AH102" s="23">
        <f>BMS!G204</f>
        <v>0</v>
      </c>
      <c r="AI102" s="24">
        <f t="shared" si="18"/>
        <v>0</v>
      </c>
      <c r="AJ102" s="18" t="e">
        <f t="shared" si="15"/>
        <v>#DIV/0!</v>
      </c>
      <c r="AK102" s="18" t="e">
        <f t="shared" si="16"/>
        <v>#DIV/0!</v>
      </c>
      <c r="AL102" s="20"/>
      <c r="AM102" s="44"/>
      <c r="AN102" s="56"/>
      <c r="AO102" s="57"/>
      <c r="AP102" s="44"/>
      <c r="AQ102" s="56"/>
      <c r="AR102" s="57"/>
    </row>
    <row r="103" spans="1:44" x14ac:dyDescent="0.2">
      <c r="A103" s="36"/>
      <c r="B103" s="35" t="s">
        <v>67</v>
      </c>
      <c r="C103" s="35">
        <v>22</v>
      </c>
      <c r="D103" s="12">
        <f>TM!B205</f>
        <v>0</v>
      </c>
      <c r="E103" s="13">
        <f>TM!C205</f>
        <v>0</v>
      </c>
      <c r="F103" s="13">
        <f>TM!D205</f>
        <v>0</v>
      </c>
      <c r="G103" s="13">
        <f>TM!E205</f>
        <v>0</v>
      </c>
      <c r="H103" s="13">
        <f>TM!F205</f>
        <v>0</v>
      </c>
      <c r="I103" s="13">
        <f>TM!G205</f>
        <v>0</v>
      </c>
      <c r="J103" s="14">
        <f t="shared" si="12"/>
        <v>0</v>
      </c>
      <c r="L103" s="12">
        <f>Test!B205</f>
        <v>0</v>
      </c>
      <c r="M103" s="13">
        <f>Test!C205</f>
        <v>0</v>
      </c>
      <c r="N103" s="13">
        <f>Test!D205</f>
        <v>0</v>
      </c>
      <c r="O103" s="13">
        <f>Test!E205</f>
        <v>0</v>
      </c>
      <c r="P103" s="13">
        <f>Test!F205</f>
        <v>0</v>
      </c>
      <c r="Q103" s="13">
        <f>Test!G205</f>
        <v>0</v>
      </c>
      <c r="R103" s="14">
        <f t="shared" si="13"/>
        <v>0</v>
      </c>
      <c r="S103" s="18" t="e">
        <f t="shared" si="17"/>
        <v>#DIV/0!</v>
      </c>
      <c r="T103" s="18" t="e">
        <f t="shared" si="17"/>
        <v>#DIV/0!</v>
      </c>
      <c r="U103" s="60"/>
      <c r="V103" s="42" t="e">
        <f>bdrate($D103:$D106,E103:E106,$L103:$L106,M103:M106)</f>
        <v>#VALUE!</v>
      </c>
      <c r="W103" s="47" t="e">
        <f>bdrate($D103:$D106,F103:F106,$L103:$L106,N103:N106)</f>
        <v>#VALUE!</v>
      </c>
      <c r="X103" s="47" t="e">
        <f>bdrate($D103:$D106,G103:G106,$L103:$L106,O103:O106)</f>
        <v>#VALUE!</v>
      </c>
      <c r="Y103" s="45" t="e">
        <f>bdrateOld($D103:$D106,E103:E106,$L103:$L106,M103:M106)</f>
        <v>#VALUE!</v>
      </c>
      <c r="Z103" s="49" t="e">
        <f>bdrateOld($D103:$D106,F103:F106,$L103:$L106,N103:N106)</f>
        <v>#VALUE!</v>
      </c>
      <c r="AA103" s="50" t="e">
        <f>bdrateOld($D103:$D106,G103:G106,$L103:$L106,O103:O106)</f>
        <v>#VALUE!</v>
      </c>
      <c r="AB103" s="20"/>
      <c r="AC103" s="12">
        <f>BMS!B205</f>
        <v>0</v>
      </c>
      <c r="AD103" s="13">
        <f>BMS!C205</f>
        <v>0</v>
      </c>
      <c r="AE103" s="13">
        <f>BMS!D205</f>
        <v>0</v>
      </c>
      <c r="AF103" s="13">
        <f>BMS!E205</f>
        <v>0</v>
      </c>
      <c r="AG103" s="13">
        <f>BMS!F205</f>
        <v>0</v>
      </c>
      <c r="AH103" s="13">
        <f>BMS!G205</f>
        <v>0</v>
      </c>
      <c r="AI103" s="14">
        <f t="shared" si="18"/>
        <v>0</v>
      </c>
      <c r="AJ103" s="18" t="e">
        <f t="shared" si="15"/>
        <v>#DIV/0!</v>
      </c>
      <c r="AK103" s="18" t="e">
        <f t="shared" si="16"/>
        <v>#DIV/0!</v>
      </c>
      <c r="AL103" s="20"/>
      <c r="AM103" s="42" t="e">
        <f>bdrate($AC103:$AC106,AD103:AD106,$L103:$L106, M103:M106)</f>
        <v>#VALUE!</v>
      </c>
      <c r="AN103" s="47" t="e">
        <f>bdrate($AC103:$AC106,AE103:AE106,$L103:$L106, N103:N106)</f>
        <v>#VALUE!</v>
      </c>
      <c r="AO103" s="48" t="e">
        <f>bdrate($AC103:$AC106,AF103:AF106,$L103:$L106, O103:O106)</f>
        <v>#VALUE!</v>
      </c>
      <c r="AP103" s="42" t="e">
        <f>bdrateOld($AC103:$AC106,AD103:AD106,$L103:$L106, M103:M106)</f>
        <v>#VALUE!</v>
      </c>
      <c r="AQ103" s="47" t="e">
        <f>bdrateOld($AC103:$AC106,AE103:AE106,$L103:$L106, N103:N106)</f>
        <v>#VALUE!</v>
      </c>
      <c r="AR103" s="48" t="e">
        <f>bdrateOld($AC103:$AC106,AF103:AF106,$L103:$L106, O103:O106)</f>
        <v>#VALUE!</v>
      </c>
    </row>
    <row r="104" spans="1:44" x14ac:dyDescent="0.2">
      <c r="A104" s="36"/>
      <c r="B104" s="36"/>
      <c r="C104" s="36">
        <v>27</v>
      </c>
      <c r="D104" s="17">
        <f>TM!B206</f>
        <v>0</v>
      </c>
      <c r="E104" s="18">
        <f>TM!C206</f>
        <v>0</v>
      </c>
      <c r="F104" s="18">
        <f>TM!D206</f>
        <v>0</v>
      </c>
      <c r="G104" s="18">
        <f>TM!E206</f>
        <v>0</v>
      </c>
      <c r="H104" s="18">
        <f>TM!F206</f>
        <v>0</v>
      </c>
      <c r="I104" s="18">
        <f>TM!G206</f>
        <v>0</v>
      </c>
      <c r="J104" s="19">
        <f t="shared" si="12"/>
        <v>0</v>
      </c>
      <c r="L104" s="17">
        <f>Test!B206</f>
        <v>0</v>
      </c>
      <c r="M104" s="18">
        <f>Test!C206</f>
        <v>0</v>
      </c>
      <c r="N104" s="18">
        <f>Test!D206</f>
        <v>0</v>
      </c>
      <c r="O104" s="18">
        <f>Test!E206</f>
        <v>0</v>
      </c>
      <c r="P104" s="18">
        <f>Test!F206</f>
        <v>0</v>
      </c>
      <c r="Q104" s="18">
        <f>Test!G206</f>
        <v>0</v>
      </c>
      <c r="R104" s="19">
        <f t="shared" si="13"/>
        <v>0</v>
      </c>
      <c r="S104" s="18" t="e">
        <f t="shared" si="17"/>
        <v>#DIV/0!</v>
      </c>
      <c r="T104" s="18" t="e">
        <f t="shared" si="17"/>
        <v>#DIV/0!</v>
      </c>
      <c r="U104" s="60"/>
      <c r="V104" s="43"/>
      <c r="W104" s="26"/>
      <c r="X104" s="26"/>
      <c r="Y104" s="43"/>
      <c r="Z104" s="26"/>
      <c r="AA104" s="55"/>
      <c r="AB104" s="20"/>
      <c r="AC104" s="17">
        <f>BMS!B206</f>
        <v>0</v>
      </c>
      <c r="AD104" s="18">
        <f>BMS!C206</f>
        <v>0</v>
      </c>
      <c r="AE104" s="18">
        <f>BMS!D206</f>
        <v>0</v>
      </c>
      <c r="AF104" s="18">
        <f>BMS!E206</f>
        <v>0</v>
      </c>
      <c r="AG104" s="18">
        <f>BMS!F206</f>
        <v>0</v>
      </c>
      <c r="AH104" s="18">
        <f>BMS!G206</f>
        <v>0</v>
      </c>
      <c r="AI104" s="19">
        <f t="shared" si="18"/>
        <v>0</v>
      </c>
      <c r="AJ104" s="18" t="e">
        <f t="shared" si="15"/>
        <v>#DIV/0!</v>
      </c>
      <c r="AK104" s="18" t="e">
        <f t="shared" si="16"/>
        <v>#DIV/0!</v>
      </c>
      <c r="AL104" s="20"/>
      <c r="AM104" s="43"/>
      <c r="AN104" s="26"/>
      <c r="AO104" s="55"/>
      <c r="AP104" s="43"/>
      <c r="AQ104" s="26"/>
      <c r="AR104" s="55"/>
    </row>
    <row r="105" spans="1:44" x14ac:dyDescent="0.2">
      <c r="A105" s="36"/>
      <c r="B105" s="36"/>
      <c r="C105" s="36">
        <v>32</v>
      </c>
      <c r="D105" s="17">
        <f>TM!B207</f>
        <v>0</v>
      </c>
      <c r="E105" s="18">
        <f>TM!C207</f>
        <v>0</v>
      </c>
      <c r="F105" s="18">
        <f>TM!D207</f>
        <v>0</v>
      </c>
      <c r="G105" s="18">
        <f>TM!E207</f>
        <v>0</v>
      </c>
      <c r="H105" s="18">
        <f>TM!F207</f>
        <v>0</v>
      </c>
      <c r="I105" s="18">
        <f>TM!G207</f>
        <v>0</v>
      </c>
      <c r="J105" s="19">
        <f t="shared" si="12"/>
        <v>0</v>
      </c>
      <c r="L105" s="17">
        <f>Test!B207</f>
        <v>0</v>
      </c>
      <c r="M105" s="18">
        <f>Test!C207</f>
        <v>0</v>
      </c>
      <c r="N105" s="18">
        <f>Test!D207</f>
        <v>0</v>
      </c>
      <c r="O105" s="18">
        <f>Test!E207</f>
        <v>0</v>
      </c>
      <c r="P105" s="18">
        <f>Test!F207</f>
        <v>0</v>
      </c>
      <c r="Q105" s="18">
        <f>Test!G207</f>
        <v>0</v>
      </c>
      <c r="R105" s="19">
        <f t="shared" si="13"/>
        <v>0</v>
      </c>
      <c r="S105" s="18" t="e">
        <f t="shared" si="17"/>
        <v>#DIV/0!</v>
      </c>
      <c r="T105" s="18" t="e">
        <f t="shared" si="17"/>
        <v>#DIV/0!</v>
      </c>
      <c r="U105" s="60"/>
      <c r="V105" s="43"/>
      <c r="W105" s="26"/>
      <c r="X105" s="26"/>
      <c r="Y105" s="43"/>
      <c r="Z105" s="26"/>
      <c r="AA105" s="55"/>
      <c r="AB105" s="20"/>
      <c r="AC105" s="17">
        <f>BMS!B207</f>
        <v>0</v>
      </c>
      <c r="AD105" s="18">
        <f>BMS!C207</f>
        <v>0</v>
      </c>
      <c r="AE105" s="18">
        <f>BMS!D207</f>
        <v>0</v>
      </c>
      <c r="AF105" s="18">
        <f>BMS!E207</f>
        <v>0</v>
      </c>
      <c r="AG105" s="18">
        <f>BMS!F207</f>
        <v>0</v>
      </c>
      <c r="AH105" s="18">
        <f>BMS!G207</f>
        <v>0</v>
      </c>
      <c r="AI105" s="19">
        <f t="shared" si="18"/>
        <v>0</v>
      </c>
      <c r="AJ105" s="18" t="e">
        <f t="shared" si="15"/>
        <v>#DIV/0!</v>
      </c>
      <c r="AK105" s="18" t="e">
        <f t="shared" si="16"/>
        <v>#DIV/0!</v>
      </c>
      <c r="AL105" s="20"/>
      <c r="AM105" s="43"/>
      <c r="AN105" s="26"/>
      <c r="AO105" s="55"/>
      <c r="AP105" s="43"/>
      <c r="AQ105" s="26"/>
      <c r="AR105" s="55"/>
    </row>
    <row r="106" spans="1:44" ht="12.75" thickBot="1" x14ac:dyDescent="0.25">
      <c r="A106" s="37"/>
      <c r="B106" s="37"/>
      <c r="C106" s="37">
        <v>37</v>
      </c>
      <c r="D106" s="22">
        <f>TM!B208</f>
        <v>0</v>
      </c>
      <c r="E106" s="23">
        <f>TM!C208</f>
        <v>0</v>
      </c>
      <c r="F106" s="23">
        <f>TM!D208</f>
        <v>0</v>
      </c>
      <c r="G106" s="23">
        <f>TM!E208</f>
        <v>0</v>
      </c>
      <c r="H106" s="23">
        <f>TM!F208</f>
        <v>0</v>
      </c>
      <c r="I106" s="23">
        <f>TM!G208</f>
        <v>0</v>
      </c>
      <c r="J106" s="24">
        <f t="shared" si="12"/>
        <v>0</v>
      </c>
      <c r="L106" s="22">
        <f>Test!B208</f>
        <v>0</v>
      </c>
      <c r="M106" s="23">
        <f>Test!C208</f>
        <v>0</v>
      </c>
      <c r="N106" s="23">
        <f>Test!D208</f>
        <v>0</v>
      </c>
      <c r="O106" s="23">
        <f>Test!E208</f>
        <v>0</v>
      </c>
      <c r="P106" s="23">
        <f>Test!F208</f>
        <v>0</v>
      </c>
      <c r="Q106" s="23">
        <f>Test!G208</f>
        <v>0</v>
      </c>
      <c r="R106" s="24">
        <f t="shared" si="13"/>
        <v>0</v>
      </c>
      <c r="S106" s="23" t="e">
        <f t="shared" si="17"/>
        <v>#DIV/0!</v>
      </c>
      <c r="T106" s="23" t="e">
        <f t="shared" si="17"/>
        <v>#DIV/0!</v>
      </c>
      <c r="U106" s="61"/>
      <c r="V106" s="44"/>
      <c r="W106" s="56"/>
      <c r="X106" s="56"/>
      <c r="Y106" s="44"/>
      <c r="Z106" s="56"/>
      <c r="AA106" s="57"/>
      <c r="AB106" s="25"/>
      <c r="AC106" s="22">
        <f>BMS!B208</f>
        <v>0</v>
      </c>
      <c r="AD106" s="23">
        <f>BMS!C208</f>
        <v>0</v>
      </c>
      <c r="AE106" s="23">
        <f>BMS!D208</f>
        <v>0</v>
      </c>
      <c r="AF106" s="23">
        <f>BMS!E208</f>
        <v>0</v>
      </c>
      <c r="AG106" s="23">
        <f>BMS!F208</f>
        <v>0</v>
      </c>
      <c r="AH106" s="23">
        <f>BMS!G208</f>
        <v>0</v>
      </c>
      <c r="AI106" s="24">
        <f t="shared" si="18"/>
        <v>0</v>
      </c>
      <c r="AJ106" s="23" t="e">
        <f t="shared" si="15"/>
        <v>#DIV/0!</v>
      </c>
      <c r="AK106" s="23" t="e">
        <f t="shared" si="16"/>
        <v>#DIV/0!</v>
      </c>
      <c r="AL106" s="25"/>
      <c r="AM106" s="44"/>
      <c r="AN106" s="56"/>
      <c r="AO106" s="57"/>
      <c r="AP106" s="44"/>
      <c r="AQ106" s="56"/>
      <c r="AR106" s="57"/>
    </row>
    <row r="107" spans="1:44" x14ac:dyDescent="0.2">
      <c r="B107" s="1" t="s">
        <v>75</v>
      </c>
      <c r="I107" s="15" t="e">
        <f>GEOMEAN(I3:I14)</f>
        <v>#NUM!</v>
      </c>
      <c r="J107" s="15" t="e">
        <f>GEOMEAN(J3:J14)</f>
        <v>#NUM!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#DIV/0!</v>
      </c>
      <c r="T107" s="15" t="e">
        <f>GEOMEAN(T3:T14)</f>
        <v>#DIV/0!</v>
      </c>
      <c r="V107" s="42" t="e">
        <f t="shared" ref="V107:AA107" si="19">AVERAGE(V3:V14)</f>
        <v>#VALUE!</v>
      </c>
      <c r="W107" s="47" t="e">
        <f t="shared" si="19"/>
        <v>#VALUE!</v>
      </c>
      <c r="X107" s="47" t="e">
        <f t="shared" si="19"/>
        <v>#VALUE!</v>
      </c>
      <c r="Y107" s="42" t="e">
        <f t="shared" si="19"/>
        <v>#VALUE!</v>
      </c>
      <c r="Z107" s="47" t="e">
        <f t="shared" si="19"/>
        <v>#VALUE!</v>
      </c>
      <c r="AA107" s="48" t="e">
        <f t="shared" si="19"/>
        <v>#VALUE!</v>
      </c>
      <c r="AH107" s="15" t="e">
        <f>GEOMEAN(AH3:AH14)</f>
        <v>#NUM!</v>
      </c>
      <c r="AI107" s="15" t="e">
        <f>GEOMEAN(AI3:AI14)</f>
        <v>#NUM!</v>
      </c>
      <c r="AJ107" s="15" t="e">
        <f>GEOMEAN(AJ3:AJ14)</f>
        <v>#DIV/0!</v>
      </c>
      <c r="AK107" s="15" t="e">
        <f>GEOMEAN(AK3:AK14)</f>
        <v>#DIV/0!</v>
      </c>
      <c r="AM107" s="42" t="e">
        <f t="shared" ref="AM107:AR107" si="20">AVERAGE(AM3:AM14)</f>
        <v>#VALUE!</v>
      </c>
      <c r="AN107" s="47" t="e">
        <f t="shared" si="20"/>
        <v>#VALUE!</v>
      </c>
      <c r="AO107" s="47" t="e">
        <f t="shared" si="20"/>
        <v>#VALUE!</v>
      </c>
      <c r="AP107" s="42" t="e">
        <f t="shared" si="20"/>
        <v>#VALUE!</v>
      </c>
      <c r="AQ107" s="47" t="e">
        <f t="shared" si="20"/>
        <v>#VALUE!</v>
      </c>
      <c r="AR107" s="48" t="e">
        <f t="shared" si="20"/>
        <v>#VALUE!</v>
      </c>
    </row>
    <row r="108" spans="1:44" x14ac:dyDescent="0.2">
      <c r="B108" s="1" t="s">
        <v>76</v>
      </c>
      <c r="I108" s="15" t="e">
        <f>GEOMEAN(I15:I26)</f>
        <v>#NUM!</v>
      </c>
      <c r="J108" s="15" t="e">
        <f>GEOMEAN(J15:J26)</f>
        <v>#NUM!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#DIV/0!</v>
      </c>
      <c r="T108" s="15" t="e">
        <f>GEOMEAN(T15:T26)</f>
        <v>#DIV/0!</v>
      </c>
      <c r="V108" s="45" t="e">
        <f t="shared" ref="V108:AA108" si="21">AVERAGE(V15:V26)</f>
        <v>#VALUE!</v>
      </c>
      <c r="W108" s="49" t="e">
        <f t="shared" si="21"/>
        <v>#VALUE!</v>
      </c>
      <c r="X108" s="49" t="e">
        <f t="shared" si="21"/>
        <v>#VALUE!</v>
      </c>
      <c r="Y108" s="45" t="e">
        <f t="shared" si="21"/>
        <v>#VALUE!</v>
      </c>
      <c r="Z108" s="49" t="e">
        <f t="shared" si="21"/>
        <v>#VALUE!</v>
      </c>
      <c r="AA108" s="50" t="e">
        <f t="shared" si="21"/>
        <v>#VALUE!</v>
      </c>
      <c r="AH108" s="15" t="e">
        <f>GEOMEAN(AH15:AH26)</f>
        <v>#NUM!</v>
      </c>
      <c r="AI108" s="15" t="e">
        <f>GEOMEAN(AI15:AI26)</f>
        <v>#NUM!</v>
      </c>
      <c r="AJ108" s="15" t="e">
        <f>GEOMEAN(AJ15:AJ26)</f>
        <v>#DIV/0!</v>
      </c>
      <c r="AK108" s="15" t="e">
        <f>GEOMEAN(AK15:AK26)</f>
        <v>#DIV/0!</v>
      </c>
      <c r="AM108" s="45" t="e">
        <f t="shared" ref="AM108:AR108" si="22">AVERAGE(AM15:AM26)</f>
        <v>#VALUE!</v>
      </c>
      <c r="AN108" s="49" t="e">
        <f t="shared" si="22"/>
        <v>#VALUE!</v>
      </c>
      <c r="AO108" s="49" t="e">
        <f t="shared" si="22"/>
        <v>#VALUE!</v>
      </c>
      <c r="AP108" s="45" t="e">
        <f t="shared" si="22"/>
        <v>#VALUE!</v>
      </c>
      <c r="AQ108" s="49" t="e">
        <f t="shared" si="22"/>
        <v>#VALUE!</v>
      </c>
      <c r="AR108" s="50" t="e">
        <f t="shared" si="22"/>
        <v>#VALUE!</v>
      </c>
    </row>
    <row r="109" spans="1:44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23">GEOMEAN(S27:S46)</f>
        <v>#DIV/0!</v>
      </c>
      <c r="T109" s="15" t="e">
        <f t="shared" si="23"/>
        <v>#DIV/0!</v>
      </c>
      <c r="V109" s="45" t="e">
        <f>AVERAGE(V27:V46)</f>
        <v>#VALUE!</v>
      </c>
      <c r="W109" s="49" t="e">
        <f t="shared" ref="W109:AA109" si="24">AVERAGE(W27:W46)</f>
        <v>#VALUE!</v>
      </c>
      <c r="X109" s="49" t="e">
        <f t="shared" si="24"/>
        <v>#VALUE!</v>
      </c>
      <c r="Y109" s="45" t="e">
        <f t="shared" si="24"/>
        <v>#VALUE!</v>
      </c>
      <c r="Z109" s="49" t="e">
        <f t="shared" si="24"/>
        <v>#VALUE!</v>
      </c>
      <c r="AA109" s="50" t="e">
        <f t="shared" si="24"/>
        <v>#VALUE!</v>
      </c>
      <c r="AH109" s="15" t="e">
        <f>GEOMEAN(AH27:AH46)</f>
        <v>#NUM!</v>
      </c>
      <c r="AI109" s="15" t="e">
        <f>GEOMEAN(AI27:AI46)</f>
        <v>#NUM!</v>
      </c>
      <c r="AJ109" s="15" t="e">
        <f t="shared" ref="AJ109:AK109" si="25">GEOMEAN(AJ27:AJ46)</f>
        <v>#DIV/0!</v>
      </c>
      <c r="AK109" s="15" t="e">
        <f t="shared" si="25"/>
        <v>#DIV/0!</v>
      </c>
      <c r="AM109" s="45" t="e">
        <f>AVERAGE(AM27:AM46)</f>
        <v>#VALUE!</v>
      </c>
      <c r="AN109" s="49" t="e">
        <f t="shared" ref="AN109:AR109" si="26">AVERAGE(AN27:AN46)</f>
        <v>#VALUE!</v>
      </c>
      <c r="AO109" s="49" t="e">
        <f t="shared" si="26"/>
        <v>#VALUE!</v>
      </c>
      <c r="AP109" s="45" t="e">
        <f t="shared" si="26"/>
        <v>#VALUE!</v>
      </c>
      <c r="AQ109" s="49" t="e">
        <f t="shared" si="26"/>
        <v>#VALUE!</v>
      </c>
      <c r="AR109" s="50" t="e">
        <f t="shared" si="26"/>
        <v>#VALUE!</v>
      </c>
    </row>
    <row r="110" spans="1:44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27">GEOMEAN(S47:S62)</f>
        <v>#DIV/0!</v>
      </c>
      <c r="T110" s="15" t="e">
        <f t="shared" si="27"/>
        <v>#DIV/0!</v>
      </c>
      <c r="V110" s="45" t="e">
        <f>AVERAGE(V47:V62)</f>
        <v>#VALUE!</v>
      </c>
      <c r="W110" s="49" t="e">
        <f t="shared" ref="W110:AA110" si="28">AVERAGE(W47:W62)</f>
        <v>#VALUE!</v>
      </c>
      <c r="X110" s="49" t="e">
        <f t="shared" si="28"/>
        <v>#VALUE!</v>
      </c>
      <c r="Y110" s="45" t="e">
        <f t="shared" si="28"/>
        <v>#VALUE!</v>
      </c>
      <c r="Z110" s="49" t="e">
        <f t="shared" si="28"/>
        <v>#VALUE!</v>
      </c>
      <c r="AA110" s="50" t="e">
        <f t="shared" si="28"/>
        <v>#VALUE!</v>
      </c>
      <c r="AH110" s="15" t="e">
        <f>GEOMEAN(AH47:AH62)</f>
        <v>#NUM!</v>
      </c>
      <c r="AI110" s="15" t="e">
        <f>GEOMEAN(AI47:AI62)</f>
        <v>#NUM!</v>
      </c>
      <c r="AJ110" s="15" t="e">
        <f t="shared" ref="AJ110:AK110" si="29">GEOMEAN(AJ47:AJ62)</f>
        <v>#DIV/0!</v>
      </c>
      <c r="AK110" s="15" t="e">
        <f t="shared" si="29"/>
        <v>#DIV/0!</v>
      </c>
      <c r="AM110" s="45" t="e">
        <f>AVERAGE(AM47:AM62)</f>
        <v>#VALUE!</v>
      </c>
      <c r="AN110" s="49" t="e">
        <f t="shared" ref="AN110:AR110" si="30">AVERAGE(AN47:AN62)</f>
        <v>#VALUE!</v>
      </c>
      <c r="AO110" s="49" t="e">
        <f t="shared" si="30"/>
        <v>#VALUE!</v>
      </c>
      <c r="AP110" s="45" t="e">
        <f t="shared" si="30"/>
        <v>#VALUE!</v>
      </c>
      <c r="AQ110" s="49" t="e">
        <f t="shared" si="30"/>
        <v>#VALUE!</v>
      </c>
      <c r="AR110" s="50" t="e">
        <f t="shared" si="30"/>
        <v>#VALUE!</v>
      </c>
    </row>
    <row r="111" spans="1:44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31">GEOMEAN(S63:S78)</f>
        <v>#DIV/0!</v>
      </c>
      <c r="T111" s="15" t="e">
        <f t="shared" si="31"/>
        <v>#DIV/0!</v>
      </c>
      <c r="V111" s="45" t="e">
        <f>AVERAGE(V63:V78)</f>
        <v>#VALUE!</v>
      </c>
      <c r="W111" s="49" t="e">
        <f t="shared" ref="W111:AA111" si="32">AVERAGE(W63:W78)</f>
        <v>#VALUE!</v>
      </c>
      <c r="X111" s="49" t="e">
        <f t="shared" si="32"/>
        <v>#VALUE!</v>
      </c>
      <c r="Y111" s="45" t="e">
        <f t="shared" si="32"/>
        <v>#VALUE!</v>
      </c>
      <c r="Z111" s="49" t="e">
        <f t="shared" si="32"/>
        <v>#VALUE!</v>
      </c>
      <c r="AA111" s="50" t="e">
        <f t="shared" si="32"/>
        <v>#VALUE!</v>
      </c>
      <c r="AH111" s="15" t="e">
        <f>GEOMEAN(AH63:AH78)</f>
        <v>#NUM!</v>
      </c>
      <c r="AI111" s="15" t="e">
        <f>GEOMEAN(AI63:AI78)</f>
        <v>#NUM!</v>
      </c>
      <c r="AJ111" s="15" t="e">
        <f t="shared" ref="AJ111:AK111" si="33">GEOMEAN(AJ63:AJ78)</f>
        <v>#DIV/0!</v>
      </c>
      <c r="AK111" s="15" t="e">
        <f t="shared" si="33"/>
        <v>#DIV/0!</v>
      </c>
      <c r="AM111" s="45" t="e">
        <f>AVERAGE(AM63:AM78)</f>
        <v>#VALUE!</v>
      </c>
      <c r="AN111" s="49" t="e">
        <f t="shared" ref="AN111:AR111" si="34">AVERAGE(AN63:AN78)</f>
        <v>#VALUE!</v>
      </c>
      <c r="AO111" s="49" t="e">
        <f t="shared" si="34"/>
        <v>#VALUE!</v>
      </c>
      <c r="AP111" s="45" t="e">
        <f t="shared" si="34"/>
        <v>#VALUE!</v>
      </c>
      <c r="AQ111" s="49" t="e">
        <f t="shared" si="34"/>
        <v>#VALUE!</v>
      </c>
      <c r="AR111" s="50" t="e">
        <f t="shared" si="34"/>
        <v>#VALUE!</v>
      </c>
    </row>
    <row r="112" spans="1:44" x14ac:dyDescent="0.2">
      <c r="B112" s="1" t="s">
        <v>7</v>
      </c>
      <c r="I112" s="15"/>
      <c r="J112" s="15"/>
      <c r="Q112" s="15"/>
      <c r="R112" s="15"/>
      <c r="S112" s="15"/>
      <c r="T112" s="15"/>
      <c r="V112" s="45"/>
      <c r="W112" s="49"/>
      <c r="X112" s="49"/>
      <c r="Y112" s="45"/>
      <c r="Z112" s="49"/>
      <c r="AA112" s="50"/>
      <c r="AH112" s="15"/>
      <c r="AI112" s="15"/>
      <c r="AJ112" s="15"/>
      <c r="AK112" s="15"/>
      <c r="AM112" s="45"/>
      <c r="AN112" s="49"/>
      <c r="AO112" s="49"/>
      <c r="AP112" s="45"/>
      <c r="AQ112" s="49"/>
      <c r="AR112" s="50"/>
    </row>
    <row r="113" spans="1:44" ht="12.75" thickBot="1" x14ac:dyDescent="0.25">
      <c r="B113" s="1" t="s">
        <v>46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5">GEOMEAN(S91:S106)</f>
        <v>#DIV/0!</v>
      </c>
      <c r="T113" s="15" t="e">
        <f t="shared" si="35"/>
        <v>#DIV/0!</v>
      </c>
      <c r="V113" s="45" t="e">
        <f>AVERAGE(V91:V106)</f>
        <v>#VALUE!</v>
      </c>
      <c r="W113" s="49" t="e">
        <f t="shared" ref="W113:AA113" si="36">AVERAGE(W91:W106)</f>
        <v>#VALUE!</v>
      </c>
      <c r="X113" s="49" t="e">
        <f t="shared" si="36"/>
        <v>#VALUE!</v>
      </c>
      <c r="Y113" s="45" t="e">
        <f t="shared" si="36"/>
        <v>#VALUE!</v>
      </c>
      <c r="Z113" s="49" t="e">
        <f t="shared" si="36"/>
        <v>#VALUE!</v>
      </c>
      <c r="AA113" s="50" t="e">
        <f t="shared" si="36"/>
        <v>#VALUE!</v>
      </c>
      <c r="AH113" s="15" t="e">
        <f>GEOMEAN(AH91:AH106)</f>
        <v>#NUM!</v>
      </c>
      <c r="AI113" s="15" t="e">
        <f>GEOMEAN(AI91:AI106)</f>
        <v>#NUM!</v>
      </c>
      <c r="AJ113" s="15" t="e">
        <f t="shared" ref="AJ113:AK113" si="37">GEOMEAN(AJ91:AJ106)</f>
        <v>#DIV/0!</v>
      </c>
      <c r="AK113" s="15" t="e">
        <f t="shared" si="37"/>
        <v>#DIV/0!</v>
      </c>
      <c r="AM113" s="45" t="e">
        <f>AVERAGE(AM91:AM106)</f>
        <v>#VALUE!</v>
      </c>
      <c r="AN113" s="49" t="e">
        <f t="shared" ref="AN113:AR113" si="38">AVERAGE(AN91:AN106)</f>
        <v>#VALUE!</v>
      </c>
      <c r="AO113" s="49" t="e">
        <f t="shared" si="38"/>
        <v>#VALUE!</v>
      </c>
      <c r="AP113" s="45" t="e">
        <f t="shared" si="38"/>
        <v>#VALUE!</v>
      </c>
      <c r="AQ113" s="49" t="e">
        <f t="shared" si="38"/>
        <v>#VALUE!</v>
      </c>
      <c r="AR113" s="50" t="e">
        <f t="shared" si="38"/>
        <v>#VALUE!</v>
      </c>
    </row>
    <row r="114" spans="1:44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2" t="e">
        <f>GEOMEAN(I3:I62,I79:I90)</f>
        <v>#NUM!</v>
      </c>
      <c r="J114" s="62" t="e">
        <f>GEOMEAN(J3:J62,J79:J90)</f>
        <v>#NUM!</v>
      </c>
      <c r="K114" s="4"/>
      <c r="L114" s="4"/>
      <c r="M114" s="4"/>
      <c r="N114" s="4"/>
      <c r="O114" s="4"/>
      <c r="P114" s="4"/>
      <c r="Q114" s="62" t="e">
        <f>GEOMEAN(Q3:Q62,Q79:Q90)</f>
        <v>#NUM!</v>
      </c>
      <c r="R114" s="62" t="e">
        <f>GEOMEAN(R3:R62,R79:R90)</f>
        <v>#NUM!</v>
      </c>
      <c r="S114" s="62" t="e">
        <f t="shared" ref="S114:T114" si="39">GEOMEAN(S3:S62,S79:S90)</f>
        <v>#DIV/0!</v>
      </c>
      <c r="T114" s="62" t="e">
        <f t="shared" si="39"/>
        <v>#DIV/0!</v>
      </c>
      <c r="U114" s="4"/>
      <c r="V114" s="46" t="e">
        <f>AVERAGE(V3:V62,V79:V90)</f>
        <v>#VALUE!</v>
      </c>
      <c r="W114" s="51" t="e">
        <f t="shared" ref="W114:AA114" si="40">AVERAGE(W3:W62,W79:W90)</f>
        <v>#VALUE!</v>
      </c>
      <c r="X114" s="51" t="e">
        <f t="shared" si="40"/>
        <v>#VALUE!</v>
      </c>
      <c r="Y114" s="46" t="e">
        <f t="shared" si="40"/>
        <v>#VALUE!</v>
      </c>
      <c r="Z114" s="51" t="e">
        <f t="shared" si="40"/>
        <v>#VALUE!</v>
      </c>
      <c r="AA114" s="52" t="e">
        <f t="shared" si="40"/>
        <v>#VALUE!</v>
      </c>
      <c r="AC114" s="4"/>
      <c r="AD114" s="4"/>
      <c r="AE114" s="4"/>
      <c r="AF114" s="4"/>
      <c r="AG114" s="4"/>
      <c r="AH114" s="62" t="e">
        <f>GEOMEAN(AH3:AH62,AH79:AH90)</f>
        <v>#NUM!</v>
      </c>
      <c r="AI114" s="62" t="e">
        <f t="shared" ref="AI114:AK114" si="41">GEOMEAN(AI3:AI62,AI79:AI90)</f>
        <v>#NUM!</v>
      </c>
      <c r="AJ114" s="62" t="e">
        <f t="shared" si="41"/>
        <v>#DIV/0!</v>
      </c>
      <c r="AK114" s="62" t="e">
        <f t="shared" si="41"/>
        <v>#DIV/0!</v>
      </c>
      <c r="AM114" s="46" t="e">
        <f>AVERAGE(AM3:AM62,AM79:AM90)</f>
        <v>#VALUE!</v>
      </c>
      <c r="AN114" s="51" t="e">
        <f t="shared" ref="AN114:AR114" si="42">AVERAGE(AN3:AN62,AN79:AN90)</f>
        <v>#VALUE!</v>
      </c>
      <c r="AO114" s="51" t="e">
        <f t="shared" si="42"/>
        <v>#VALUE!</v>
      </c>
      <c r="AP114" s="46" t="e">
        <f t="shared" si="42"/>
        <v>#VALUE!</v>
      </c>
      <c r="AQ114" s="51" t="e">
        <f t="shared" si="42"/>
        <v>#VALUE!</v>
      </c>
      <c r="AR114" s="52" t="e">
        <f t="shared" si="42"/>
        <v>#VALUE!</v>
      </c>
    </row>
    <row r="115" spans="1:44" x14ac:dyDescent="0.2">
      <c r="B115" s="1" t="s">
        <v>9</v>
      </c>
      <c r="I115" s="27" t="e">
        <f>GEOMEAN(I3:I106)</f>
        <v>#NUM!</v>
      </c>
      <c r="J115" s="27" t="e">
        <f>GEOMEAN(J3:J106)</f>
        <v>#NUM!</v>
      </c>
      <c r="Q115" s="27" t="e">
        <f>GEOMEAN(Q3:Q106)</f>
        <v>#NUM!</v>
      </c>
      <c r="R115" s="27" t="e">
        <f>GEOMEAN(R3:R106)</f>
        <v>#NUM!</v>
      </c>
      <c r="S115" s="27"/>
      <c r="T115" s="27"/>
      <c r="AH115" s="27" t="e">
        <f>GEOMEAN(AH3:AH106)</f>
        <v>#NUM!</v>
      </c>
      <c r="AI115" s="27" t="e">
        <f>GEOMEAN(AI3:AI106)</f>
        <v>#NUM!</v>
      </c>
      <c r="AJ115" s="27"/>
      <c r="AK115" s="27"/>
    </row>
    <row r="116" spans="1:44" x14ac:dyDescent="0.2">
      <c r="B116" s="1" t="s">
        <v>10</v>
      </c>
      <c r="Q116" s="28" t="e">
        <f>Q115/I115</f>
        <v>#NUM!</v>
      </c>
      <c r="R116" s="28" t="e">
        <f>R115/J115</f>
        <v>#NUM!</v>
      </c>
      <c r="S116" s="28"/>
      <c r="T116" s="28"/>
      <c r="AJ116" s="28"/>
      <c r="AK116" s="28"/>
    </row>
    <row r="117" spans="1:44" x14ac:dyDescent="0.2">
      <c r="B117" s="1" t="s">
        <v>11</v>
      </c>
      <c r="I117" s="27"/>
      <c r="J117" s="27"/>
      <c r="Q117" s="27"/>
      <c r="R117" s="27"/>
      <c r="S117" s="27"/>
      <c r="T117" s="27"/>
      <c r="AH117" s="27">
        <f>SUM(AH3:AH106)/3600</f>
        <v>0</v>
      </c>
      <c r="AI117" s="27">
        <f>SUM(AI3:AI106)</f>
        <v>0</v>
      </c>
      <c r="AJ117" s="27"/>
      <c r="AK117" s="27"/>
    </row>
  </sheetData>
  <mergeCells count="7">
    <mergeCell ref="AP1:AR1"/>
    <mergeCell ref="AM1:AO1"/>
    <mergeCell ref="D1:J1"/>
    <mergeCell ref="L1:R1"/>
    <mergeCell ref="V1:X1"/>
    <mergeCell ref="Y1:AA1"/>
    <mergeCell ref="AC1:AI1"/>
  </mergeCells>
  <conditionalFormatting sqref="AA7">
    <cfRule type="cellIs" dxfId="1529" priority="533" operator="greaterThan">
      <formula>0.03</formula>
    </cfRule>
    <cfRule type="cellIs" dxfId="1528" priority="534" stopIfTrue="1" operator="lessThan">
      <formula>-0.03</formula>
    </cfRule>
  </conditionalFormatting>
  <conditionalFormatting sqref="AM7:AO10">
    <cfRule type="cellIs" dxfId="1527" priority="501" operator="greaterThan">
      <formula>0.03</formula>
    </cfRule>
    <cfRule type="cellIs" dxfId="1526" priority="502" stopIfTrue="1" operator="lessThan">
      <formula>-0.03</formula>
    </cfRule>
  </conditionalFormatting>
  <conditionalFormatting sqref="Z11">
    <cfRule type="cellIs" dxfId="1525" priority="529" operator="greaterThan">
      <formula>0.03</formula>
    </cfRule>
    <cfRule type="cellIs" dxfId="1524" priority="530" stopIfTrue="1" operator="lessThan">
      <formula>-0.03</formula>
    </cfRule>
  </conditionalFormatting>
  <conditionalFormatting sqref="AQ7">
    <cfRule type="cellIs" dxfId="1523" priority="497" operator="greaterThan">
      <formula>0.03</formula>
    </cfRule>
    <cfRule type="cellIs" dxfId="1522" priority="498" stopIfTrue="1" operator="lessThan">
      <formula>-0.03</formula>
    </cfRule>
  </conditionalFormatting>
  <conditionalFormatting sqref="AR7">
    <cfRule type="cellIs" dxfId="1521" priority="495" operator="greaterThan">
      <formula>0.03</formula>
    </cfRule>
    <cfRule type="cellIs" dxfId="1520" priority="496" stopIfTrue="1" operator="lessThan">
      <formula>-0.03</formula>
    </cfRule>
  </conditionalFormatting>
  <conditionalFormatting sqref="AP10:AQ10">
    <cfRule type="cellIs" dxfId="1519" priority="493" operator="greaterThan">
      <formula>0.03</formula>
    </cfRule>
    <cfRule type="cellIs" dxfId="1518" priority="494" stopIfTrue="1" operator="lessThan">
      <formula>-0.03</formula>
    </cfRule>
  </conditionalFormatting>
  <conditionalFormatting sqref="AM3:AO6">
    <cfRule type="cellIs" dxfId="1517" priority="511" operator="greaterThan">
      <formula>0.03</formula>
    </cfRule>
    <cfRule type="cellIs" dxfId="1516" priority="512" stopIfTrue="1" operator="lessThan">
      <formula>-0.03</formula>
    </cfRule>
  </conditionalFormatting>
  <conditionalFormatting sqref="Y6:Z6">
    <cfRule type="cellIs" dxfId="1515" priority="519" operator="greaterThan">
      <formula>0.03</formula>
    </cfRule>
    <cfRule type="cellIs" dxfId="1514" priority="520" stopIfTrue="1" operator="lessThan">
      <formula>-0.03</formula>
    </cfRule>
  </conditionalFormatting>
  <conditionalFormatting sqref="Y14:Z14">
    <cfRule type="cellIs" dxfId="1513" priority="515" operator="greaterThan">
      <formula>0.03</formula>
    </cfRule>
    <cfRule type="cellIs" dxfId="1512" priority="516" stopIfTrue="1" operator="lessThan">
      <formula>-0.03</formula>
    </cfRule>
  </conditionalFormatting>
  <conditionalFormatting sqref="AP3">
    <cfRule type="cellIs" dxfId="1511" priority="509" operator="greaterThan">
      <formula>0.03</formula>
    </cfRule>
    <cfRule type="cellIs" dxfId="1510" priority="510" stopIfTrue="1" operator="lessThan">
      <formula>-0.03</formula>
    </cfRule>
  </conditionalFormatting>
  <conditionalFormatting sqref="AP6:AQ6">
    <cfRule type="cellIs" dxfId="1509" priority="503" operator="greaterThan">
      <formula>0.03</formula>
    </cfRule>
    <cfRule type="cellIs" dxfId="1508" priority="504" stopIfTrue="1" operator="lessThan">
      <formula>-0.03</formula>
    </cfRule>
  </conditionalFormatting>
  <conditionalFormatting sqref="AP7">
    <cfRule type="cellIs" dxfId="1507" priority="499" operator="greaterThan">
      <formula>0.03</formula>
    </cfRule>
    <cfRule type="cellIs" dxfId="1506" priority="500" stopIfTrue="1" operator="lessThan">
      <formula>-0.03</formula>
    </cfRule>
  </conditionalFormatting>
  <conditionalFormatting sqref="V114:AA114">
    <cfRule type="cellIs" dxfId="1505" priority="471" operator="greaterThan">
      <formula>0.03</formula>
    </cfRule>
    <cfRule type="cellIs" dxfId="1504" priority="472" stopIfTrue="1" operator="lessThan">
      <formula>-0.03</formula>
    </cfRule>
  </conditionalFormatting>
  <conditionalFormatting sqref="Y23">
    <cfRule type="cellIs" dxfId="1503" priority="433" operator="greaterThan">
      <formula>0.03</formula>
    </cfRule>
    <cfRule type="cellIs" dxfId="1502" priority="434" stopIfTrue="1" operator="lessThan">
      <formula>-0.03</formula>
    </cfRule>
  </conditionalFormatting>
  <conditionalFormatting sqref="AR3">
    <cfRule type="cellIs" dxfId="1501" priority="505" operator="greaterThan">
      <formula>0.03</formula>
    </cfRule>
    <cfRule type="cellIs" dxfId="1500" priority="506" stopIfTrue="1" operator="lessThan">
      <formula>-0.03</formula>
    </cfRule>
  </conditionalFormatting>
  <conditionalFormatting sqref="AQ15">
    <cfRule type="cellIs" dxfId="1499" priority="409" operator="greaterThan">
      <formula>0.03</formula>
    </cfRule>
    <cfRule type="cellIs" dxfId="1498" priority="410" stopIfTrue="1" operator="lessThan">
      <formula>-0.03</formula>
    </cfRule>
  </conditionalFormatting>
  <conditionalFormatting sqref="AP18:AQ18">
    <cfRule type="cellIs" dxfId="1497" priority="405" operator="greaterThan">
      <formula>0.03</formula>
    </cfRule>
    <cfRule type="cellIs" dxfId="1496" priority="406" stopIfTrue="1" operator="lessThan">
      <formula>-0.03</formula>
    </cfRule>
  </conditionalFormatting>
  <conditionalFormatting sqref="AP19">
    <cfRule type="cellIs" dxfId="1495" priority="401" operator="greaterThan">
      <formula>0.03</formula>
    </cfRule>
    <cfRule type="cellIs" dxfId="1494" priority="402" stopIfTrue="1" operator="lessThan">
      <formula>-0.03</formula>
    </cfRule>
  </conditionalFormatting>
  <conditionalFormatting sqref="AM19:AO22">
    <cfRule type="cellIs" dxfId="1493" priority="403" operator="greaterThan">
      <formula>0.03</formula>
    </cfRule>
    <cfRule type="cellIs" dxfId="1492" priority="404" stopIfTrue="1" operator="lessThan">
      <formula>-0.03</formula>
    </cfRule>
  </conditionalFormatting>
  <conditionalFormatting sqref="Z19">
    <cfRule type="cellIs" dxfId="1491" priority="437" operator="greaterThan">
      <formula>0.03</formula>
    </cfRule>
    <cfRule type="cellIs" dxfId="1490" priority="438" stopIfTrue="1" operator="lessThan">
      <formula>-0.03</formula>
    </cfRule>
  </conditionalFormatting>
  <conditionalFormatting sqref="AA19">
    <cfRule type="cellIs" dxfId="1489" priority="435" operator="greaterThan">
      <formula>0.03</formula>
    </cfRule>
    <cfRule type="cellIs" dxfId="1488" priority="436" stopIfTrue="1" operator="lessThan">
      <formula>-0.03</formula>
    </cfRule>
  </conditionalFormatting>
  <conditionalFormatting sqref="AP30:AQ30">
    <cfRule type="cellIs" dxfId="1487" priority="355" operator="greaterThan">
      <formula>0.03</formula>
    </cfRule>
    <cfRule type="cellIs" dxfId="1486" priority="356" stopIfTrue="1" operator="lessThan">
      <formula>-0.03</formula>
    </cfRule>
  </conditionalFormatting>
  <conditionalFormatting sqref="AM111:AR112">
    <cfRule type="cellIs" dxfId="1485" priority="457" operator="greaterThan">
      <formula>0.03</formula>
    </cfRule>
    <cfRule type="cellIs" dxfId="1484" priority="458" stopIfTrue="1" operator="lessThan">
      <formula>-0.03</formula>
    </cfRule>
  </conditionalFormatting>
  <conditionalFormatting sqref="Z35">
    <cfRule type="cellIs" dxfId="1483" priority="343" operator="greaterThan">
      <formula>0.03</formula>
    </cfRule>
    <cfRule type="cellIs" dxfId="1482" priority="344" stopIfTrue="1" operator="lessThan">
      <formula>-0.03</formula>
    </cfRule>
  </conditionalFormatting>
  <conditionalFormatting sqref="Y31">
    <cfRule type="cellIs" dxfId="1481" priority="351" operator="greaterThan">
      <formula>0.03</formula>
    </cfRule>
    <cfRule type="cellIs" dxfId="1480" priority="352" stopIfTrue="1" operator="lessThan">
      <formula>-0.03</formula>
    </cfRule>
  </conditionalFormatting>
  <conditionalFormatting sqref="AQ27">
    <cfRule type="cellIs" dxfId="1479" priority="359" operator="greaterThan">
      <formula>0.03</formula>
    </cfRule>
    <cfRule type="cellIs" dxfId="1478" priority="360" stopIfTrue="1" operator="lessThan">
      <formula>-0.03</formula>
    </cfRule>
  </conditionalFormatting>
  <conditionalFormatting sqref="AA27">
    <cfRule type="cellIs" dxfId="1477" priority="367" operator="greaterThan">
      <formula>0.03</formula>
    </cfRule>
    <cfRule type="cellIs" dxfId="1476" priority="368" stopIfTrue="1" operator="lessThan">
      <formula>-0.03</formula>
    </cfRule>
  </conditionalFormatting>
  <conditionalFormatting sqref="AQ31">
    <cfRule type="cellIs" dxfId="1475" priority="331" operator="greaterThan">
      <formula>0.03</formula>
    </cfRule>
    <cfRule type="cellIs" dxfId="1474" priority="332" stopIfTrue="1" operator="lessThan">
      <formula>-0.03</formula>
    </cfRule>
  </conditionalFormatting>
  <conditionalFormatting sqref="Y30:Z30">
    <cfRule type="cellIs" dxfId="1473" priority="365" operator="greaterThan">
      <formula>0.03</formula>
    </cfRule>
    <cfRule type="cellIs" dxfId="1472" priority="366" stopIfTrue="1" operator="lessThan">
      <formula>-0.03</formula>
    </cfRule>
  </conditionalFormatting>
  <conditionalFormatting sqref="AM27:AO30">
    <cfRule type="cellIs" dxfId="1471" priority="363" operator="greaterThan">
      <formula>0.03</formula>
    </cfRule>
    <cfRule type="cellIs" dxfId="1470" priority="364" stopIfTrue="1" operator="lessThan">
      <formula>-0.03</formula>
    </cfRule>
  </conditionalFormatting>
  <conditionalFormatting sqref="AP27">
    <cfRule type="cellIs" dxfId="1469" priority="361" operator="greaterThan">
      <formula>0.03</formula>
    </cfRule>
    <cfRule type="cellIs" dxfId="1468" priority="362" stopIfTrue="1" operator="lessThan">
      <formula>-0.03</formula>
    </cfRule>
  </conditionalFormatting>
  <conditionalFormatting sqref="AA35">
    <cfRule type="cellIs" dxfId="1467" priority="341" operator="greaterThan">
      <formula>0.03</formula>
    </cfRule>
    <cfRule type="cellIs" dxfId="1466" priority="342" stopIfTrue="1" operator="lessThan">
      <formula>-0.03</formula>
    </cfRule>
  </conditionalFormatting>
  <conditionalFormatting sqref="Y34:Z34">
    <cfRule type="cellIs" dxfId="1465" priority="339" operator="greaterThan">
      <formula>0.03</formula>
    </cfRule>
    <cfRule type="cellIs" dxfId="1464" priority="340" stopIfTrue="1" operator="lessThan">
      <formula>-0.03</formula>
    </cfRule>
  </conditionalFormatting>
  <conditionalFormatting sqref="Y38:Z38">
    <cfRule type="cellIs" dxfId="1463" priority="337" operator="greaterThan">
      <formula>0.03</formula>
    </cfRule>
    <cfRule type="cellIs" dxfId="1462" priority="338" stopIfTrue="1" operator="lessThan">
      <formula>-0.03</formula>
    </cfRule>
  </conditionalFormatting>
  <conditionalFormatting sqref="AR27">
    <cfRule type="cellIs" dxfId="1461" priority="357" operator="greaterThan">
      <formula>0.03</formula>
    </cfRule>
    <cfRule type="cellIs" dxfId="1460" priority="358" stopIfTrue="1" operator="lessThan">
      <formula>-0.03</formula>
    </cfRule>
  </conditionalFormatting>
  <conditionalFormatting sqref="V31:X38">
    <cfRule type="cellIs" dxfId="1459" priority="353" operator="greaterThan">
      <formula>0.03</formula>
    </cfRule>
    <cfRule type="cellIs" dxfId="1458" priority="354" stopIfTrue="1" operator="lessThan">
      <formula>-0.03</formula>
    </cfRule>
  </conditionalFormatting>
  <conditionalFormatting sqref="Z31">
    <cfRule type="cellIs" dxfId="1457" priority="349" operator="greaterThan">
      <formula>0.03</formula>
    </cfRule>
    <cfRule type="cellIs" dxfId="1456" priority="350" stopIfTrue="1" operator="lessThan">
      <formula>-0.03</formula>
    </cfRule>
  </conditionalFormatting>
  <conditionalFormatting sqref="AA31">
    <cfRule type="cellIs" dxfId="1455" priority="347" operator="greaterThan">
      <formula>0.03</formula>
    </cfRule>
    <cfRule type="cellIs" dxfId="1454" priority="348" stopIfTrue="1" operator="lessThan">
      <formula>-0.03</formula>
    </cfRule>
  </conditionalFormatting>
  <conditionalFormatting sqref="Y35">
    <cfRule type="cellIs" dxfId="1453" priority="345" operator="greaterThan">
      <formula>0.03</formula>
    </cfRule>
    <cfRule type="cellIs" dxfId="1452" priority="346" stopIfTrue="1" operator="lessThan">
      <formula>-0.03</formula>
    </cfRule>
  </conditionalFormatting>
  <conditionalFormatting sqref="AM31:AO34">
    <cfRule type="cellIs" dxfId="1451" priority="335" operator="greaterThan">
      <formula>0.03</formula>
    </cfRule>
    <cfRule type="cellIs" dxfId="1450" priority="336" stopIfTrue="1" operator="lessThan">
      <formula>-0.03</formula>
    </cfRule>
  </conditionalFormatting>
  <conditionalFormatting sqref="AP31">
    <cfRule type="cellIs" dxfId="1449" priority="333" operator="greaterThan">
      <formula>0.03</formula>
    </cfRule>
    <cfRule type="cellIs" dxfId="1448" priority="334" stopIfTrue="1" operator="lessThan">
      <formula>-0.03</formula>
    </cfRule>
  </conditionalFormatting>
  <conditionalFormatting sqref="AR31">
    <cfRule type="cellIs" dxfId="1447" priority="329" operator="greaterThan">
      <formula>0.03</formula>
    </cfRule>
    <cfRule type="cellIs" dxfId="1446" priority="330" stopIfTrue="1" operator="lessThan">
      <formula>-0.03</formula>
    </cfRule>
  </conditionalFormatting>
  <conditionalFormatting sqref="AP34:AQ34">
    <cfRule type="cellIs" dxfId="1445" priority="327" operator="greaterThan">
      <formula>0.03</formula>
    </cfRule>
    <cfRule type="cellIs" dxfId="1444" priority="328" stopIfTrue="1" operator="lessThan">
      <formula>-0.03</formula>
    </cfRule>
  </conditionalFormatting>
  <conditionalFormatting sqref="AM35:AO38">
    <cfRule type="cellIs" dxfId="1443" priority="325" operator="greaterThan">
      <formula>0.03</formula>
    </cfRule>
    <cfRule type="cellIs" dxfId="1442" priority="326" stopIfTrue="1" operator="lessThan">
      <formula>-0.03</formula>
    </cfRule>
  </conditionalFormatting>
  <conditionalFormatting sqref="AP35">
    <cfRule type="cellIs" dxfId="1441" priority="323" operator="greaterThan">
      <formula>0.03</formula>
    </cfRule>
    <cfRule type="cellIs" dxfId="1440" priority="324" stopIfTrue="1" operator="lessThan">
      <formula>-0.03</formula>
    </cfRule>
  </conditionalFormatting>
  <conditionalFormatting sqref="AQ35">
    <cfRule type="cellIs" dxfId="1439" priority="321" operator="greaterThan">
      <formula>0.03</formula>
    </cfRule>
    <cfRule type="cellIs" dxfId="1438" priority="322" stopIfTrue="1" operator="lessThan">
      <formula>-0.03</formula>
    </cfRule>
  </conditionalFormatting>
  <conditionalFormatting sqref="AR35">
    <cfRule type="cellIs" dxfId="1437" priority="319" operator="greaterThan">
      <formula>0.03</formula>
    </cfRule>
    <cfRule type="cellIs" dxfId="1436" priority="320" stopIfTrue="1" operator="lessThan">
      <formula>-0.03</formula>
    </cfRule>
  </conditionalFormatting>
  <conditionalFormatting sqref="AP38:AQ38">
    <cfRule type="cellIs" dxfId="1435" priority="317" operator="greaterThan">
      <formula>0.03</formula>
    </cfRule>
    <cfRule type="cellIs" dxfId="1434" priority="318" stopIfTrue="1" operator="lessThan">
      <formula>-0.03</formula>
    </cfRule>
  </conditionalFormatting>
  <conditionalFormatting sqref="V39:X46">
    <cfRule type="cellIs" dxfId="1433" priority="315" operator="greaterThan">
      <formula>0.03</formula>
    </cfRule>
    <cfRule type="cellIs" dxfId="1432" priority="316" stopIfTrue="1" operator="lessThan">
      <formula>-0.03</formula>
    </cfRule>
  </conditionalFormatting>
  <conditionalFormatting sqref="Y39">
    <cfRule type="cellIs" dxfId="1431" priority="313" operator="greaterThan">
      <formula>0.03</formula>
    </cfRule>
    <cfRule type="cellIs" dxfId="1430" priority="314" stopIfTrue="1" operator="lessThan">
      <formula>-0.03</formula>
    </cfRule>
  </conditionalFormatting>
  <conditionalFormatting sqref="Z39">
    <cfRule type="cellIs" dxfId="1429" priority="311" operator="greaterThan">
      <formula>0.03</formula>
    </cfRule>
    <cfRule type="cellIs" dxfId="1428" priority="312" stopIfTrue="1" operator="lessThan">
      <formula>-0.03</formula>
    </cfRule>
  </conditionalFormatting>
  <conditionalFormatting sqref="AA39">
    <cfRule type="cellIs" dxfId="1427" priority="309" operator="greaterThan">
      <formula>0.03</formula>
    </cfRule>
    <cfRule type="cellIs" dxfId="1426" priority="310" stopIfTrue="1" operator="lessThan">
      <formula>-0.03</formula>
    </cfRule>
  </conditionalFormatting>
  <conditionalFormatting sqref="Y43">
    <cfRule type="cellIs" dxfId="1425" priority="307" operator="greaterThan">
      <formula>0.03</formula>
    </cfRule>
    <cfRule type="cellIs" dxfId="1424" priority="308" stopIfTrue="1" operator="lessThan">
      <formula>-0.03</formula>
    </cfRule>
  </conditionalFormatting>
  <conditionalFormatting sqref="Z43">
    <cfRule type="cellIs" dxfId="1423" priority="305" operator="greaterThan">
      <formula>0.03</formula>
    </cfRule>
    <cfRule type="cellIs" dxfId="1422" priority="306" stopIfTrue="1" operator="lessThan">
      <formula>-0.03</formula>
    </cfRule>
  </conditionalFormatting>
  <conditionalFormatting sqref="AA43">
    <cfRule type="cellIs" dxfId="1421" priority="303" operator="greaterThan">
      <formula>0.03</formula>
    </cfRule>
    <cfRule type="cellIs" dxfId="1420" priority="304" stopIfTrue="1" operator="lessThan">
      <formula>-0.03</formula>
    </cfRule>
  </conditionalFormatting>
  <conditionalFormatting sqref="Y42:Z42">
    <cfRule type="cellIs" dxfId="1419" priority="301" operator="greaterThan">
      <formula>0.03</formula>
    </cfRule>
    <cfRule type="cellIs" dxfId="1418" priority="302" stopIfTrue="1" operator="lessThan">
      <formula>-0.03</formula>
    </cfRule>
  </conditionalFormatting>
  <conditionalFormatting sqref="Y46:Z46">
    <cfRule type="cellIs" dxfId="1417" priority="299" operator="greaterThan">
      <formula>0.03</formula>
    </cfRule>
    <cfRule type="cellIs" dxfId="1416" priority="300" stopIfTrue="1" operator="lessThan">
      <formula>-0.03</formula>
    </cfRule>
  </conditionalFormatting>
  <conditionalFormatting sqref="AM39:AO42">
    <cfRule type="cellIs" dxfId="1415" priority="297" operator="greaterThan">
      <formula>0.03</formula>
    </cfRule>
    <cfRule type="cellIs" dxfId="1414" priority="298" stopIfTrue="1" operator="lessThan">
      <formula>-0.03</formula>
    </cfRule>
  </conditionalFormatting>
  <conditionalFormatting sqref="AP39">
    <cfRule type="cellIs" dxfId="1413" priority="295" operator="greaterThan">
      <formula>0.03</formula>
    </cfRule>
    <cfRule type="cellIs" dxfId="1412" priority="296" stopIfTrue="1" operator="lessThan">
      <formula>-0.03</formula>
    </cfRule>
  </conditionalFormatting>
  <conditionalFormatting sqref="AQ39">
    <cfRule type="cellIs" dxfId="1411" priority="293" operator="greaterThan">
      <formula>0.03</formula>
    </cfRule>
    <cfRule type="cellIs" dxfId="1410" priority="294" stopIfTrue="1" operator="lessThan">
      <formula>-0.03</formula>
    </cfRule>
  </conditionalFormatting>
  <conditionalFormatting sqref="AR39">
    <cfRule type="cellIs" dxfId="1409" priority="291" operator="greaterThan">
      <formula>0.03</formula>
    </cfRule>
    <cfRule type="cellIs" dxfId="1408" priority="292" stopIfTrue="1" operator="lessThan">
      <formula>-0.03</formula>
    </cfRule>
  </conditionalFormatting>
  <conditionalFormatting sqref="AP42:AQ42">
    <cfRule type="cellIs" dxfId="1407" priority="289" operator="greaterThan">
      <formula>0.03</formula>
    </cfRule>
    <cfRule type="cellIs" dxfId="1406" priority="290" stopIfTrue="1" operator="lessThan">
      <formula>-0.03</formula>
    </cfRule>
  </conditionalFormatting>
  <conditionalFormatting sqref="AM43:AO46">
    <cfRule type="cellIs" dxfId="1405" priority="287" operator="greaterThan">
      <formula>0.03</formula>
    </cfRule>
    <cfRule type="cellIs" dxfId="1404" priority="288" stopIfTrue="1" operator="lessThan">
      <formula>-0.03</formula>
    </cfRule>
  </conditionalFormatting>
  <conditionalFormatting sqref="AP43">
    <cfRule type="cellIs" dxfId="1403" priority="285" operator="greaterThan">
      <formula>0.03</formula>
    </cfRule>
    <cfRule type="cellIs" dxfId="1402" priority="286" stopIfTrue="1" operator="lessThan">
      <formula>-0.03</formula>
    </cfRule>
  </conditionalFormatting>
  <conditionalFormatting sqref="AQ43">
    <cfRule type="cellIs" dxfId="1401" priority="283" operator="greaterThan">
      <formula>0.03</formula>
    </cfRule>
    <cfRule type="cellIs" dxfId="1400" priority="284" stopIfTrue="1" operator="lessThan">
      <formula>-0.03</formula>
    </cfRule>
  </conditionalFormatting>
  <conditionalFormatting sqref="AR43">
    <cfRule type="cellIs" dxfId="1399" priority="281" operator="greaterThan">
      <formula>0.03</formula>
    </cfRule>
    <cfRule type="cellIs" dxfId="1398" priority="282" stopIfTrue="1" operator="lessThan">
      <formula>-0.03</formula>
    </cfRule>
  </conditionalFormatting>
  <conditionalFormatting sqref="AP46:AQ46">
    <cfRule type="cellIs" dxfId="1397" priority="279" operator="greaterThan">
      <formula>0.03</formula>
    </cfRule>
    <cfRule type="cellIs" dxfId="1396" priority="280" stopIfTrue="1" operator="lessThan">
      <formula>-0.03</formula>
    </cfRule>
  </conditionalFormatting>
  <conditionalFormatting sqref="V47:X62">
    <cfRule type="cellIs" dxfId="1395" priority="277" operator="greaterThan">
      <formula>0.03</formula>
    </cfRule>
    <cfRule type="cellIs" dxfId="1394" priority="278" stopIfTrue="1" operator="lessThan">
      <formula>-0.03</formula>
    </cfRule>
  </conditionalFormatting>
  <conditionalFormatting sqref="Y47">
    <cfRule type="cellIs" dxfId="1393" priority="275" operator="greaterThan">
      <formula>0.03</formula>
    </cfRule>
    <cfRule type="cellIs" dxfId="1392" priority="276" stopIfTrue="1" operator="lessThan">
      <formula>-0.03</formula>
    </cfRule>
  </conditionalFormatting>
  <conditionalFormatting sqref="Z47">
    <cfRule type="cellIs" dxfId="1391" priority="273" operator="greaterThan">
      <formula>0.03</formula>
    </cfRule>
    <cfRule type="cellIs" dxfId="1390" priority="274" stopIfTrue="1" operator="lessThan">
      <formula>-0.03</formula>
    </cfRule>
  </conditionalFormatting>
  <conditionalFormatting sqref="AA47">
    <cfRule type="cellIs" dxfId="1389" priority="271" operator="greaterThan">
      <formula>0.03</formula>
    </cfRule>
    <cfRule type="cellIs" dxfId="1388" priority="272" stopIfTrue="1" operator="lessThan">
      <formula>-0.03</formula>
    </cfRule>
  </conditionalFormatting>
  <conditionalFormatting sqref="Y51">
    <cfRule type="cellIs" dxfId="1387" priority="269" operator="greaterThan">
      <formula>0.03</formula>
    </cfRule>
    <cfRule type="cellIs" dxfId="1386" priority="270" stopIfTrue="1" operator="lessThan">
      <formula>-0.03</formula>
    </cfRule>
  </conditionalFormatting>
  <conditionalFormatting sqref="Z51">
    <cfRule type="cellIs" dxfId="1385" priority="267" operator="greaterThan">
      <formula>0.03</formula>
    </cfRule>
    <cfRule type="cellIs" dxfId="1384" priority="268" stopIfTrue="1" operator="lessThan">
      <formula>-0.03</formula>
    </cfRule>
  </conditionalFormatting>
  <conditionalFormatting sqref="AA51">
    <cfRule type="cellIs" dxfId="1383" priority="265" operator="greaterThan">
      <formula>0.03</formula>
    </cfRule>
    <cfRule type="cellIs" dxfId="1382" priority="266" stopIfTrue="1" operator="lessThan">
      <formula>-0.03</formula>
    </cfRule>
  </conditionalFormatting>
  <conditionalFormatting sqref="Y55">
    <cfRule type="cellIs" dxfId="1381" priority="263" operator="greaterThan">
      <formula>0.03</formula>
    </cfRule>
    <cfRule type="cellIs" dxfId="1380" priority="264" stopIfTrue="1" operator="lessThan">
      <formula>-0.03</formula>
    </cfRule>
  </conditionalFormatting>
  <conditionalFormatting sqref="Z55">
    <cfRule type="cellIs" dxfId="1379" priority="261" operator="greaterThan">
      <formula>0.03</formula>
    </cfRule>
    <cfRule type="cellIs" dxfId="1378" priority="262" stopIfTrue="1" operator="lessThan">
      <formula>-0.03</formula>
    </cfRule>
  </conditionalFormatting>
  <conditionalFormatting sqref="AA55">
    <cfRule type="cellIs" dxfId="1377" priority="259" operator="greaterThan">
      <formula>0.03</formula>
    </cfRule>
    <cfRule type="cellIs" dxfId="1376" priority="260" stopIfTrue="1" operator="lessThan">
      <formula>-0.03</formula>
    </cfRule>
  </conditionalFormatting>
  <conditionalFormatting sqref="Y59">
    <cfRule type="cellIs" dxfId="1375" priority="257" operator="greaterThan">
      <formula>0.03</formula>
    </cfRule>
    <cfRule type="cellIs" dxfId="1374" priority="258" stopIfTrue="1" operator="lessThan">
      <formula>-0.03</formula>
    </cfRule>
  </conditionalFormatting>
  <conditionalFormatting sqref="Z59">
    <cfRule type="cellIs" dxfId="1373" priority="255" operator="greaterThan">
      <formula>0.03</formula>
    </cfRule>
    <cfRule type="cellIs" dxfId="1372" priority="256" stopIfTrue="1" operator="lessThan">
      <formula>-0.03</formula>
    </cfRule>
  </conditionalFormatting>
  <conditionalFormatting sqref="AA59">
    <cfRule type="cellIs" dxfId="1371" priority="253" operator="greaterThan">
      <formula>0.03</formula>
    </cfRule>
    <cfRule type="cellIs" dxfId="1370" priority="254" stopIfTrue="1" operator="lessThan">
      <formula>-0.03</formula>
    </cfRule>
  </conditionalFormatting>
  <conditionalFormatting sqref="Y50:Z50">
    <cfRule type="cellIs" dxfId="1369" priority="251" operator="greaterThan">
      <formula>0.03</formula>
    </cfRule>
    <cfRule type="cellIs" dxfId="1368" priority="252" stopIfTrue="1" operator="lessThan">
      <formula>-0.03</formula>
    </cfRule>
  </conditionalFormatting>
  <conditionalFormatting sqref="Y54:Z54">
    <cfRule type="cellIs" dxfId="1367" priority="249" operator="greaterThan">
      <formula>0.03</formula>
    </cfRule>
    <cfRule type="cellIs" dxfId="1366" priority="250" stopIfTrue="1" operator="lessThan">
      <formula>-0.03</formula>
    </cfRule>
  </conditionalFormatting>
  <conditionalFormatting sqref="Y58:Z58">
    <cfRule type="cellIs" dxfId="1365" priority="247" operator="greaterThan">
      <formula>0.03</formula>
    </cfRule>
    <cfRule type="cellIs" dxfId="1364" priority="248" stopIfTrue="1" operator="lessThan">
      <formula>-0.03</formula>
    </cfRule>
  </conditionalFormatting>
  <conditionalFormatting sqref="Y62:Z62">
    <cfRule type="cellIs" dxfId="1363" priority="245" operator="greaterThan">
      <formula>0.03</formula>
    </cfRule>
    <cfRule type="cellIs" dxfId="1362" priority="246" stopIfTrue="1" operator="lessThan">
      <formula>-0.03</formula>
    </cfRule>
  </conditionalFormatting>
  <conditionalFormatting sqref="AM47:AO50">
    <cfRule type="cellIs" dxfId="1361" priority="243" operator="greaterThan">
      <formula>0.03</formula>
    </cfRule>
    <cfRule type="cellIs" dxfId="1360" priority="244" stopIfTrue="1" operator="lessThan">
      <formula>-0.03</formula>
    </cfRule>
  </conditionalFormatting>
  <conditionalFormatting sqref="AP47">
    <cfRule type="cellIs" dxfId="1359" priority="241" operator="greaterThan">
      <formula>0.03</formula>
    </cfRule>
    <cfRule type="cellIs" dxfId="1358" priority="242" stopIfTrue="1" operator="lessThan">
      <formula>-0.03</formula>
    </cfRule>
  </conditionalFormatting>
  <conditionalFormatting sqref="AQ47">
    <cfRule type="cellIs" dxfId="1357" priority="239" operator="greaterThan">
      <formula>0.03</formula>
    </cfRule>
    <cfRule type="cellIs" dxfId="1356" priority="240" stopIfTrue="1" operator="lessThan">
      <formula>-0.03</formula>
    </cfRule>
  </conditionalFormatting>
  <conditionalFormatting sqref="AR47">
    <cfRule type="cellIs" dxfId="1355" priority="237" operator="greaterThan">
      <formula>0.03</formula>
    </cfRule>
    <cfRule type="cellIs" dxfId="1354" priority="238" stopIfTrue="1" operator="lessThan">
      <formula>-0.03</formula>
    </cfRule>
  </conditionalFormatting>
  <conditionalFormatting sqref="AP50:AQ50">
    <cfRule type="cellIs" dxfId="1353" priority="235" operator="greaterThan">
      <formula>0.03</formula>
    </cfRule>
    <cfRule type="cellIs" dxfId="1352" priority="236" stopIfTrue="1" operator="lessThan">
      <formula>-0.03</formula>
    </cfRule>
  </conditionalFormatting>
  <conditionalFormatting sqref="AM51:AO54">
    <cfRule type="cellIs" dxfId="1351" priority="233" operator="greaterThan">
      <formula>0.03</formula>
    </cfRule>
    <cfRule type="cellIs" dxfId="1350" priority="234" stopIfTrue="1" operator="lessThan">
      <formula>-0.03</formula>
    </cfRule>
  </conditionalFormatting>
  <conditionalFormatting sqref="AP51">
    <cfRule type="cellIs" dxfId="1349" priority="231" operator="greaterThan">
      <formula>0.03</formula>
    </cfRule>
    <cfRule type="cellIs" dxfId="1348" priority="232" stopIfTrue="1" operator="lessThan">
      <formula>-0.03</formula>
    </cfRule>
  </conditionalFormatting>
  <conditionalFormatting sqref="AQ51">
    <cfRule type="cellIs" dxfId="1347" priority="229" operator="greaterThan">
      <formula>0.03</formula>
    </cfRule>
    <cfRule type="cellIs" dxfId="1346" priority="230" stopIfTrue="1" operator="lessThan">
      <formula>-0.03</formula>
    </cfRule>
  </conditionalFormatting>
  <conditionalFormatting sqref="AR51">
    <cfRule type="cellIs" dxfId="1345" priority="227" operator="greaterThan">
      <formula>0.03</formula>
    </cfRule>
    <cfRule type="cellIs" dxfId="1344" priority="228" stopIfTrue="1" operator="lessThan">
      <formula>-0.03</formula>
    </cfRule>
  </conditionalFormatting>
  <conditionalFormatting sqref="AP54:AQ54">
    <cfRule type="cellIs" dxfId="1343" priority="225" operator="greaterThan">
      <formula>0.03</formula>
    </cfRule>
    <cfRule type="cellIs" dxfId="1342" priority="226" stopIfTrue="1" operator="lessThan">
      <formula>-0.03</formula>
    </cfRule>
  </conditionalFormatting>
  <conditionalFormatting sqref="AM55:AO58">
    <cfRule type="cellIs" dxfId="1341" priority="223" operator="greaterThan">
      <formula>0.03</formula>
    </cfRule>
    <cfRule type="cellIs" dxfId="1340" priority="224" stopIfTrue="1" operator="lessThan">
      <formula>-0.03</formula>
    </cfRule>
  </conditionalFormatting>
  <conditionalFormatting sqref="AP55">
    <cfRule type="cellIs" dxfId="1339" priority="221" operator="greaterThan">
      <formula>0.03</formula>
    </cfRule>
    <cfRule type="cellIs" dxfId="1338" priority="222" stopIfTrue="1" operator="lessThan">
      <formula>-0.03</formula>
    </cfRule>
  </conditionalFormatting>
  <conditionalFormatting sqref="AQ55">
    <cfRule type="cellIs" dxfId="1337" priority="219" operator="greaterThan">
      <formula>0.03</formula>
    </cfRule>
    <cfRule type="cellIs" dxfId="1336" priority="220" stopIfTrue="1" operator="lessThan">
      <formula>-0.03</formula>
    </cfRule>
  </conditionalFormatting>
  <conditionalFormatting sqref="AR55">
    <cfRule type="cellIs" dxfId="1335" priority="217" operator="greaterThan">
      <formula>0.03</formula>
    </cfRule>
    <cfRule type="cellIs" dxfId="1334" priority="218" stopIfTrue="1" operator="lessThan">
      <formula>-0.03</formula>
    </cfRule>
  </conditionalFormatting>
  <conditionalFormatting sqref="AP58:AQ58">
    <cfRule type="cellIs" dxfId="1333" priority="215" operator="greaterThan">
      <formula>0.03</formula>
    </cfRule>
    <cfRule type="cellIs" dxfId="1332" priority="216" stopIfTrue="1" operator="lessThan">
      <formula>-0.03</formula>
    </cfRule>
  </conditionalFormatting>
  <conditionalFormatting sqref="AM59:AO62">
    <cfRule type="cellIs" dxfId="1331" priority="213" operator="greaterThan">
      <formula>0.03</formula>
    </cfRule>
    <cfRule type="cellIs" dxfId="1330" priority="214" stopIfTrue="1" operator="lessThan">
      <formula>-0.03</formula>
    </cfRule>
  </conditionalFormatting>
  <conditionalFormatting sqref="AP59">
    <cfRule type="cellIs" dxfId="1329" priority="211" operator="greaterThan">
      <formula>0.03</formula>
    </cfRule>
    <cfRule type="cellIs" dxfId="1328" priority="212" stopIfTrue="1" operator="lessThan">
      <formula>-0.03</formula>
    </cfRule>
  </conditionalFormatting>
  <conditionalFormatting sqref="AQ59">
    <cfRule type="cellIs" dxfId="1327" priority="209" operator="greaterThan">
      <formula>0.03</formula>
    </cfRule>
    <cfRule type="cellIs" dxfId="1326" priority="210" stopIfTrue="1" operator="lessThan">
      <formula>-0.03</formula>
    </cfRule>
  </conditionalFormatting>
  <conditionalFormatting sqref="AR59">
    <cfRule type="cellIs" dxfId="1325" priority="207" operator="greaterThan">
      <formula>0.03</formula>
    </cfRule>
    <cfRule type="cellIs" dxfId="1324" priority="208" stopIfTrue="1" operator="lessThan">
      <formula>-0.03</formula>
    </cfRule>
  </conditionalFormatting>
  <conditionalFormatting sqref="AP62:AQ62">
    <cfRule type="cellIs" dxfId="1323" priority="205" operator="greaterThan">
      <formula>0.03</formula>
    </cfRule>
    <cfRule type="cellIs" dxfId="1322" priority="206" stopIfTrue="1" operator="lessThan">
      <formula>-0.03</formula>
    </cfRule>
  </conditionalFormatting>
  <conditionalFormatting sqref="V63:X78">
    <cfRule type="cellIs" dxfId="1321" priority="203" operator="greaterThan">
      <formula>0.03</formula>
    </cfRule>
    <cfRule type="cellIs" dxfId="1320" priority="204" stopIfTrue="1" operator="lessThan">
      <formula>-0.03</formula>
    </cfRule>
  </conditionalFormatting>
  <conditionalFormatting sqref="Y63">
    <cfRule type="cellIs" dxfId="1319" priority="201" operator="greaterThan">
      <formula>0.03</formula>
    </cfRule>
    <cfRule type="cellIs" dxfId="1318" priority="202" stopIfTrue="1" operator="lessThan">
      <formula>-0.03</formula>
    </cfRule>
  </conditionalFormatting>
  <conditionalFormatting sqref="Z63">
    <cfRule type="cellIs" dxfId="1317" priority="199" operator="greaterThan">
      <formula>0.03</formula>
    </cfRule>
    <cfRule type="cellIs" dxfId="1316" priority="200" stopIfTrue="1" operator="lessThan">
      <formula>-0.03</formula>
    </cfRule>
  </conditionalFormatting>
  <conditionalFormatting sqref="AA63">
    <cfRule type="cellIs" dxfId="1315" priority="197" operator="greaterThan">
      <formula>0.03</formula>
    </cfRule>
    <cfRule type="cellIs" dxfId="1314" priority="198" stopIfTrue="1" operator="lessThan">
      <formula>-0.03</formula>
    </cfRule>
  </conditionalFormatting>
  <conditionalFormatting sqref="Z67">
    <cfRule type="cellIs" dxfId="1313" priority="193" operator="greaterThan">
      <formula>0.03</formula>
    </cfRule>
    <cfRule type="cellIs" dxfId="1312" priority="194" stopIfTrue="1" operator="lessThan">
      <formula>-0.03</formula>
    </cfRule>
  </conditionalFormatting>
  <conditionalFormatting sqref="AA67">
    <cfRule type="cellIs" dxfId="1311" priority="191" operator="greaterThan">
      <formula>0.03</formula>
    </cfRule>
    <cfRule type="cellIs" dxfId="1310" priority="192" stopIfTrue="1" operator="lessThan">
      <formula>-0.03</formula>
    </cfRule>
  </conditionalFormatting>
  <conditionalFormatting sqref="Y71">
    <cfRule type="cellIs" dxfId="1309" priority="189" operator="greaterThan">
      <formula>0.03</formula>
    </cfRule>
    <cfRule type="cellIs" dxfId="1308" priority="190" stopIfTrue="1" operator="lessThan">
      <formula>-0.03</formula>
    </cfRule>
  </conditionalFormatting>
  <conditionalFormatting sqref="Z71">
    <cfRule type="cellIs" dxfId="1307" priority="187" operator="greaterThan">
      <formula>0.03</formula>
    </cfRule>
    <cfRule type="cellIs" dxfId="1306" priority="188" stopIfTrue="1" operator="lessThan">
      <formula>-0.03</formula>
    </cfRule>
  </conditionalFormatting>
  <conditionalFormatting sqref="Y67">
    <cfRule type="cellIs" dxfId="1305" priority="195" operator="greaterThan">
      <formula>0.03</formula>
    </cfRule>
    <cfRule type="cellIs" dxfId="1304" priority="196" stopIfTrue="1" operator="lessThan">
      <formula>-0.03</formula>
    </cfRule>
  </conditionalFormatting>
  <conditionalFormatting sqref="Y75">
    <cfRule type="cellIs" dxfId="1303" priority="183" operator="greaterThan">
      <formula>0.03</formula>
    </cfRule>
    <cfRule type="cellIs" dxfId="1302" priority="184" stopIfTrue="1" operator="lessThan">
      <formula>-0.03</formula>
    </cfRule>
  </conditionalFormatting>
  <conditionalFormatting sqref="Z75">
    <cfRule type="cellIs" dxfId="1301" priority="181" operator="greaterThan">
      <formula>0.03</formula>
    </cfRule>
    <cfRule type="cellIs" dxfId="1300" priority="182" stopIfTrue="1" operator="lessThan">
      <formula>-0.03</formula>
    </cfRule>
  </conditionalFormatting>
  <conditionalFormatting sqref="AA75">
    <cfRule type="cellIs" dxfId="1299" priority="179" operator="greaterThan">
      <formula>0.03</formula>
    </cfRule>
    <cfRule type="cellIs" dxfId="1298" priority="180" stopIfTrue="1" operator="lessThan">
      <formula>-0.03</formula>
    </cfRule>
  </conditionalFormatting>
  <conditionalFormatting sqref="Y66:Z66">
    <cfRule type="cellIs" dxfId="1297" priority="177" operator="greaterThan">
      <formula>0.03</formula>
    </cfRule>
    <cfRule type="cellIs" dxfId="1296" priority="178" stopIfTrue="1" operator="lessThan">
      <formula>-0.03</formula>
    </cfRule>
  </conditionalFormatting>
  <conditionalFormatting sqref="AA71">
    <cfRule type="cellIs" dxfId="1295" priority="185" operator="greaterThan">
      <formula>0.03</formula>
    </cfRule>
    <cfRule type="cellIs" dxfId="1294" priority="186" stopIfTrue="1" operator="lessThan">
      <formula>-0.03</formula>
    </cfRule>
  </conditionalFormatting>
  <conditionalFormatting sqref="AP63">
    <cfRule type="cellIs" dxfId="1293" priority="167" operator="greaterThan">
      <formula>0.03</formula>
    </cfRule>
    <cfRule type="cellIs" dxfId="1292" priority="168" stopIfTrue="1" operator="lessThan">
      <formula>-0.03</formula>
    </cfRule>
  </conditionalFormatting>
  <conditionalFormatting sqref="Y70:Z70">
    <cfRule type="cellIs" dxfId="1291" priority="175" operator="greaterThan">
      <formula>0.03</formula>
    </cfRule>
    <cfRule type="cellIs" dxfId="1290" priority="176" stopIfTrue="1" operator="lessThan">
      <formula>-0.03</formula>
    </cfRule>
  </conditionalFormatting>
  <conditionalFormatting sqref="Y74:Z74">
    <cfRule type="cellIs" dxfId="1289" priority="173" operator="greaterThan">
      <formula>0.03</formula>
    </cfRule>
    <cfRule type="cellIs" dxfId="1288" priority="174" stopIfTrue="1" operator="lessThan">
      <formula>-0.03</formula>
    </cfRule>
  </conditionalFormatting>
  <conditionalFormatting sqref="Y78:Z78">
    <cfRule type="cellIs" dxfId="1287" priority="171" operator="greaterThan">
      <formula>0.03</formula>
    </cfRule>
    <cfRule type="cellIs" dxfId="1286" priority="172" stopIfTrue="1" operator="lessThan">
      <formula>-0.03</formula>
    </cfRule>
  </conditionalFormatting>
  <conditionalFormatting sqref="AM63:AO66">
    <cfRule type="cellIs" dxfId="1285" priority="169" operator="greaterThan">
      <formula>0.03</formula>
    </cfRule>
    <cfRule type="cellIs" dxfId="1284" priority="170" stopIfTrue="1" operator="lessThan">
      <formula>-0.03</formula>
    </cfRule>
  </conditionalFormatting>
  <conditionalFormatting sqref="AQ63">
    <cfRule type="cellIs" dxfId="1283" priority="165" operator="greaterThan">
      <formula>0.03</formula>
    </cfRule>
    <cfRule type="cellIs" dxfId="1282" priority="166" stopIfTrue="1" operator="lessThan">
      <formula>-0.03</formula>
    </cfRule>
  </conditionalFormatting>
  <conditionalFormatting sqref="AR63">
    <cfRule type="cellIs" dxfId="1281" priority="163" operator="greaterThan">
      <formula>0.03</formula>
    </cfRule>
    <cfRule type="cellIs" dxfId="1280" priority="164" stopIfTrue="1" operator="lessThan">
      <formula>-0.03</formula>
    </cfRule>
  </conditionalFormatting>
  <conditionalFormatting sqref="AP66:AQ66">
    <cfRule type="cellIs" dxfId="1279" priority="161" operator="greaterThan">
      <formula>0.03</formula>
    </cfRule>
    <cfRule type="cellIs" dxfId="1278" priority="162" stopIfTrue="1" operator="lessThan">
      <formula>-0.03</formula>
    </cfRule>
  </conditionalFormatting>
  <conditionalFormatting sqref="AM67:AO70">
    <cfRule type="cellIs" dxfId="1277" priority="159" operator="greaterThan">
      <formula>0.03</formula>
    </cfRule>
    <cfRule type="cellIs" dxfId="1276" priority="160" stopIfTrue="1" operator="lessThan">
      <formula>-0.03</formula>
    </cfRule>
  </conditionalFormatting>
  <conditionalFormatting sqref="AP67">
    <cfRule type="cellIs" dxfId="1275" priority="157" operator="greaterThan">
      <formula>0.03</formula>
    </cfRule>
    <cfRule type="cellIs" dxfId="1274" priority="158" stopIfTrue="1" operator="lessThan">
      <formula>-0.03</formula>
    </cfRule>
  </conditionalFormatting>
  <conditionalFormatting sqref="V3:X14">
    <cfRule type="cellIs" dxfId="1273" priority="545" operator="greaterThan">
      <formula>0.03</formula>
    </cfRule>
    <cfRule type="cellIs" dxfId="1272" priority="546" stopIfTrue="1" operator="lessThan">
      <formula>-0.03</formula>
    </cfRule>
  </conditionalFormatting>
  <conditionalFormatting sqref="Y3">
    <cfRule type="cellIs" dxfId="1271" priority="543" operator="greaterThan">
      <formula>0.03</formula>
    </cfRule>
    <cfRule type="cellIs" dxfId="1270" priority="544" stopIfTrue="1" operator="lessThan">
      <formula>-0.03</formula>
    </cfRule>
  </conditionalFormatting>
  <conditionalFormatting sqref="Z3">
    <cfRule type="cellIs" dxfId="1269" priority="541" operator="greaterThan">
      <formula>0.03</formula>
    </cfRule>
    <cfRule type="cellIs" dxfId="1268" priority="542" stopIfTrue="1" operator="lessThan">
      <formula>-0.03</formula>
    </cfRule>
  </conditionalFormatting>
  <conditionalFormatting sqref="AA3">
    <cfRule type="cellIs" dxfId="1267" priority="539" operator="greaterThan">
      <formula>0.03</formula>
    </cfRule>
    <cfRule type="cellIs" dxfId="1266" priority="540" stopIfTrue="1" operator="lessThan">
      <formula>-0.03</formula>
    </cfRule>
  </conditionalFormatting>
  <conditionalFormatting sqref="Y7">
    <cfRule type="cellIs" dxfId="1265" priority="537" operator="greaterThan">
      <formula>0.03</formula>
    </cfRule>
    <cfRule type="cellIs" dxfId="1264" priority="538" stopIfTrue="1" operator="lessThan">
      <formula>-0.03</formula>
    </cfRule>
  </conditionalFormatting>
  <conditionalFormatting sqref="Z7">
    <cfRule type="cellIs" dxfId="1263" priority="535" operator="greaterThan">
      <formula>0.03</formula>
    </cfRule>
    <cfRule type="cellIs" dxfId="1262" priority="536" stopIfTrue="1" operator="lessThan">
      <formula>-0.03</formula>
    </cfRule>
  </conditionalFormatting>
  <conditionalFormatting sqref="Y11">
    <cfRule type="cellIs" dxfId="1261" priority="531" operator="greaterThan">
      <formula>0.03</formula>
    </cfRule>
    <cfRule type="cellIs" dxfId="1260" priority="532" stopIfTrue="1" operator="lessThan">
      <formula>-0.03</formula>
    </cfRule>
  </conditionalFormatting>
  <conditionalFormatting sqref="AA11">
    <cfRule type="cellIs" dxfId="1259" priority="527" operator="greaterThan">
      <formula>0.03</formula>
    </cfRule>
    <cfRule type="cellIs" dxfId="1258" priority="528" stopIfTrue="1" operator="lessThan">
      <formula>-0.03</formula>
    </cfRule>
  </conditionalFormatting>
  <conditionalFormatting sqref="Y10:Z10">
    <cfRule type="cellIs" dxfId="1257" priority="517" operator="greaterThan">
      <formula>0.03</formula>
    </cfRule>
    <cfRule type="cellIs" dxfId="1256" priority="518" stopIfTrue="1" operator="lessThan">
      <formula>-0.03</formula>
    </cfRule>
  </conditionalFormatting>
  <conditionalFormatting sqref="AQ3">
    <cfRule type="cellIs" dxfId="1255" priority="507" operator="greaterThan">
      <formula>0.03</formula>
    </cfRule>
    <cfRule type="cellIs" dxfId="1254" priority="508" stopIfTrue="1" operator="lessThan">
      <formula>-0.03</formula>
    </cfRule>
  </conditionalFormatting>
  <conditionalFormatting sqref="AM11:AO14">
    <cfRule type="cellIs" dxfId="1253" priority="491" operator="greaterThan">
      <formula>0.03</formula>
    </cfRule>
    <cfRule type="cellIs" dxfId="1252" priority="492" stopIfTrue="1" operator="lessThan">
      <formula>-0.03</formula>
    </cfRule>
  </conditionalFormatting>
  <conditionalFormatting sqref="AP11">
    <cfRule type="cellIs" dxfId="1251" priority="489" operator="greaterThan">
      <formula>0.03</formula>
    </cfRule>
    <cfRule type="cellIs" dxfId="1250" priority="490" stopIfTrue="1" operator="lessThan">
      <formula>-0.03</formula>
    </cfRule>
  </conditionalFormatting>
  <conditionalFormatting sqref="AQ11">
    <cfRule type="cellIs" dxfId="1249" priority="487" operator="greaterThan">
      <formula>0.03</formula>
    </cfRule>
    <cfRule type="cellIs" dxfId="1248" priority="488" stopIfTrue="1" operator="lessThan">
      <formula>-0.03</formula>
    </cfRule>
  </conditionalFormatting>
  <conditionalFormatting sqref="AR11">
    <cfRule type="cellIs" dxfId="1247" priority="485" operator="greaterThan">
      <formula>0.03</formula>
    </cfRule>
    <cfRule type="cellIs" dxfId="1246" priority="486" stopIfTrue="1" operator="lessThan">
      <formula>-0.03</formula>
    </cfRule>
  </conditionalFormatting>
  <conditionalFormatting sqref="AP14:AQ14">
    <cfRule type="cellIs" dxfId="1245" priority="483" operator="greaterThan">
      <formula>0.03</formula>
    </cfRule>
    <cfRule type="cellIs" dxfId="1244" priority="484" stopIfTrue="1" operator="lessThan">
      <formula>-0.03</formula>
    </cfRule>
  </conditionalFormatting>
  <conditionalFormatting sqref="AQ19">
    <cfRule type="cellIs" dxfId="1243" priority="399" operator="greaterThan">
      <formula>0.03</formula>
    </cfRule>
    <cfRule type="cellIs" dxfId="1242" priority="400" stopIfTrue="1" operator="lessThan">
      <formula>-0.03</formula>
    </cfRule>
  </conditionalFormatting>
  <conditionalFormatting sqref="AR19">
    <cfRule type="cellIs" dxfId="1241" priority="397" operator="greaterThan">
      <formula>0.03</formula>
    </cfRule>
    <cfRule type="cellIs" dxfId="1240" priority="398" stopIfTrue="1" operator="lessThan">
      <formula>-0.03</formula>
    </cfRule>
  </conditionalFormatting>
  <conditionalFormatting sqref="AR15">
    <cfRule type="cellIs" dxfId="1239" priority="407" operator="greaterThan">
      <formula>0.03</formula>
    </cfRule>
    <cfRule type="cellIs" dxfId="1238" priority="408" stopIfTrue="1" operator="lessThan">
      <formula>-0.03</formula>
    </cfRule>
  </conditionalFormatting>
  <conditionalFormatting sqref="AM15:AO18">
    <cfRule type="cellIs" dxfId="1237" priority="413" operator="greaterThan">
      <formula>0.03</formula>
    </cfRule>
    <cfRule type="cellIs" dxfId="1236" priority="414" stopIfTrue="1" operator="lessThan">
      <formula>-0.03</formula>
    </cfRule>
  </conditionalFormatting>
  <conditionalFormatting sqref="AP15">
    <cfRule type="cellIs" dxfId="1235" priority="411" operator="greaterThan">
      <formula>0.03</formula>
    </cfRule>
    <cfRule type="cellIs" dxfId="1234" priority="412" stopIfTrue="1" operator="lessThan">
      <formula>-0.03</formula>
    </cfRule>
  </conditionalFormatting>
  <conditionalFormatting sqref="AP22:AQ22">
    <cfRule type="cellIs" dxfId="1233" priority="395" operator="greaterThan">
      <formula>0.03</formula>
    </cfRule>
    <cfRule type="cellIs" dxfId="1232" priority="396" stopIfTrue="1" operator="lessThan">
      <formula>-0.03</formula>
    </cfRule>
  </conditionalFormatting>
  <conditionalFormatting sqref="V111:AA112">
    <cfRule type="cellIs" dxfId="1231" priority="469" operator="greaterThan">
      <formula>0.03</formula>
    </cfRule>
    <cfRule type="cellIs" dxfId="1230" priority="470" stopIfTrue="1" operator="lessThan">
      <formula>-0.03</formula>
    </cfRule>
  </conditionalFormatting>
  <conditionalFormatting sqref="AM113:AR113">
    <cfRule type="cellIs" dxfId="1229" priority="451" operator="greaterThan">
      <formula>0.03</formula>
    </cfRule>
    <cfRule type="cellIs" dxfId="1228" priority="452" stopIfTrue="1" operator="lessThan">
      <formula>-0.03</formula>
    </cfRule>
  </conditionalFormatting>
  <conditionalFormatting sqref="AM114:AR114">
    <cfRule type="cellIs" dxfId="1227" priority="459" operator="greaterThan">
      <formula>0.03</formula>
    </cfRule>
    <cfRule type="cellIs" dxfId="1226" priority="460" stopIfTrue="1" operator="lessThan">
      <formula>-0.03</formula>
    </cfRule>
  </conditionalFormatting>
  <conditionalFormatting sqref="V107:AA107 V109:AA109">
    <cfRule type="cellIs" dxfId="1225" priority="467" operator="greaterThan">
      <formula>0.03</formula>
    </cfRule>
    <cfRule type="cellIs" dxfId="1224" priority="468" stopIfTrue="1" operator="lessThan">
      <formula>-0.03</formula>
    </cfRule>
  </conditionalFormatting>
  <conditionalFormatting sqref="Y19">
    <cfRule type="cellIs" dxfId="1223" priority="439" operator="greaterThan">
      <formula>0.03</formula>
    </cfRule>
    <cfRule type="cellIs" dxfId="1222" priority="440" stopIfTrue="1" operator="lessThan">
      <formula>-0.03</formula>
    </cfRule>
  </conditionalFormatting>
  <conditionalFormatting sqref="AM23:AO26">
    <cfRule type="cellIs" dxfId="1221" priority="393" operator="greaterThan">
      <formula>0.03</formula>
    </cfRule>
    <cfRule type="cellIs" dxfId="1220" priority="394" stopIfTrue="1" operator="lessThan">
      <formula>-0.03</formula>
    </cfRule>
  </conditionalFormatting>
  <conditionalFormatting sqref="AP23">
    <cfRule type="cellIs" dxfId="1219" priority="391" operator="greaterThan">
      <formula>0.03</formula>
    </cfRule>
    <cfRule type="cellIs" dxfId="1218" priority="392" stopIfTrue="1" operator="lessThan">
      <formula>-0.03</formula>
    </cfRule>
  </conditionalFormatting>
  <conditionalFormatting sqref="AQ23">
    <cfRule type="cellIs" dxfId="1217" priority="389" operator="greaterThan">
      <formula>0.03</formula>
    </cfRule>
    <cfRule type="cellIs" dxfId="1216" priority="390" stopIfTrue="1" operator="lessThan">
      <formula>-0.03</formula>
    </cfRule>
  </conditionalFormatting>
  <conditionalFormatting sqref="AR23">
    <cfRule type="cellIs" dxfId="1215" priority="387" operator="greaterThan">
      <formula>0.03</formula>
    </cfRule>
    <cfRule type="cellIs" dxfId="1214" priority="388" stopIfTrue="1" operator="lessThan">
      <formula>-0.03</formula>
    </cfRule>
  </conditionalFormatting>
  <conditionalFormatting sqref="V108:AA108">
    <cfRule type="cellIs" dxfId="1213" priority="461" operator="greaterThan">
      <formula>0.03</formula>
    </cfRule>
    <cfRule type="cellIs" dxfId="1212" priority="462" stopIfTrue="1" operator="lessThan">
      <formula>-0.03</formula>
    </cfRule>
  </conditionalFormatting>
  <conditionalFormatting sqref="AM110:AR110">
    <cfRule type="cellIs" dxfId="1211" priority="453" operator="greaterThan">
      <formula>0.03</formula>
    </cfRule>
    <cfRule type="cellIs" dxfId="1210" priority="454" stopIfTrue="1" operator="lessThan">
      <formula>-0.03</formula>
    </cfRule>
  </conditionalFormatting>
  <conditionalFormatting sqref="AM108:AR108">
    <cfRule type="cellIs" dxfId="1209" priority="449" operator="greaterThan">
      <formula>0.03</formula>
    </cfRule>
    <cfRule type="cellIs" dxfId="1208" priority="450" stopIfTrue="1" operator="lessThan">
      <formula>-0.03</formula>
    </cfRule>
  </conditionalFormatting>
  <conditionalFormatting sqref="V15:X26">
    <cfRule type="cellIs" dxfId="1207" priority="447" operator="greaterThan">
      <formula>0.03</formula>
    </cfRule>
    <cfRule type="cellIs" dxfId="1206" priority="448" stopIfTrue="1" operator="lessThan">
      <formula>-0.03</formula>
    </cfRule>
  </conditionalFormatting>
  <conditionalFormatting sqref="Y15">
    <cfRule type="cellIs" dxfId="1205" priority="445" operator="greaterThan">
      <formula>0.03</formula>
    </cfRule>
    <cfRule type="cellIs" dxfId="1204" priority="446" stopIfTrue="1" operator="lessThan">
      <formula>-0.03</formula>
    </cfRule>
  </conditionalFormatting>
  <conditionalFormatting sqref="V110:AA110">
    <cfRule type="cellIs" dxfId="1203" priority="465" operator="greaterThan">
      <formula>0.03</formula>
    </cfRule>
    <cfRule type="cellIs" dxfId="1202" priority="466" stopIfTrue="1" operator="lessThan">
      <formula>-0.03</formula>
    </cfRule>
  </conditionalFormatting>
  <conditionalFormatting sqref="V113:AA113">
    <cfRule type="cellIs" dxfId="1201" priority="463" operator="greaterThan">
      <formula>0.03</formula>
    </cfRule>
    <cfRule type="cellIs" dxfId="1200" priority="464" stopIfTrue="1" operator="lessThan">
      <formula>-0.03</formula>
    </cfRule>
  </conditionalFormatting>
  <conditionalFormatting sqref="AM107:AR107 AM109:AR109">
    <cfRule type="cellIs" dxfId="1199" priority="455" operator="greaterThan">
      <formula>0.03</formula>
    </cfRule>
    <cfRule type="cellIs" dxfId="1198" priority="456" stopIfTrue="1" operator="lessThan">
      <formula>-0.03</formula>
    </cfRule>
  </conditionalFormatting>
  <conditionalFormatting sqref="Z15">
    <cfRule type="cellIs" dxfId="1197" priority="443" operator="greaterThan">
      <formula>0.03</formula>
    </cfRule>
    <cfRule type="cellIs" dxfId="1196" priority="444" stopIfTrue="1" operator="lessThan">
      <formula>-0.03</formula>
    </cfRule>
  </conditionalFormatting>
  <conditionalFormatting sqref="AA15">
    <cfRule type="cellIs" dxfId="1195" priority="441" operator="greaterThan">
      <formula>0.03</formula>
    </cfRule>
    <cfRule type="cellIs" dxfId="1194" priority="442" stopIfTrue="1" operator="lessThan">
      <formula>-0.03</formula>
    </cfRule>
  </conditionalFormatting>
  <conditionalFormatting sqref="Z23">
    <cfRule type="cellIs" dxfId="1193" priority="431" operator="greaterThan">
      <formula>0.03</formula>
    </cfRule>
    <cfRule type="cellIs" dxfId="1192" priority="432" stopIfTrue="1" operator="lessThan">
      <formula>-0.03</formula>
    </cfRule>
  </conditionalFormatting>
  <conditionalFormatting sqref="AA23">
    <cfRule type="cellIs" dxfId="1191" priority="429" operator="greaterThan">
      <formula>0.03</formula>
    </cfRule>
    <cfRule type="cellIs" dxfId="1190" priority="430" stopIfTrue="1" operator="lessThan">
      <formula>-0.03</formula>
    </cfRule>
  </conditionalFormatting>
  <conditionalFormatting sqref="Y18:Z18">
    <cfRule type="cellIs" dxfId="1189" priority="421" operator="greaterThan">
      <formula>0.03</formula>
    </cfRule>
    <cfRule type="cellIs" dxfId="1188" priority="422" stopIfTrue="1" operator="lessThan">
      <formula>-0.03</formula>
    </cfRule>
  </conditionalFormatting>
  <conditionalFormatting sqref="Y22:Z22">
    <cfRule type="cellIs" dxfId="1187" priority="419" operator="greaterThan">
      <formula>0.03</formula>
    </cfRule>
    <cfRule type="cellIs" dxfId="1186" priority="420" stopIfTrue="1" operator="lessThan">
      <formula>-0.03</formula>
    </cfRule>
  </conditionalFormatting>
  <conditionalFormatting sqref="Y26:Z26">
    <cfRule type="cellIs" dxfId="1185" priority="417" operator="greaterThan">
      <formula>0.03</formula>
    </cfRule>
    <cfRule type="cellIs" dxfId="1184" priority="418" stopIfTrue="1" operator="lessThan">
      <formula>-0.03</formula>
    </cfRule>
  </conditionalFormatting>
  <conditionalFormatting sqref="AP26:AQ26">
    <cfRule type="cellIs" dxfId="1183" priority="385" operator="greaterThan">
      <formula>0.03</formula>
    </cfRule>
    <cfRule type="cellIs" dxfId="1182" priority="386" stopIfTrue="1" operator="lessThan">
      <formula>-0.03</formula>
    </cfRule>
  </conditionalFormatting>
  <conditionalFormatting sqref="V27:X30">
    <cfRule type="cellIs" dxfId="1181" priority="373" operator="greaterThan">
      <formula>0.03</formula>
    </cfRule>
    <cfRule type="cellIs" dxfId="1180" priority="374" stopIfTrue="1" operator="lessThan">
      <formula>-0.03</formula>
    </cfRule>
  </conditionalFormatting>
  <conditionalFormatting sqref="Y27">
    <cfRule type="cellIs" dxfId="1179" priority="371" operator="greaterThan">
      <formula>0.03</formula>
    </cfRule>
    <cfRule type="cellIs" dxfId="1178" priority="372" stopIfTrue="1" operator="lessThan">
      <formula>-0.03</formula>
    </cfRule>
  </conditionalFormatting>
  <conditionalFormatting sqref="Z27">
    <cfRule type="cellIs" dxfId="1177" priority="369" operator="greaterThan">
      <formula>0.03</formula>
    </cfRule>
    <cfRule type="cellIs" dxfId="1176" priority="370" stopIfTrue="1" operator="lessThan">
      <formula>-0.03</formula>
    </cfRule>
  </conditionalFormatting>
  <conditionalFormatting sqref="Y102:Z102">
    <cfRule type="cellIs" dxfId="1175" priority="99" operator="greaterThan">
      <formula>0.03</formula>
    </cfRule>
    <cfRule type="cellIs" dxfId="1174" priority="100" stopIfTrue="1" operator="lessThan">
      <formula>-0.03</formula>
    </cfRule>
  </conditionalFormatting>
  <conditionalFormatting sqref="Y98:Z98">
    <cfRule type="cellIs" dxfId="1173" priority="101" operator="greaterThan">
      <formula>0.03</formula>
    </cfRule>
    <cfRule type="cellIs" dxfId="1172" priority="102" stopIfTrue="1" operator="lessThan">
      <formula>-0.03</formula>
    </cfRule>
  </conditionalFormatting>
  <conditionalFormatting sqref="AM91:AO94">
    <cfRule type="cellIs" dxfId="1171" priority="95" operator="greaterThan">
      <formula>0.03</formula>
    </cfRule>
    <cfRule type="cellIs" dxfId="1170" priority="96" stopIfTrue="1" operator="lessThan">
      <formula>-0.03</formula>
    </cfRule>
  </conditionalFormatting>
  <conditionalFormatting sqref="AQ91">
    <cfRule type="cellIs" dxfId="1169" priority="91" operator="greaterThan">
      <formula>0.03</formula>
    </cfRule>
    <cfRule type="cellIs" dxfId="1168" priority="92" stopIfTrue="1" operator="lessThan">
      <formula>-0.03</formula>
    </cfRule>
  </conditionalFormatting>
  <conditionalFormatting sqref="AP91">
    <cfRule type="cellIs" dxfId="1167" priority="93" operator="greaterThan">
      <formula>0.03</formula>
    </cfRule>
    <cfRule type="cellIs" dxfId="1166" priority="94" stopIfTrue="1" operator="lessThan">
      <formula>-0.03</formula>
    </cfRule>
  </conditionalFormatting>
  <conditionalFormatting sqref="AR91">
    <cfRule type="cellIs" dxfId="1165" priority="89" operator="greaterThan">
      <formula>0.03</formula>
    </cfRule>
    <cfRule type="cellIs" dxfId="1164" priority="90" stopIfTrue="1" operator="lessThan">
      <formula>-0.03</formula>
    </cfRule>
  </conditionalFormatting>
  <conditionalFormatting sqref="AM95:AO98">
    <cfRule type="cellIs" dxfId="1163" priority="85" operator="greaterThan">
      <formula>0.03</formula>
    </cfRule>
    <cfRule type="cellIs" dxfId="1162" priority="86" stopIfTrue="1" operator="lessThan">
      <formula>-0.03</formula>
    </cfRule>
  </conditionalFormatting>
  <conditionalFormatting sqref="AQ95">
    <cfRule type="cellIs" dxfId="1161" priority="81" operator="greaterThan">
      <formula>0.03</formula>
    </cfRule>
    <cfRule type="cellIs" dxfId="1160" priority="82" stopIfTrue="1" operator="lessThan">
      <formula>-0.03</formula>
    </cfRule>
  </conditionalFormatting>
  <conditionalFormatting sqref="AP95">
    <cfRule type="cellIs" dxfId="1159" priority="83" operator="greaterThan">
      <formula>0.03</formula>
    </cfRule>
    <cfRule type="cellIs" dxfId="1158" priority="84" stopIfTrue="1" operator="lessThan">
      <formula>-0.03</formula>
    </cfRule>
  </conditionalFormatting>
  <conditionalFormatting sqref="AR95">
    <cfRule type="cellIs" dxfId="1157" priority="79" operator="greaterThan">
      <formula>0.03</formula>
    </cfRule>
    <cfRule type="cellIs" dxfId="1156" priority="80" stopIfTrue="1" operator="lessThan">
      <formula>-0.03</formula>
    </cfRule>
  </conditionalFormatting>
  <conditionalFormatting sqref="Y106:Z106">
    <cfRule type="cellIs" dxfId="1155" priority="97" operator="greaterThan">
      <formula>0.03</formula>
    </cfRule>
    <cfRule type="cellIs" dxfId="1154" priority="98" stopIfTrue="1" operator="lessThan">
      <formula>-0.03</formula>
    </cfRule>
  </conditionalFormatting>
  <conditionalFormatting sqref="AP94:AQ94">
    <cfRule type="cellIs" dxfId="1153" priority="87" operator="greaterThan">
      <formula>0.03</formula>
    </cfRule>
    <cfRule type="cellIs" dxfId="1152" priority="88" stopIfTrue="1" operator="lessThan">
      <formula>-0.03</formula>
    </cfRule>
  </conditionalFormatting>
  <conditionalFormatting sqref="AP98:AQ98">
    <cfRule type="cellIs" dxfId="1151" priority="77" operator="greaterThan">
      <formula>0.03</formula>
    </cfRule>
    <cfRule type="cellIs" dxfId="1150" priority="78" stopIfTrue="1" operator="lessThan">
      <formula>-0.03</formula>
    </cfRule>
  </conditionalFormatting>
  <conditionalFormatting sqref="AM99:AO102">
    <cfRule type="cellIs" dxfId="1149" priority="75" operator="greaterThan">
      <formula>0.03</formula>
    </cfRule>
    <cfRule type="cellIs" dxfId="1148" priority="76" stopIfTrue="1" operator="lessThan">
      <formula>-0.03</formula>
    </cfRule>
  </conditionalFormatting>
  <conditionalFormatting sqref="AP99">
    <cfRule type="cellIs" dxfId="1147" priority="73" operator="greaterThan">
      <formula>0.03</formula>
    </cfRule>
    <cfRule type="cellIs" dxfId="1146" priority="74" stopIfTrue="1" operator="lessThan">
      <formula>-0.03</formula>
    </cfRule>
  </conditionalFormatting>
  <conditionalFormatting sqref="AP102:AQ102">
    <cfRule type="cellIs" dxfId="1145" priority="67" operator="greaterThan">
      <formula>0.03</formula>
    </cfRule>
    <cfRule type="cellIs" dxfId="1144" priority="68" stopIfTrue="1" operator="lessThan">
      <formula>-0.03</formula>
    </cfRule>
  </conditionalFormatting>
  <conditionalFormatting sqref="AQ103">
    <cfRule type="cellIs" dxfId="1143" priority="61" operator="greaterThan">
      <formula>0.03</formula>
    </cfRule>
    <cfRule type="cellIs" dxfId="1142" priority="62" stopIfTrue="1" operator="lessThan">
      <formula>-0.03</formula>
    </cfRule>
  </conditionalFormatting>
  <conditionalFormatting sqref="AR103">
    <cfRule type="cellIs" dxfId="1141" priority="59" operator="greaterThan">
      <formula>0.03</formula>
    </cfRule>
    <cfRule type="cellIs" dxfId="1140" priority="60" stopIfTrue="1" operator="lessThan">
      <formula>-0.03</formula>
    </cfRule>
  </conditionalFormatting>
  <conditionalFormatting sqref="AQ79">
    <cfRule type="cellIs" dxfId="1139" priority="25" operator="greaterThan">
      <formula>0.03</formula>
    </cfRule>
    <cfRule type="cellIs" dxfId="1138" priority="26" stopIfTrue="1" operator="lessThan">
      <formula>-0.03</formula>
    </cfRule>
  </conditionalFormatting>
  <conditionalFormatting sqref="Z83">
    <cfRule type="cellIs" dxfId="1137" priority="45" operator="greaterThan">
      <formula>0.03</formula>
    </cfRule>
    <cfRule type="cellIs" dxfId="1136" priority="46" stopIfTrue="1" operator="lessThan">
      <formula>-0.03</formula>
    </cfRule>
  </conditionalFormatting>
  <conditionalFormatting sqref="AQ99">
    <cfRule type="cellIs" dxfId="1135" priority="71" operator="greaterThan">
      <formula>0.03</formula>
    </cfRule>
    <cfRule type="cellIs" dxfId="1134" priority="72" stopIfTrue="1" operator="lessThan">
      <formula>-0.03</formula>
    </cfRule>
  </conditionalFormatting>
  <conditionalFormatting sqref="AR99">
    <cfRule type="cellIs" dxfId="1133" priority="69" operator="greaterThan">
      <formula>0.03</formula>
    </cfRule>
    <cfRule type="cellIs" dxfId="1132" priority="70" stopIfTrue="1" operator="lessThan">
      <formula>-0.03</formula>
    </cfRule>
  </conditionalFormatting>
  <conditionalFormatting sqref="AM103:AO106">
    <cfRule type="cellIs" dxfId="1131" priority="65" operator="greaterThan">
      <formula>0.03</formula>
    </cfRule>
    <cfRule type="cellIs" dxfId="1130" priority="66" stopIfTrue="1" operator="lessThan">
      <formula>-0.03</formula>
    </cfRule>
  </conditionalFormatting>
  <conditionalFormatting sqref="AP106:AQ106">
    <cfRule type="cellIs" dxfId="1129" priority="57" operator="greaterThan">
      <formula>0.03</formula>
    </cfRule>
    <cfRule type="cellIs" dxfId="1128" priority="58" stopIfTrue="1" operator="lessThan">
      <formula>-0.03</formula>
    </cfRule>
  </conditionalFormatting>
  <conditionalFormatting sqref="Z87">
    <cfRule type="cellIs" dxfId="1127" priority="39" operator="greaterThan">
      <formula>0.03</formula>
    </cfRule>
    <cfRule type="cellIs" dxfId="1126" priority="40" stopIfTrue="1" operator="lessThan">
      <formula>-0.03</formula>
    </cfRule>
  </conditionalFormatting>
  <conditionalFormatting sqref="Y83">
    <cfRule type="cellIs" dxfId="1125" priority="47" operator="greaterThan">
      <formula>0.03</formula>
    </cfRule>
    <cfRule type="cellIs" dxfId="1124" priority="48" stopIfTrue="1" operator="lessThan">
      <formula>-0.03</formula>
    </cfRule>
  </conditionalFormatting>
  <conditionalFormatting sqref="V79:X90">
    <cfRule type="cellIs" dxfId="1123" priority="55" operator="greaterThan">
      <formula>0.03</formula>
    </cfRule>
    <cfRule type="cellIs" dxfId="1122" priority="56" stopIfTrue="1" operator="lessThan">
      <formula>-0.03</formula>
    </cfRule>
  </conditionalFormatting>
  <conditionalFormatting sqref="AP103">
    <cfRule type="cellIs" dxfId="1121" priority="63" operator="greaterThan">
      <formula>0.03</formula>
    </cfRule>
    <cfRule type="cellIs" dxfId="1120" priority="64" stopIfTrue="1" operator="lessThan">
      <formula>-0.03</formula>
    </cfRule>
  </conditionalFormatting>
  <conditionalFormatting sqref="AP79">
    <cfRule type="cellIs" dxfId="1119" priority="27" operator="greaterThan">
      <formula>0.03</formula>
    </cfRule>
    <cfRule type="cellIs" dxfId="1118" priority="28" stopIfTrue="1" operator="lessThan">
      <formula>-0.03</formula>
    </cfRule>
  </conditionalFormatting>
  <conditionalFormatting sqref="AA79">
    <cfRule type="cellIs" dxfId="1117" priority="49" operator="greaterThan">
      <formula>0.03</formula>
    </cfRule>
    <cfRule type="cellIs" dxfId="1116" priority="50" stopIfTrue="1" operator="lessThan">
      <formula>-0.03</formula>
    </cfRule>
  </conditionalFormatting>
  <conditionalFormatting sqref="Y87">
    <cfRule type="cellIs" dxfId="1115" priority="41" operator="greaterThan">
      <formula>0.03</formula>
    </cfRule>
    <cfRule type="cellIs" dxfId="1114" priority="42" stopIfTrue="1" operator="lessThan">
      <formula>-0.03</formula>
    </cfRule>
  </conditionalFormatting>
  <conditionalFormatting sqref="AA87">
    <cfRule type="cellIs" dxfId="1113" priority="37" operator="greaterThan">
      <formula>0.03</formula>
    </cfRule>
    <cfRule type="cellIs" dxfId="1112" priority="38" stopIfTrue="1" operator="lessThan">
      <formula>-0.03</formula>
    </cfRule>
  </conditionalFormatting>
  <conditionalFormatting sqref="Y82:Z82">
    <cfRule type="cellIs" dxfId="1111" priority="35" operator="greaterThan">
      <formula>0.03</formula>
    </cfRule>
    <cfRule type="cellIs" dxfId="1110" priority="36" stopIfTrue="1" operator="lessThan">
      <formula>-0.03</formula>
    </cfRule>
  </conditionalFormatting>
  <conditionalFormatting sqref="Y86:Z86">
    <cfRule type="cellIs" dxfId="1109" priority="33" operator="greaterThan">
      <formula>0.03</formula>
    </cfRule>
    <cfRule type="cellIs" dxfId="1108" priority="34" stopIfTrue="1" operator="lessThan">
      <formula>-0.03</formula>
    </cfRule>
  </conditionalFormatting>
  <conditionalFormatting sqref="Y79">
    <cfRule type="cellIs" dxfId="1107" priority="53" operator="greaterThan">
      <formula>0.03</formula>
    </cfRule>
    <cfRule type="cellIs" dxfId="1106" priority="54" stopIfTrue="1" operator="lessThan">
      <formula>-0.03</formula>
    </cfRule>
  </conditionalFormatting>
  <conditionalFormatting sqref="Z79">
    <cfRule type="cellIs" dxfId="1105" priority="51" operator="greaterThan">
      <formula>0.03</formula>
    </cfRule>
    <cfRule type="cellIs" dxfId="1104" priority="52" stopIfTrue="1" operator="lessThan">
      <formula>-0.03</formula>
    </cfRule>
  </conditionalFormatting>
  <conditionalFormatting sqref="AA83">
    <cfRule type="cellIs" dxfId="1103" priority="43" operator="greaterThan">
      <formula>0.03</formula>
    </cfRule>
    <cfRule type="cellIs" dxfId="1102" priority="44" stopIfTrue="1" operator="lessThan">
      <formula>-0.03</formula>
    </cfRule>
  </conditionalFormatting>
  <conditionalFormatting sqref="Y90:Z90">
    <cfRule type="cellIs" dxfId="1101" priority="31" operator="greaterThan">
      <formula>0.03</formula>
    </cfRule>
    <cfRule type="cellIs" dxfId="1100" priority="32" stopIfTrue="1" operator="lessThan">
      <formula>-0.03</formula>
    </cfRule>
  </conditionalFormatting>
  <conditionalFormatting sqref="AM79:AO82">
    <cfRule type="cellIs" dxfId="1099" priority="29" operator="greaterThan">
      <formula>0.03</formula>
    </cfRule>
    <cfRule type="cellIs" dxfId="1098" priority="30" stopIfTrue="1" operator="lessThan">
      <formula>-0.03</formula>
    </cfRule>
  </conditionalFormatting>
  <conditionalFormatting sqref="AP83">
    <cfRule type="cellIs" dxfId="1097" priority="17" operator="greaterThan">
      <formula>0.03</formula>
    </cfRule>
    <cfRule type="cellIs" dxfId="1096" priority="18" stopIfTrue="1" operator="lessThan">
      <formula>-0.03</formula>
    </cfRule>
  </conditionalFormatting>
  <conditionalFormatting sqref="AQ83">
    <cfRule type="cellIs" dxfId="1095" priority="15" operator="greaterThan">
      <formula>0.03</formula>
    </cfRule>
    <cfRule type="cellIs" dxfId="1094" priority="16" stopIfTrue="1" operator="lessThan">
      <formula>-0.03</formula>
    </cfRule>
  </conditionalFormatting>
  <conditionalFormatting sqref="AR79">
    <cfRule type="cellIs" dxfId="1093" priority="23" operator="greaterThan">
      <formula>0.03</formula>
    </cfRule>
    <cfRule type="cellIs" dxfId="1092" priority="24" stopIfTrue="1" operator="lessThan">
      <formula>-0.03</formula>
    </cfRule>
  </conditionalFormatting>
  <conditionalFormatting sqref="AM83:AO86">
    <cfRule type="cellIs" dxfId="1091" priority="19" operator="greaterThan">
      <formula>0.03</formula>
    </cfRule>
    <cfRule type="cellIs" dxfId="1090" priority="20" stopIfTrue="1" operator="lessThan">
      <formula>-0.03</formula>
    </cfRule>
  </conditionalFormatting>
  <conditionalFormatting sqref="AP82:AQ82">
    <cfRule type="cellIs" dxfId="1089" priority="21" operator="greaterThan">
      <formula>0.03</formula>
    </cfRule>
    <cfRule type="cellIs" dxfId="1088" priority="22" stopIfTrue="1" operator="lessThan">
      <formula>-0.03</formula>
    </cfRule>
  </conditionalFormatting>
  <conditionalFormatting sqref="AQ87">
    <cfRule type="cellIs" dxfId="1087" priority="5" operator="greaterThan">
      <formula>0.03</formula>
    </cfRule>
    <cfRule type="cellIs" dxfId="1086" priority="6" stopIfTrue="1" operator="lessThan">
      <formula>-0.03</formula>
    </cfRule>
  </conditionalFormatting>
  <conditionalFormatting sqref="AR83">
    <cfRule type="cellIs" dxfId="1085" priority="13" operator="greaterThan">
      <formula>0.03</formula>
    </cfRule>
    <cfRule type="cellIs" dxfId="1084" priority="14" stopIfTrue="1" operator="lessThan">
      <formula>-0.03</formula>
    </cfRule>
  </conditionalFormatting>
  <conditionalFormatting sqref="AP90:AQ90">
    <cfRule type="cellIs" dxfId="1083" priority="1" operator="greaterThan">
      <formula>0.03</formula>
    </cfRule>
    <cfRule type="cellIs" dxfId="1082" priority="2" stopIfTrue="1" operator="lessThan">
      <formula>-0.03</formula>
    </cfRule>
  </conditionalFormatting>
  <conditionalFormatting sqref="AP86:AQ86">
    <cfRule type="cellIs" dxfId="1081" priority="11" operator="greaterThan">
      <formula>0.03</formula>
    </cfRule>
    <cfRule type="cellIs" dxfId="1080" priority="12" stopIfTrue="1" operator="lessThan">
      <formula>-0.03</formula>
    </cfRule>
  </conditionalFormatting>
  <conditionalFormatting sqref="AM87:AO90">
    <cfRule type="cellIs" dxfId="1079" priority="9" operator="greaterThan">
      <formula>0.03</formula>
    </cfRule>
    <cfRule type="cellIs" dxfId="1078" priority="10" stopIfTrue="1" operator="lessThan">
      <formula>-0.03</formula>
    </cfRule>
  </conditionalFormatting>
  <conditionalFormatting sqref="AP87">
    <cfRule type="cellIs" dxfId="1077" priority="7" operator="greaterThan">
      <formula>0.03</formula>
    </cfRule>
    <cfRule type="cellIs" dxfId="1076" priority="8" stopIfTrue="1" operator="lessThan">
      <formula>-0.03</formula>
    </cfRule>
  </conditionalFormatting>
  <conditionalFormatting sqref="AR87">
    <cfRule type="cellIs" dxfId="1075" priority="3" operator="greaterThan">
      <formula>0.03</formula>
    </cfRule>
    <cfRule type="cellIs" dxfId="1074" priority="4" stopIfTrue="1" operator="lessThan">
      <formula>-0.03</formula>
    </cfRule>
  </conditionalFormatting>
  <conditionalFormatting sqref="Y94:Z94">
    <cfRule type="cellIs" dxfId="1073" priority="103" operator="greaterThan">
      <formula>0.03</formula>
    </cfRule>
    <cfRule type="cellIs" dxfId="1072" priority="104" stopIfTrue="1" operator="lessThan">
      <formula>-0.03</formula>
    </cfRule>
  </conditionalFormatting>
  <conditionalFormatting sqref="Z103">
    <cfRule type="cellIs" dxfId="1071" priority="107" operator="greaterThan">
      <formula>0.03</formula>
    </cfRule>
    <cfRule type="cellIs" dxfId="1070" priority="108" stopIfTrue="1" operator="lessThan">
      <formula>-0.03</formula>
    </cfRule>
  </conditionalFormatting>
  <conditionalFormatting sqref="Y103">
    <cfRule type="cellIs" dxfId="1069" priority="109" operator="greaterThan">
      <formula>0.03</formula>
    </cfRule>
    <cfRule type="cellIs" dxfId="1068" priority="110" stopIfTrue="1" operator="lessThan">
      <formula>-0.03</formula>
    </cfRule>
  </conditionalFormatting>
  <conditionalFormatting sqref="AA103">
    <cfRule type="cellIs" dxfId="1067" priority="105" operator="greaterThan">
      <formula>0.03</formula>
    </cfRule>
    <cfRule type="cellIs" dxfId="1066" priority="106" stopIfTrue="1" operator="lessThan">
      <formula>-0.03</formula>
    </cfRule>
  </conditionalFormatting>
  <conditionalFormatting sqref="AP78:AQ78">
    <cfRule type="cellIs" dxfId="1065" priority="131" operator="greaterThan">
      <formula>0.03</formula>
    </cfRule>
    <cfRule type="cellIs" dxfId="1064" priority="132" stopIfTrue="1" operator="lessThan">
      <formula>-0.03</formula>
    </cfRule>
  </conditionalFormatting>
  <conditionalFormatting sqref="AP70:AQ70">
    <cfRule type="cellIs" dxfId="1063" priority="151" operator="greaterThan">
      <formula>0.03</formula>
    </cfRule>
    <cfRule type="cellIs" dxfId="1062" priority="152" stopIfTrue="1" operator="lessThan">
      <formula>-0.03</formula>
    </cfRule>
  </conditionalFormatting>
  <conditionalFormatting sqref="AQ71">
    <cfRule type="cellIs" dxfId="1061" priority="145" operator="greaterThan">
      <formula>0.03</formula>
    </cfRule>
    <cfRule type="cellIs" dxfId="1060" priority="146" stopIfTrue="1" operator="lessThan">
      <formula>-0.03</formula>
    </cfRule>
  </conditionalFormatting>
  <conditionalFormatting sqref="AR67">
    <cfRule type="cellIs" dxfId="1059" priority="153" operator="greaterThan">
      <formula>0.03</formula>
    </cfRule>
    <cfRule type="cellIs" dxfId="1058" priority="154" stopIfTrue="1" operator="lessThan">
      <formula>-0.03</formula>
    </cfRule>
  </conditionalFormatting>
  <conditionalFormatting sqref="AR75">
    <cfRule type="cellIs" dxfId="1057" priority="133" operator="greaterThan">
      <formula>0.03</formula>
    </cfRule>
    <cfRule type="cellIs" dxfId="1056" priority="134" stopIfTrue="1" operator="lessThan">
      <formula>-0.03</formula>
    </cfRule>
  </conditionalFormatting>
  <conditionalFormatting sqref="AQ67">
    <cfRule type="cellIs" dxfId="1055" priority="155" operator="greaterThan">
      <formula>0.03</formula>
    </cfRule>
    <cfRule type="cellIs" dxfId="1054" priority="156" stopIfTrue="1" operator="lessThan">
      <formula>-0.03</formula>
    </cfRule>
  </conditionalFormatting>
  <conditionalFormatting sqref="AP71">
    <cfRule type="cellIs" dxfId="1053" priority="147" operator="greaterThan">
      <formula>0.03</formula>
    </cfRule>
    <cfRule type="cellIs" dxfId="1052" priority="148" stopIfTrue="1" operator="lessThan">
      <formula>-0.03</formula>
    </cfRule>
  </conditionalFormatting>
  <conditionalFormatting sqref="AR71">
    <cfRule type="cellIs" dxfId="1051" priority="143" operator="greaterThan">
      <formula>0.03</formula>
    </cfRule>
    <cfRule type="cellIs" dxfId="1050" priority="144" stopIfTrue="1" operator="lessThan">
      <formula>-0.03</formula>
    </cfRule>
  </conditionalFormatting>
  <conditionalFormatting sqref="AP74:AQ74">
    <cfRule type="cellIs" dxfId="1049" priority="141" operator="greaterThan">
      <formula>0.03</formula>
    </cfRule>
    <cfRule type="cellIs" dxfId="1048" priority="142" stopIfTrue="1" operator="lessThan">
      <formula>-0.03</formula>
    </cfRule>
  </conditionalFormatting>
  <conditionalFormatting sqref="AM75:AO78">
    <cfRule type="cellIs" dxfId="1047" priority="139" operator="greaterThan">
      <formula>0.03</formula>
    </cfRule>
    <cfRule type="cellIs" dxfId="1046" priority="140" stopIfTrue="1" operator="lessThan">
      <formula>-0.03</formula>
    </cfRule>
  </conditionalFormatting>
  <conditionalFormatting sqref="AM71:AO74">
    <cfRule type="cellIs" dxfId="1045" priority="149" operator="greaterThan">
      <formula>0.03</formula>
    </cfRule>
    <cfRule type="cellIs" dxfId="1044" priority="150" stopIfTrue="1" operator="lessThan">
      <formula>-0.03</formula>
    </cfRule>
  </conditionalFormatting>
  <conditionalFormatting sqref="AP75">
    <cfRule type="cellIs" dxfId="1043" priority="137" operator="greaterThan">
      <formula>0.03</formula>
    </cfRule>
    <cfRule type="cellIs" dxfId="1042" priority="138" stopIfTrue="1" operator="lessThan">
      <formula>-0.03</formula>
    </cfRule>
  </conditionalFormatting>
  <conditionalFormatting sqref="AQ75">
    <cfRule type="cellIs" dxfId="1041" priority="135" operator="greaterThan">
      <formula>0.03</formula>
    </cfRule>
    <cfRule type="cellIs" dxfId="1040" priority="136" stopIfTrue="1" operator="lessThan">
      <formula>-0.03</formula>
    </cfRule>
  </conditionalFormatting>
  <conditionalFormatting sqref="Y99">
    <cfRule type="cellIs" dxfId="1039" priority="115" operator="greaterThan">
      <formula>0.03</formula>
    </cfRule>
    <cfRule type="cellIs" dxfId="1038" priority="116" stopIfTrue="1" operator="lessThan">
      <formula>-0.03</formula>
    </cfRule>
  </conditionalFormatting>
  <conditionalFormatting sqref="V91:X106">
    <cfRule type="cellIs" dxfId="1037" priority="129" operator="greaterThan">
      <formula>0.03</formula>
    </cfRule>
    <cfRule type="cellIs" dxfId="1036" priority="130" stopIfTrue="1" operator="lessThan">
      <formula>-0.03</formula>
    </cfRule>
  </conditionalFormatting>
  <conditionalFormatting sqref="Y91">
    <cfRule type="cellIs" dxfId="1035" priority="127" operator="greaterThan">
      <formula>0.03</formula>
    </cfRule>
    <cfRule type="cellIs" dxfId="1034" priority="128" stopIfTrue="1" operator="lessThan">
      <formula>-0.03</formula>
    </cfRule>
  </conditionalFormatting>
  <conditionalFormatting sqref="Z91">
    <cfRule type="cellIs" dxfId="1033" priority="125" operator="greaterThan">
      <formula>0.03</formula>
    </cfRule>
    <cfRule type="cellIs" dxfId="1032" priority="126" stopIfTrue="1" operator="lessThan">
      <formula>-0.03</formula>
    </cfRule>
  </conditionalFormatting>
  <conditionalFormatting sqref="AA91">
    <cfRule type="cellIs" dxfId="1031" priority="123" operator="greaterThan">
      <formula>0.03</formula>
    </cfRule>
    <cfRule type="cellIs" dxfId="1030" priority="124" stopIfTrue="1" operator="lessThan">
      <formula>-0.03</formula>
    </cfRule>
  </conditionalFormatting>
  <conditionalFormatting sqref="Y95">
    <cfRule type="cellIs" dxfId="1029" priority="121" operator="greaterThan">
      <formula>0.03</formula>
    </cfRule>
    <cfRule type="cellIs" dxfId="1028" priority="122" stopIfTrue="1" operator="lessThan">
      <formula>-0.03</formula>
    </cfRule>
  </conditionalFormatting>
  <conditionalFormatting sqref="Z95">
    <cfRule type="cellIs" dxfId="1027" priority="119" operator="greaterThan">
      <formula>0.03</formula>
    </cfRule>
    <cfRule type="cellIs" dxfId="1026" priority="120" stopIfTrue="1" operator="lessThan">
      <formula>-0.03</formula>
    </cfRule>
  </conditionalFormatting>
  <conditionalFormatting sqref="AA95">
    <cfRule type="cellIs" dxfId="1025" priority="117" operator="greaterThan">
      <formula>0.03</formula>
    </cfRule>
    <cfRule type="cellIs" dxfId="1024" priority="118" stopIfTrue="1" operator="lessThan">
      <formula>-0.03</formula>
    </cfRule>
  </conditionalFormatting>
  <conditionalFormatting sqref="Z99">
    <cfRule type="cellIs" dxfId="1023" priority="113" operator="greaterThan">
      <formula>0.03</formula>
    </cfRule>
    <cfRule type="cellIs" dxfId="1022" priority="114" stopIfTrue="1" operator="lessThan">
      <formula>-0.03</formula>
    </cfRule>
  </conditionalFormatting>
  <conditionalFormatting sqref="AA99">
    <cfRule type="cellIs" dxfId="1021" priority="111" operator="greaterThan">
      <formula>0.03</formula>
    </cfRule>
    <cfRule type="cellIs" dxfId="102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7"/>
  <sheetViews>
    <sheetView topLeftCell="N1" workbookViewId="0">
      <selection activeCell="J129" sqref="J12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28" width="10.875" style="1"/>
    <col min="29" max="29" width="9.875" style="1" customWidth="1"/>
    <col min="30" max="32" width="6.875" style="1" customWidth="1"/>
    <col min="33" max="35" width="8.875" style="1" customWidth="1"/>
    <col min="36" max="37" width="5.125" style="1" customWidth="1"/>
    <col min="38" max="38" width="4.625" style="1" customWidth="1"/>
    <col min="39" max="44" width="8.875" style="1" customWidth="1"/>
    <col min="45" max="16384" width="10.875" style="1"/>
  </cols>
  <sheetData>
    <row r="1" spans="1:44" ht="12.75" thickBot="1" x14ac:dyDescent="0.25">
      <c r="D1" s="116" t="s">
        <v>12</v>
      </c>
      <c r="E1" s="117"/>
      <c r="F1" s="117"/>
      <c r="G1" s="117"/>
      <c r="H1" s="117"/>
      <c r="I1" s="117"/>
      <c r="J1" s="118"/>
      <c r="L1" s="116" t="s">
        <v>13</v>
      </c>
      <c r="M1" s="117"/>
      <c r="N1" s="117"/>
      <c r="O1" s="117"/>
      <c r="P1" s="117"/>
      <c r="Q1" s="117"/>
      <c r="R1" s="118"/>
      <c r="S1" s="38"/>
      <c r="T1" s="38"/>
      <c r="U1" s="2"/>
      <c r="V1" s="116" t="s">
        <v>24</v>
      </c>
      <c r="W1" s="117"/>
      <c r="X1" s="118"/>
      <c r="Y1" s="116" t="s">
        <v>25</v>
      </c>
      <c r="Z1" s="117"/>
      <c r="AA1" s="118"/>
      <c r="AC1" s="116" t="s">
        <v>37</v>
      </c>
      <c r="AD1" s="117"/>
      <c r="AE1" s="117"/>
      <c r="AF1" s="117"/>
      <c r="AG1" s="117"/>
      <c r="AH1" s="117"/>
      <c r="AI1" s="118"/>
      <c r="AJ1" s="38"/>
      <c r="AK1" s="38"/>
      <c r="AM1" s="116" t="s">
        <v>24</v>
      </c>
      <c r="AN1" s="117"/>
      <c r="AO1" s="118"/>
      <c r="AP1" s="116" t="s">
        <v>25</v>
      </c>
      <c r="AQ1" s="117"/>
      <c r="AR1" s="118"/>
    </row>
    <row r="2" spans="1:44" ht="12.75" thickBot="1" x14ac:dyDescent="0.25">
      <c r="A2" s="58"/>
      <c r="B2" s="54"/>
      <c r="C2" s="53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40</v>
      </c>
      <c r="T2" s="7" t="s">
        <v>41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  <c r="AC2" s="8" t="s">
        <v>14</v>
      </c>
      <c r="AD2" s="9" t="s">
        <v>15</v>
      </c>
      <c r="AE2" s="9" t="s">
        <v>16</v>
      </c>
      <c r="AF2" s="9" t="s">
        <v>17</v>
      </c>
      <c r="AG2" s="9" t="s">
        <v>18</v>
      </c>
      <c r="AH2" s="9" t="s">
        <v>19</v>
      </c>
      <c r="AI2" s="10" t="s">
        <v>20</v>
      </c>
      <c r="AJ2" s="7" t="s">
        <v>40</v>
      </c>
      <c r="AK2" s="7" t="s">
        <v>41</v>
      </c>
      <c r="AM2" s="8" t="s">
        <v>21</v>
      </c>
      <c r="AN2" s="9" t="s">
        <v>22</v>
      </c>
      <c r="AO2" s="10" t="s">
        <v>23</v>
      </c>
      <c r="AP2" s="8" t="s">
        <v>21</v>
      </c>
      <c r="AQ2" s="9" t="s">
        <v>22</v>
      </c>
      <c r="AR2" s="10" t="s">
        <v>23</v>
      </c>
    </row>
    <row r="3" spans="1:44" x14ac:dyDescent="0.2">
      <c r="A3" s="11" t="s">
        <v>75</v>
      </c>
      <c r="B3" s="11" t="s">
        <v>420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9"/>
      <c r="V3" s="42"/>
      <c r="W3" s="47"/>
      <c r="X3" s="48"/>
      <c r="Y3" s="42"/>
      <c r="Z3" s="47"/>
      <c r="AA3" s="48"/>
      <c r="AB3" s="54"/>
      <c r="AC3" s="12"/>
      <c r="AD3" s="13"/>
      <c r="AE3" s="13"/>
      <c r="AF3" s="13"/>
      <c r="AG3" s="13"/>
      <c r="AH3" s="13"/>
      <c r="AI3" s="14"/>
      <c r="AJ3" s="13"/>
      <c r="AK3" s="13"/>
      <c r="AL3" s="54"/>
      <c r="AM3" s="42"/>
      <c r="AN3" s="47"/>
      <c r="AO3" s="48"/>
      <c r="AP3" s="42"/>
      <c r="AQ3" s="47"/>
      <c r="AR3" s="48"/>
    </row>
    <row r="4" spans="1:44" x14ac:dyDescent="0.2">
      <c r="A4" s="16" t="s">
        <v>48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60"/>
      <c r="V4" s="43"/>
      <c r="W4" s="26"/>
      <c r="X4" s="55"/>
      <c r="Y4" s="43"/>
      <c r="Z4" s="26"/>
      <c r="AA4" s="55"/>
      <c r="AB4" s="20"/>
      <c r="AC4" s="17"/>
      <c r="AD4" s="18"/>
      <c r="AE4" s="18"/>
      <c r="AF4" s="18"/>
      <c r="AG4" s="18"/>
      <c r="AH4" s="18"/>
      <c r="AI4" s="19"/>
      <c r="AJ4" s="18"/>
      <c r="AK4" s="18"/>
      <c r="AL4" s="20"/>
      <c r="AM4" s="43"/>
      <c r="AN4" s="26"/>
      <c r="AO4" s="55"/>
      <c r="AP4" s="43"/>
      <c r="AQ4" s="26"/>
      <c r="AR4" s="55"/>
    </row>
    <row r="5" spans="1:44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60"/>
      <c r="V5" s="43"/>
      <c r="W5" s="26"/>
      <c r="X5" s="55"/>
      <c r="Y5" s="43"/>
      <c r="Z5" s="26"/>
      <c r="AA5" s="55"/>
      <c r="AB5" s="20"/>
      <c r="AC5" s="17"/>
      <c r="AD5" s="18"/>
      <c r="AE5" s="18"/>
      <c r="AF5" s="18"/>
      <c r="AG5" s="18"/>
      <c r="AH5" s="18"/>
      <c r="AI5" s="19"/>
      <c r="AJ5" s="18"/>
      <c r="AK5" s="18"/>
      <c r="AL5" s="20"/>
      <c r="AM5" s="43"/>
      <c r="AN5" s="26"/>
      <c r="AO5" s="55"/>
      <c r="AP5" s="43"/>
      <c r="AQ5" s="26"/>
      <c r="AR5" s="55"/>
    </row>
    <row r="6" spans="1:44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60"/>
      <c r="V6" s="44"/>
      <c r="W6" s="56"/>
      <c r="X6" s="57"/>
      <c r="Y6" s="44"/>
      <c r="Z6" s="56"/>
      <c r="AA6" s="57"/>
      <c r="AB6" s="20"/>
      <c r="AC6" s="22"/>
      <c r="AD6" s="23"/>
      <c r="AE6" s="23"/>
      <c r="AF6" s="23"/>
      <c r="AG6" s="23"/>
      <c r="AH6" s="23"/>
      <c r="AI6" s="24"/>
      <c r="AJ6" s="18"/>
      <c r="AK6" s="18"/>
      <c r="AL6" s="20"/>
      <c r="AM6" s="44"/>
      <c r="AN6" s="56"/>
      <c r="AO6" s="57"/>
      <c r="AP6" s="44"/>
      <c r="AQ6" s="56"/>
      <c r="AR6" s="57"/>
    </row>
    <row r="7" spans="1:44" x14ac:dyDescent="0.2">
      <c r="A7" s="16"/>
      <c r="B7" s="11" t="s">
        <v>421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60"/>
      <c r="V7" s="42"/>
      <c r="W7" s="47"/>
      <c r="X7" s="47"/>
      <c r="Y7" s="45"/>
      <c r="Z7" s="49"/>
      <c r="AA7" s="50"/>
      <c r="AB7" s="20"/>
      <c r="AC7" s="12"/>
      <c r="AD7" s="13"/>
      <c r="AE7" s="13"/>
      <c r="AF7" s="13"/>
      <c r="AG7" s="13"/>
      <c r="AH7" s="13"/>
      <c r="AI7" s="14"/>
      <c r="AJ7" s="18"/>
      <c r="AK7" s="18"/>
      <c r="AL7" s="20"/>
      <c r="AM7" s="42"/>
      <c r="AN7" s="47"/>
      <c r="AO7" s="48"/>
      <c r="AP7" s="42"/>
      <c r="AQ7" s="47"/>
      <c r="AR7" s="48"/>
    </row>
    <row r="8" spans="1:44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60"/>
      <c r="V8" s="43"/>
      <c r="W8" s="26"/>
      <c r="X8" s="26"/>
      <c r="Y8" s="43"/>
      <c r="Z8" s="26"/>
      <c r="AA8" s="55"/>
      <c r="AB8" s="20"/>
      <c r="AC8" s="17"/>
      <c r="AD8" s="18"/>
      <c r="AE8" s="18"/>
      <c r="AF8" s="18"/>
      <c r="AG8" s="18"/>
      <c r="AH8" s="18"/>
      <c r="AI8" s="19"/>
      <c r="AJ8" s="18"/>
      <c r="AK8" s="18"/>
      <c r="AL8" s="20"/>
      <c r="AM8" s="43"/>
      <c r="AN8" s="26"/>
      <c r="AO8" s="55"/>
      <c r="AP8" s="43"/>
      <c r="AQ8" s="26"/>
      <c r="AR8" s="55"/>
    </row>
    <row r="9" spans="1:44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60"/>
      <c r="V9" s="43"/>
      <c r="W9" s="26"/>
      <c r="X9" s="26"/>
      <c r="Y9" s="43"/>
      <c r="Z9" s="26"/>
      <c r="AA9" s="55"/>
      <c r="AB9" s="20"/>
      <c r="AC9" s="17"/>
      <c r="AD9" s="18"/>
      <c r="AE9" s="18"/>
      <c r="AF9" s="18"/>
      <c r="AG9" s="18"/>
      <c r="AH9" s="18"/>
      <c r="AI9" s="19"/>
      <c r="AJ9" s="18"/>
      <c r="AK9" s="18"/>
      <c r="AL9" s="20"/>
      <c r="AM9" s="43"/>
      <c r="AN9" s="26"/>
      <c r="AO9" s="55"/>
      <c r="AP9" s="43"/>
      <c r="AQ9" s="26"/>
      <c r="AR9" s="55"/>
    </row>
    <row r="10" spans="1:44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60"/>
      <c r="V10" s="44"/>
      <c r="W10" s="56"/>
      <c r="X10" s="56"/>
      <c r="Y10" s="44"/>
      <c r="Z10" s="56"/>
      <c r="AA10" s="57"/>
      <c r="AB10" s="20"/>
      <c r="AC10" s="22"/>
      <c r="AD10" s="23"/>
      <c r="AE10" s="23"/>
      <c r="AF10" s="23"/>
      <c r="AG10" s="23"/>
      <c r="AH10" s="23"/>
      <c r="AI10" s="24"/>
      <c r="AJ10" s="18"/>
      <c r="AK10" s="18"/>
      <c r="AL10" s="20"/>
      <c r="AM10" s="44"/>
      <c r="AN10" s="56"/>
      <c r="AO10" s="57"/>
      <c r="AP10" s="44"/>
      <c r="AQ10" s="56"/>
      <c r="AR10" s="57"/>
    </row>
    <row r="11" spans="1:44" x14ac:dyDescent="0.2">
      <c r="A11" s="36"/>
      <c r="B11" s="35" t="s">
        <v>422</v>
      </c>
      <c r="C11" s="35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60"/>
      <c r="V11" s="42"/>
      <c r="W11" s="47"/>
      <c r="X11" s="47"/>
      <c r="Y11" s="45"/>
      <c r="Z11" s="49"/>
      <c r="AA11" s="50"/>
      <c r="AB11" s="20"/>
      <c r="AC11" s="12"/>
      <c r="AD11" s="13"/>
      <c r="AE11" s="13"/>
      <c r="AF11" s="13"/>
      <c r="AG11" s="13"/>
      <c r="AH11" s="13"/>
      <c r="AI11" s="14"/>
      <c r="AJ11" s="18"/>
      <c r="AK11" s="18"/>
      <c r="AL11" s="20"/>
      <c r="AM11" s="42"/>
      <c r="AN11" s="47"/>
      <c r="AO11" s="48"/>
      <c r="AP11" s="42"/>
      <c r="AQ11" s="47"/>
      <c r="AR11" s="48"/>
    </row>
    <row r="12" spans="1:44" x14ac:dyDescent="0.2">
      <c r="A12" s="36"/>
      <c r="B12" s="36"/>
      <c r="C12" s="36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60"/>
      <c r="V12" s="43"/>
      <c r="W12" s="26"/>
      <c r="X12" s="26"/>
      <c r="Y12" s="43"/>
      <c r="Z12" s="26"/>
      <c r="AA12" s="55"/>
      <c r="AB12" s="20"/>
      <c r="AC12" s="17"/>
      <c r="AD12" s="18"/>
      <c r="AE12" s="18"/>
      <c r="AF12" s="18"/>
      <c r="AG12" s="18"/>
      <c r="AH12" s="18"/>
      <c r="AI12" s="19"/>
      <c r="AJ12" s="18"/>
      <c r="AK12" s="18"/>
      <c r="AL12" s="20"/>
      <c r="AM12" s="43"/>
      <c r="AN12" s="26"/>
      <c r="AO12" s="55"/>
      <c r="AP12" s="43"/>
      <c r="AQ12" s="26"/>
      <c r="AR12" s="55"/>
    </row>
    <row r="13" spans="1:44" x14ac:dyDescent="0.2">
      <c r="A13" s="36"/>
      <c r="B13" s="36"/>
      <c r="C13" s="36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60"/>
      <c r="V13" s="43"/>
      <c r="W13" s="26"/>
      <c r="X13" s="26"/>
      <c r="Y13" s="43"/>
      <c r="Z13" s="26"/>
      <c r="AA13" s="55"/>
      <c r="AB13" s="20"/>
      <c r="AC13" s="17"/>
      <c r="AD13" s="18"/>
      <c r="AE13" s="18"/>
      <c r="AF13" s="18"/>
      <c r="AG13" s="18"/>
      <c r="AH13" s="18"/>
      <c r="AI13" s="19"/>
      <c r="AJ13" s="18"/>
      <c r="AK13" s="18"/>
      <c r="AL13" s="20"/>
      <c r="AM13" s="43"/>
      <c r="AN13" s="26"/>
      <c r="AO13" s="55"/>
      <c r="AP13" s="43"/>
      <c r="AQ13" s="26"/>
      <c r="AR13" s="55"/>
    </row>
    <row r="14" spans="1:44" ht="12.75" thickBot="1" x14ac:dyDescent="0.25">
      <c r="A14" s="36"/>
      <c r="B14" s="37"/>
      <c r="C14" s="37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60"/>
      <c r="V14" s="44"/>
      <c r="W14" s="56"/>
      <c r="X14" s="56"/>
      <c r="Y14" s="44"/>
      <c r="Z14" s="56"/>
      <c r="AA14" s="57"/>
      <c r="AB14" s="20"/>
      <c r="AC14" s="22"/>
      <c r="AD14" s="23"/>
      <c r="AE14" s="23"/>
      <c r="AF14" s="23"/>
      <c r="AG14" s="23"/>
      <c r="AH14" s="23"/>
      <c r="AI14" s="24"/>
      <c r="AJ14" s="18"/>
      <c r="AK14" s="18"/>
      <c r="AL14" s="20"/>
      <c r="AM14" s="44"/>
      <c r="AN14" s="56"/>
      <c r="AO14" s="57"/>
      <c r="AP14" s="44"/>
      <c r="AQ14" s="56"/>
      <c r="AR14" s="57"/>
    </row>
    <row r="15" spans="1:44" x14ac:dyDescent="0.2">
      <c r="A15" s="11" t="s">
        <v>76</v>
      </c>
      <c r="B15" s="11" t="s">
        <v>423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9"/>
      <c r="V15" s="42"/>
      <c r="W15" s="47"/>
      <c r="X15" s="48"/>
      <c r="Y15" s="42"/>
      <c r="Z15" s="47"/>
      <c r="AA15" s="48"/>
      <c r="AB15" s="54"/>
      <c r="AC15" s="12"/>
      <c r="AD15" s="13"/>
      <c r="AE15" s="13"/>
      <c r="AF15" s="13"/>
      <c r="AG15" s="13"/>
      <c r="AH15" s="13"/>
      <c r="AI15" s="14"/>
      <c r="AJ15" s="13"/>
      <c r="AK15" s="13"/>
      <c r="AL15" s="54"/>
      <c r="AM15" s="42"/>
      <c r="AN15" s="47"/>
      <c r="AO15" s="48"/>
      <c r="AP15" s="42"/>
      <c r="AQ15" s="47"/>
      <c r="AR15" s="48"/>
    </row>
    <row r="16" spans="1:44" x14ac:dyDescent="0.2">
      <c r="A16" s="16" t="s">
        <v>48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60"/>
      <c r="V16" s="43"/>
      <c r="W16" s="26"/>
      <c r="X16" s="55"/>
      <c r="Y16" s="43"/>
      <c r="Z16" s="26"/>
      <c r="AA16" s="55"/>
      <c r="AB16" s="20"/>
      <c r="AC16" s="17"/>
      <c r="AD16" s="18"/>
      <c r="AE16" s="18"/>
      <c r="AF16" s="18"/>
      <c r="AG16" s="18"/>
      <c r="AH16" s="18"/>
      <c r="AI16" s="19"/>
      <c r="AJ16" s="18"/>
      <c r="AK16" s="18"/>
      <c r="AL16" s="20"/>
      <c r="AM16" s="43"/>
      <c r="AN16" s="26"/>
      <c r="AO16" s="55"/>
      <c r="AP16" s="43"/>
      <c r="AQ16" s="26"/>
      <c r="AR16" s="55"/>
    </row>
    <row r="17" spans="1:44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60"/>
      <c r="V17" s="43"/>
      <c r="W17" s="26"/>
      <c r="X17" s="55"/>
      <c r="Y17" s="43"/>
      <c r="Z17" s="26"/>
      <c r="AA17" s="55"/>
      <c r="AB17" s="20"/>
      <c r="AC17" s="17"/>
      <c r="AD17" s="18"/>
      <c r="AE17" s="18"/>
      <c r="AF17" s="18"/>
      <c r="AG17" s="18"/>
      <c r="AH17" s="18"/>
      <c r="AI17" s="19"/>
      <c r="AJ17" s="18"/>
      <c r="AK17" s="18"/>
      <c r="AL17" s="20"/>
      <c r="AM17" s="43"/>
      <c r="AN17" s="26"/>
      <c r="AO17" s="55"/>
      <c r="AP17" s="43"/>
      <c r="AQ17" s="26"/>
      <c r="AR17" s="55"/>
    </row>
    <row r="18" spans="1:44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60"/>
      <c r="V18" s="44"/>
      <c r="W18" s="56"/>
      <c r="X18" s="57"/>
      <c r="Y18" s="44"/>
      <c r="Z18" s="56"/>
      <c r="AA18" s="57"/>
      <c r="AB18" s="20"/>
      <c r="AC18" s="22"/>
      <c r="AD18" s="23"/>
      <c r="AE18" s="23"/>
      <c r="AF18" s="23"/>
      <c r="AG18" s="23"/>
      <c r="AH18" s="23"/>
      <c r="AI18" s="24"/>
      <c r="AJ18" s="18"/>
      <c r="AK18" s="18"/>
      <c r="AL18" s="20"/>
      <c r="AM18" s="44"/>
      <c r="AN18" s="56"/>
      <c r="AO18" s="57"/>
      <c r="AP18" s="44"/>
      <c r="AQ18" s="56"/>
      <c r="AR18" s="57"/>
    </row>
    <row r="19" spans="1:44" x14ac:dyDescent="0.2">
      <c r="A19" s="16"/>
      <c r="B19" s="16" t="s">
        <v>424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60"/>
      <c r="V19" s="42"/>
      <c r="W19" s="47"/>
      <c r="X19" s="47"/>
      <c r="Y19" s="45"/>
      <c r="Z19" s="49"/>
      <c r="AA19" s="50"/>
      <c r="AB19" s="20"/>
      <c r="AC19" s="12"/>
      <c r="AD19" s="13"/>
      <c r="AE19" s="13"/>
      <c r="AF19" s="13"/>
      <c r="AG19" s="13"/>
      <c r="AH19" s="13"/>
      <c r="AI19" s="14"/>
      <c r="AJ19" s="18"/>
      <c r="AK19" s="18"/>
      <c r="AL19" s="20"/>
      <c r="AM19" s="42"/>
      <c r="AN19" s="47"/>
      <c r="AO19" s="48"/>
      <c r="AP19" s="42"/>
      <c r="AQ19" s="47"/>
      <c r="AR19" s="48"/>
    </row>
    <row r="20" spans="1:44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60"/>
      <c r="V20" s="43"/>
      <c r="W20" s="26"/>
      <c r="X20" s="26"/>
      <c r="Y20" s="43"/>
      <c r="Z20" s="26"/>
      <c r="AA20" s="55"/>
      <c r="AB20" s="20"/>
      <c r="AC20" s="17"/>
      <c r="AD20" s="18"/>
      <c r="AE20" s="18"/>
      <c r="AF20" s="18"/>
      <c r="AG20" s="18"/>
      <c r="AH20" s="18"/>
      <c r="AI20" s="19"/>
      <c r="AJ20" s="18"/>
      <c r="AK20" s="18"/>
      <c r="AL20" s="20"/>
      <c r="AM20" s="43"/>
      <c r="AN20" s="26"/>
      <c r="AO20" s="55"/>
      <c r="AP20" s="43"/>
      <c r="AQ20" s="26"/>
      <c r="AR20" s="55"/>
    </row>
    <row r="21" spans="1:44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60"/>
      <c r="V21" s="43"/>
      <c r="W21" s="26"/>
      <c r="X21" s="26"/>
      <c r="Y21" s="43"/>
      <c r="Z21" s="26"/>
      <c r="AA21" s="55"/>
      <c r="AB21" s="20"/>
      <c r="AC21" s="17"/>
      <c r="AD21" s="18"/>
      <c r="AE21" s="18"/>
      <c r="AF21" s="18"/>
      <c r="AG21" s="18"/>
      <c r="AH21" s="18"/>
      <c r="AI21" s="19"/>
      <c r="AJ21" s="18"/>
      <c r="AK21" s="18"/>
      <c r="AL21" s="20"/>
      <c r="AM21" s="43"/>
      <c r="AN21" s="26"/>
      <c r="AO21" s="55"/>
      <c r="AP21" s="43"/>
      <c r="AQ21" s="26"/>
      <c r="AR21" s="55"/>
    </row>
    <row r="22" spans="1:44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60"/>
      <c r="V22" s="44"/>
      <c r="W22" s="56"/>
      <c r="X22" s="56"/>
      <c r="Y22" s="44"/>
      <c r="Z22" s="56"/>
      <c r="AA22" s="57"/>
      <c r="AB22" s="20"/>
      <c r="AC22" s="22"/>
      <c r="AD22" s="23"/>
      <c r="AE22" s="23"/>
      <c r="AF22" s="23"/>
      <c r="AG22" s="23"/>
      <c r="AH22" s="23"/>
      <c r="AI22" s="24"/>
      <c r="AJ22" s="18"/>
      <c r="AK22" s="18"/>
      <c r="AL22" s="20"/>
      <c r="AM22" s="44"/>
      <c r="AN22" s="56"/>
      <c r="AO22" s="57"/>
      <c r="AP22" s="44"/>
      <c r="AQ22" s="56"/>
      <c r="AR22" s="57"/>
    </row>
    <row r="23" spans="1:44" x14ac:dyDescent="0.2">
      <c r="A23" s="36"/>
      <c r="B23" s="16" t="s">
        <v>425</v>
      </c>
      <c r="C23" s="35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60"/>
      <c r="V23" s="42"/>
      <c r="W23" s="47"/>
      <c r="X23" s="47"/>
      <c r="Y23" s="45"/>
      <c r="Z23" s="49"/>
      <c r="AA23" s="50"/>
      <c r="AB23" s="20"/>
      <c r="AC23" s="12"/>
      <c r="AD23" s="13"/>
      <c r="AE23" s="13"/>
      <c r="AF23" s="13"/>
      <c r="AG23" s="13"/>
      <c r="AH23" s="13"/>
      <c r="AI23" s="14"/>
      <c r="AJ23" s="18"/>
      <c r="AK23" s="18"/>
      <c r="AL23" s="20"/>
      <c r="AM23" s="42"/>
      <c r="AN23" s="47"/>
      <c r="AO23" s="48"/>
      <c r="AP23" s="42"/>
      <c r="AQ23" s="47"/>
      <c r="AR23" s="48"/>
    </row>
    <row r="24" spans="1:44" x14ac:dyDescent="0.2">
      <c r="A24" s="36"/>
      <c r="B24" s="16"/>
      <c r="C24" s="36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60"/>
      <c r="V24" s="43"/>
      <c r="W24" s="26"/>
      <c r="X24" s="26"/>
      <c r="Y24" s="43"/>
      <c r="Z24" s="26"/>
      <c r="AA24" s="55"/>
      <c r="AB24" s="20"/>
      <c r="AC24" s="17"/>
      <c r="AD24" s="18"/>
      <c r="AE24" s="18"/>
      <c r="AF24" s="18"/>
      <c r="AG24" s="18"/>
      <c r="AH24" s="18"/>
      <c r="AI24" s="19"/>
      <c r="AJ24" s="18"/>
      <c r="AK24" s="18"/>
      <c r="AL24" s="20"/>
      <c r="AM24" s="43"/>
      <c r="AN24" s="26"/>
      <c r="AO24" s="55"/>
      <c r="AP24" s="43"/>
      <c r="AQ24" s="26"/>
      <c r="AR24" s="55"/>
    </row>
    <row r="25" spans="1:44" x14ac:dyDescent="0.2">
      <c r="A25" s="36"/>
      <c r="B25" s="36"/>
      <c r="C25" s="36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60"/>
      <c r="V25" s="43"/>
      <c r="W25" s="26"/>
      <c r="X25" s="26"/>
      <c r="Y25" s="43"/>
      <c r="Z25" s="26"/>
      <c r="AA25" s="55"/>
      <c r="AB25" s="20"/>
      <c r="AC25" s="17"/>
      <c r="AD25" s="18"/>
      <c r="AE25" s="18"/>
      <c r="AF25" s="18"/>
      <c r="AG25" s="18"/>
      <c r="AH25" s="18"/>
      <c r="AI25" s="19"/>
      <c r="AJ25" s="18"/>
      <c r="AK25" s="18"/>
      <c r="AL25" s="20"/>
      <c r="AM25" s="43"/>
      <c r="AN25" s="26"/>
      <c r="AO25" s="55"/>
      <c r="AP25" s="43"/>
      <c r="AQ25" s="26"/>
      <c r="AR25" s="55"/>
    </row>
    <row r="26" spans="1:44" ht="12.75" thickBot="1" x14ac:dyDescent="0.25">
      <c r="A26" s="36"/>
      <c r="B26" s="37"/>
      <c r="C26" s="37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60"/>
      <c r="V26" s="44"/>
      <c r="W26" s="56"/>
      <c r="X26" s="56"/>
      <c r="Y26" s="44"/>
      <c r="Z26" s="56"/>
      <c r="AA26" s="57"/>
      <c r="AB26" s="20"/>
      <c r="AC26" s="22"/>
      <c r="AD26" s="23"/>
      <c r="AE26" s="23"/>
      <c r="AF26" s="23"/>
      <c r="AG26" s="23"/>
      <c r="AH26" s="23"/>
      <c r="AI26" s="24"/>
      <c r="AJ26" s="18"/>
      <c r="AK26" s="18"/>
      <c r="AL26" s="20"/>
      <c r="AM26" s="44"/>
      <c r="AN26" s="56"/>
      <c r="AO26" s="57"/>
      <c r="AP26" s="44"/>
      <c r="AQ26" s="56"/>
      <c r="AR26" s="57"/>
    </row>
    <row r="27" spans="1:44" x14ac:dyDescent="0.2">
      <c r="A27" s="11" t="s">
        <v>1</v>
      </c>
      <c r="B27" s="11" t="s">
        <v>427</v>
      </c>
      <c r="C27" s="11">
        <v>22</v>
      </c>
      <c r="D27" s="12">
        <f>TM!B233</f>
        <v>0</v>
      </c>
      <c r="E27" s="13">
        <f>TM!C233</f>
        <v>0</v>
      </c>
      <c r="F27" s="13">
        <f>TM!D233</f>
        <v>0</v>
      </c>
      <c r="G27" s="13">
        <f>TM!E233</f>
        <v>0</v>
      </c>
      <c r="H27" s="13">
        <f>TM!F233</f>
        <v>0</v>
      </c>
      <c r="I27" s="13">
        <f>TM!G233</f>
        <v>0</v>
      </c>
      <c r="J27" s="14">
        <f t="shared" ref="J27" si="0">H27/3600</f>
        <v>0</v>
      </c>
      <c r="L27" s="12">
        <f>Test!B233</f>
        <v>0</v>
      </c>
      <c r="M27" s="13">
        <f>Test!C233</f>
        <v>0</v>
      </c>
      <c r="N27" s="13">
        <f>Test!D233</f>
        <v>0</v>
      </c>
      <c r="O27" s="13">
        <f>Test!E233</f>
        <v>0</v>
      </c>
      <c r="P27" s="13">
        <f>Test!F233</f>
        <v>0</v>
      </c>
      <c r="Q27" s="13">
        <f>Test!G233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9"/>
      <c r="V27" s="42" t="e">
        <f>bdrate($D27:$D30,E27:E30,$L27:$L30,M27:M30)</f>
        <v>#VALUE!</v>
      </c>
      <c r="W27" s="47" t="e">
        <f>bdrate($D27:$D30,F27:F30,$L27:$L30,N27:N30)</f>
        <v>#VALUE!</v>
      </c>
      <c r="X27" s="48" t="e">
        <f>bdrate($D27:$D30,G27:G30,$L27:$L30,O27:O30)</f>
        <v>#VALUE!</v>
      </c>
      <c r="Y27" s="42" t="e">
        <f>bdrateOld($D27:$D30,E27:E30,$L27:$L30,M27:M30)</f>
        <v>#VALUE!</v>
      </c>
      <c r="Z27" s="47" t="e">
        <f>bdrateOld($D27:$D30,F27:F30,$L27:$L30,N27:N30)</f>
        <v>#VALUE!</v>
      </c>
      <c r="AA27" s="48" t="e">
        <f>bdrateOld($D27:$D30,G27:G30,$L27:$L30,O27:O30)</f>
        <v>#VALUE!</v>
      </c>
      <c r="AB27" s="54"/>
      <c r="AC27" s="12">
        <f>BMS!B233</f>
        <v>0</v>
      </c>
      <c r="AD27" s="13">
        <f>BMS!C233</f>
        <v>0</v>
      </c>
      <c r="AE27" s="13">
        <f>BMS!D233</f>
        <v>0</v>
      </c>
      <c r="AF27" s="13">
        <f>BMS!E233</f>
        <v>0</v>
      </c>
      <c r="AG27" s="13">
        <f>BMS!F233</f>
        <v>0</v>
      </c>
      <c r="AH27" s="13">
        <f>BMS!G233</f>
        <v>0</v>
      </c>
      <c r="AI27" s="14">
        <f t="shared" ref="AI27:AI79" si="3">AG27/3600</f>
        <v>0</v>
      </c>
      <c r="AJ27" s="13" t="e">
        <f t="shared" ref="AJ27:AJ75" si="4">R27/AI27</f>
        <v>#DIV/0!</v>
      </c>
      <c r="AK27" s="13" t="e">
        <f t="shared" ref="AK27:AK75" si="5">Q27/AH27</f>
        <v>#DIV/0!</v>
      </c>
      <c r="AL27" s="54"/>
      <c r="AM27" s="42" t="e">
        <f>bdrate($AC27:$AC30,AD27:AD30,$L27:$L30, M27:M30)</f>
        <v>#VALUE!</v>
      </c>
      <c r="AN27" s="47" t="e">
        <f>bdrate($AC27:$AC30,AE27:AE30,$L27:$L30, N27:N30)</f>
        <v>#VALUE!</v>
      </c>
      <c r="AO27" s="48" t="e">
        <f>bdrate($AC27:$AC30,AF27:AF30,$L27:$L30, O27:O30)</f>
        <v>#VALUE!</v>
      </c>
      <c r="AP27" s="42" t="e">
        <f>bdrateOld($AC27:$AC30,AD27:AD30,$L27:$L30, M27:M30)</f>
        <v>#VALUE!</v>
      </c>
      <c r="AQ27" s="47" t="e">
        <f>bdrateOld($AC27:$AC30,AE27:AE30,$L27:$L30, N27:N30)</f>
        <v>#VALUE!</v>
      </c>
      <c r="AR27" s="48" t="e">
        <f>bdrateOld($AC27:$AC30,AF27:AF30,$L27:$L30, O27:O30)</f>
        <v>#VALUE!</v>
      </c>
    </row>
    <row r="28" spans="1:44" x14ac:dyDescent="0.2">
      <c r="A28" s="16" t="s">
        <v>49</v>
      </c>
      <c r="B28" s="16"/>
      <c r="C28" s="16">
        <v>27</v>
      </c>
      <c r="D28" s="17">
        <f>TM!B234</f>
        <v>0</v>
      </c>
      <c r="E28" s="18">
        <f>TM!C234</f>
        <v>0</v>
      </c>
      <c r="F28" s="18">
        <f>TM!D234</f>
        <v>0</v>
      </c>
      <c r="G28" s="18">
        <f>TM!E234</f>
        <v>0</v>
      </c>
      <c r="H28" s="18">
        <f>TM!F234</f>
        <v>0</v>
      </c>
      <c r="I28" s="18">
        <f>TM!G234</f>
        <v>0</v>
      </c>
      <c r="J28" s="19">
        <f t="shared" ref="J28:J91" si="6">H28/3600</f>
        <v>0</v>
      </c>
      <c r="L28" s="17">
        <f>Test!B234</f>
        <v>0</v>
      </c>
      <c r="M28" s="18">
        <f>Test!C234</f>
        <v>0</v>
      </c>
      <c r="N28" s="18">
        <f>Test!D234</f>
        <v>0</v>
      </c>
      <c r="O28" s="18">
        <f>Test!E234</f>
        <v>0</v>
      </c>
      <c r="P28" s="18">
        <f>Test!F234</f>
        <v>0</v>
      </c>
      <c r="Q28" s="18">
        <f>Test!G234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60"/>
      <c r="V28" s="43"/>
      <c r="W28" s="26"/>
      <c r="X28" s="55"/>
      <c r="Y28" s="43"/>
      <c r="Z28" s="26"/>
      <c r="AA28" s="55"/>
      <c r="AB28" s="20"/>
      <c r="AC28" s="17">
        <f>BMS!B234</f>
        <v>0</v>
      </c>
      <c r="AD28" s="18">
        <f>BMS!C234</f>
        <v>0</v>
      </c>
      <c r="AE28" s="18">
        <f>BMS!D234</f>
        <v>0</v>
      </c>
      <c r="AF28" s="18">
        <f>BMS!E234</f>
        <v>0</v>
      </c>
      <c r="AG28" s="18">
        <f>BMS!F234</f>
        <v>0</v>
      </c>
      <c r="AH28" s="18">
        <f>BMS!G234</f>
        <v>0</v>
      </c>
      <c r="AI28" s="19">
        <f t="shared" si="3"/>
        <v>0</v>
      </c>
      <c r="AJ28" s="18" t="e">
        <f t="shared" si="4"/>
        <v>#DIV/0!</v>
      </c>
      <c r="AK28" s="18" t="e">
        <f t="shared" si="5"/>
        <v>#DIV/0!</v>
      </c>
      <c r="AL28" s="20"/>
      <c r="AM28" s="43"/>
      <c r="AN28" s="26"/>
      <c r="AO28" s="55"/>
      <c r="AP28" s="43"/>
      <c r="AQ28" s="26"/>
      <c r="AR28" s="55"/>
    </row>
    <row r="29" spans="1:44" x14ac:dyDescent="0.2">
      <c r="A29" s="16"/>
      <c r="B29" s="16"/>
      <c r="C29" s="16">
        <v>32</v>
      </c>
      <c r="D29" s="17">
        <f>TM!B235</f>
        <v>0</v>
      </c>
      <c r="E29" s="18">
        <f>TM!C235</f>
        <v>0</v>
      </c>
      <c r="F29" s="18">
        <f>TM!D235</f>
        <v>0</v>
      </c>
      <c r="G29" s="18">
        <f>TM!E235</f>
        <v>0</v>
      </c>
      <c r="H29" s="18">
        <f>TM!F235</f>
        <v>0</v>
      </c>
      <c r="I29" s="18">
        <f>TM!G235</f>
        <v>0</v>
      </c>
      <c r="J29" s="19">
        <f t="shared" si="6"/>
        <v>0</v>
      </c>
      <c r="L29" s="17">
        <f>Test!B235</f>
        <v>0</v>
      </c>
      <c r="M29" s="18">
        <f>Test!C235</f>
        <v>0</v>
      </c>
      <c r="N29" s="18">
        <f>Test!D235</f>
        <v>0</v>
      </c>
      <c r="O29" s="18">
        <f>Test!E235</f>
        <v>0</v>
      </c>
      <c r="P29" s="18">
        <f>Test!F235</f>
        <v>0</v>
      </c>
      <c r="Q29" s="18">
        <f>Test!G235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60"/>
      <c r="V29" s="43"/>
      <c r="W29" s="26"/>
      <c r="X29" s="55"/>
      <c r="Y29" s="43"/>
      <c r="Z29" s="26"/>
      <c r="AA29" s="55"/>
      <c r="AB29" s="20"/>
      <c r="AC29" s="17">
        <f>BMS!B235</f>
        <v>0</v>
      </c>
      <c r="AD29" s="18">
        <f>BMS!C235</f>
        <v>0</v>
      </c>
      <c r="AE29" s="18">
        <f>BMS!D235</f>
        <v>0</v>
      </c>
      <c r="AF29" s="18">
        <f>BMS!E235</f>
        <v>0</v>
      </c>
      <c r="AG29" s="18">
        <f>BMS!F235</f>
        <v>0</v>
      </c>
      <c r="AH29" s="18">
        <f>BMS!G235</f>
        <v>0</v>
      </c>
      <c r="AI29" s="19">
        <f t="shared" si="3"/>
        <v>0</v>
      </c>
      <c r="AJ29" s="18" t="e">
        <f t="shared" si="4"/>
        <v>#DIV/0!</v>
      </c>
      <c r="AK29" s="18" t="e">
        <f t="shared" si="5"/>
        <v>#DIV/0!</v>
      </c>
      <c r="AL29" s="20"/>
      <c r="AM29" s="43"/>
      <c r="AN29" s="26"/>
      <c r="AO29" s="55"/>
      <c r="AP29" s="43"/>
      <c r="AQ29" s="26"/>
      <c r="AR29" s="55"/>
    </row>
    <row r="30" spans="1:44" ht="12.75" thickBot="1" x14ac:dyDescent="0.25">
      <c r="A30" s="16"/>
      <c r="B30" s="21"/>
      <c r="C30" s="21">
        <v>37</v>
      </c>
      <c r="D30" s="22">
        <f>TM!B236</f>
        <v>0</v>
      </c>
      <c r="E30" s="23">
        <f>TM!C236</f>
        <v>0</v>
      </c>
      <c r="F30" s="23">
        <f>TM!D236</f>
        <v>0</v>
      </c>
      <c r="G30" s="23">
        <f>TM!E236</f>
        <v>0</v>
      </c>
      <c r="H30" s="23">
        <f>TM!F236</f>
        <v>0</v>
      </c>
      <c r="I30" s="23">
        <f>TM!G236</f>
        <v>0</v>
      </c>
      <c r="J30" s="24">
        <f t="shared" si="6"/>
        <v>0</v>
      </c>
      <c r="L30" s="22">
        <f>Test!B236</f>
        <v>0</v>
      </c>
      <c r="M30" s="23">
        <f>Test!C236</f>
        <v>0</v>
      </c>
      <c r="N30" s="23">
        <f>Test!D236</f>
        <v>0</v>
      </c>
      <c r="O30" s="23">
        <f>Test!E236</f>
        <v>0</v>
      </c>
      <c r="P30" s="23">
        <f>Test!F236</f>
        <v>0</v>
      </c>
      <c r="Q30" s="23">
        <f>Test!G236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60"/>
      <c r="V30" s="44"/>
      <c r="W30" s="56"/>
      <c r="X30" s="57"/>
      <c r="Y30" s="44"/>
      <c r="Z30" s="56"/>
      <c r="AA30" s="57"/>
      <c r="AB30" s="20"/>
      <c r="AC30" s="22">
        <f>BMS!B236</f>
        <v>0</v>
      </c>
      <c r="AD30" s="23">
        <f>BMS!C236</f>
        <v>0</v>
      </c>
      <c r="AE30" s="23">
        <f>BMS!D236</f>
        <v>0</v>
      </c>
      <c r="AF30" s="23">
        <f>BMS!E236</f>
        <v>0</v>
      </c>
      <c r="AG30" s="23">
        <f>BMS!F236</f>
        <v>0</v>
      </c>
      <c r="AH30" s="23">
        <f>BMS!G236</f>
        <v>0</v>
      </c>
      <c r="AI30" s="24">
        <f t="shared" si="3"/>
        <v>0</v>
      </c>
      <c r="AJ30" s="18" t="e">
        <f t="shared" si="4"/>
        <v>#DIV/0!</v>
      </c>
      <c r="AK30" s="18" t="e">
        <f t="shared" si="5"/>
        <v>#DIV/0!</v>
      </c>
      <c r="AL30" s="20"/>
      <c r="AM30" s="44"/>
      <c r="AN30" s="56"/>
      <c r="AO30" s="57"/>
      <c r="AP30" s="44"/>
      <c r="AQ30" s="56"/>
      <c r="AR30" s="57"/>
    </row>
    <row r="31" spans="1:44" x14ac:dyDescent="0.2">
      <c r="A31" s="16"/>
      <c r="B31" s="11" t="s">
        <v>426</v>
      </c>
      <c r="C31" s="11">
        <v>22</v>
      </c>
      <c r="D31" s="12">
        <f>TM!B237</f>
        <v>0</v>
      </c>
      <c r="E31" s="13">
        <f>TM!C237</f>
        <v>0</v>
      </c>
      <c r="F31" s="13">
        <f>TM!D237</f>
        <v>0</v>
      </c>
      <c r="G31" s="13">
        <f>TM!E237</f>
        <v>0</v>
      </c>
      <c r="H31" s="13">
        <f>TM!F237</f>
        <v>0</v>
      </c>
      <c r="I31" s="13">
        <f>TM!G237</f>
        <v>0</v>
      </c>
      <c r="J31" s="14">
        <f t="shared" si="6"/>
        <v>0</v>
      </c>
      <c r="L31" s="12">
        <f>Test!B237</f>
        <v>0</v>
      </c>
      <c r="M31" s="13">
        <f>Test!C237</f>
        <v>0</v>
      </c>
      <c r="N31" s="13">
        <f>Test!D237</f>
        <v>0</v>
      </c>
      <c r="O31" s="13">
        <f>Test!E237</f>
        <v>0</v>
      </c>
      <c r="P31" s="13">
        <f>Test!F237</f>
        <v>0</v>
      </c>
      <c r="Q31" s="13">
        <f>Test!G237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60"/>
      <c r="V31" s="42" t="e">
        <f>bdrate($D31:$D34,E31:E34,$L31:$L34,M31:M34)</f>
        <v>#VALUE!</v>
      </c>
      <c r="W31" s="47" t="e">
        <f>bdrate($D31:$D34,F31:F34,$L31:$L34,N31:N34)</f>
        <v>#VALUE!</v>
      </c>
      <c r="X31" s="47" t="e">
        <f>bdrate($D31:$D34,G31:G34,$L31:$L34,O31:O34)</f>
        <v>#VALUE!</v>
      </c>
      <c r="Y31" s="45" t="e">
        <f>bdrateOld($D31:$D34,E31:E34,$L31:$L34,M31:M34)</f>
        <v>#VALUE!</v>
      </c>
      <c r="Z31" s="49" t="e">
        <f>bdrateOld($D31:$D34,F31:F34,$L31:$L34,N31:N34)</f>
        <v>#VALUE!</v>
      </c>
      <c r="AA31" s="50" t="e">
        <f>bdrateOld($D31:$D34,G31:G34,$L31:$L34,O31:O34)</f>
        <v>#VALUE!</v>
      </c>
      <c r="AB31" s="20"/>
      <c r="AC31" s="12">
        <f>BMS!B237</f>
        <v>0</v>
      </c>
      <c r="AD31" s="13">
        <f>BMS!C237</f>
        <v>0</v>
      </c>
      <c r="AE31" s="13">
        <f>BMS!D237</f>
        <v>0</v>
      </c>
      <c r="AF31" s="13">
        <f>BMS!E237</f>
        <v>0</v>
      </c>
      <c r="AG31" s="13">
        <f>BMS!F237</f>
        <v>0</v>
      </c>
      <c r="AH31" s="13">
        <f>BMS!G237</f>
        <v>0</v>
      </c>
      <c r="AI31" s="14">
        <f t="shared" si="3"/>
        <v>0</v>
      </c>
      <c r="AJ31" s="18" t="e">
        <f t="shared" si="4"/>
        <v>#DIV/0!</v>
      </c>
      <c r="AK31" s="18" t="e">
        <f t="shared" si="5"/>
        <v>#DIV/0!</v>
      </c>
      <c r="AL31" s="20"/>
      <c r="AM31" s="42" t="e">
        <f>bdrate($AC31:$AC34,AD31:AD34,$L31:$L34, M31:M34)</f>
        <v>#VALUE!</v>
      </c>
      <c r="AN31" s="47" t="e">
        <f>bdrate($AC31:$AC34,AE31:AE34,$L31:$L34, N31:N34)</f>
        <v>#VALUE!</v>
      </c>
      <c r="AO31" s="48" t="e">
        <f>bdrate($AC31:$AC34,AF31:AF34,$L31:$L34, O31:O34)</f>
        <v>#VALUE!</v>
      </c>
      <c r="AP31" s="42" t="e">
        <f>bdrateOld($AC31:$AC34,AD31:AD34,$L31:$L34, M31:M34)</f>
        <v>#VALUE!</v>
      </c>
      <c r="AQ31" s="47" t="e">
        <f>bdrateOld($AC31:$AC34,AE31:AE34,$L31:$L34, N31:N34)</f>
        <v>#VALUE!</v>
      </c>
      <c r="AR31" s="48" t="e">
        <f>bdrateOld($AC31:$AC34,AF31:AF34,$L31:$L34, O31:O34)</f>
        <v>#VALUE!</v>
      </c>
    </row>
    <row r="32" spans="1:44" x14ac:dyDescent="0.2">
      <c r="A32" s="16"/>
      <c r="B32" s="16"/>
      <c r="C32" s="16">
        <v>27</v>
      </c>
      <c r="D32" s="17">
        <f>TM!B238</f>
        <v>0</v>
      </c>
      <c r="E32" s="18">
        <f>TM!C238</f>
        <v>0</v>
      </c>
      <c r="F32" s="18">
        <f>TM!D238</f>
        <v>0</v>
      </c>
      <c r="G32" s="18">
        <f>TM!E238</f>
        <v>0</v>
      </c>
      <c r="H32" s="18">
        <f>TM!F238</f>
        <v>0</v>
      </c>
      <c r="I32" s="18">
        <f>TM!G238</f>
        <v>0</v>
      </c>
      <c r="J32" s="19">
        <f t="shared" si="6"/>
        <v>0</v>
      </c>
      <c r="L32" s="17">
        <f>Test!B238</f>
        <v>0</v>
      </c>
      <c r="M32" s="18">
        <f>Test!C238</f>
        <v>0</v>
      </c>
      <c r="N32" s="18">
        <f>Test!D238</f>
        <v>0</v>
      </c>
      <c r="O32" s="18">
        <f>Test!E238</f>
        <v>0</v>
      </c>
      <c r="P32" s="18">
        <f>Test!F238</f>
        <v>0</v>
      </c>
      <c r="Q32" s="18">
        <f>Test!G238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60"/>
      <c r="V32" s="43"/>
      <c r="W32" s="26"/>
      <c r="X32" s="26"/>
      <c r="Y32" s="43"/>
      <c r="Z32" s="26"/>
      <c r="AA32" s="55"/>
      <c r="AB32" s="20"/>
      <c r="AC32" s="17">
        <f>BMS!B238</f>
        <v>0</v>
      </c>
      <c r="AD32" s="18">
        <f>BMS!C238</f>
        <v>0</v>
      </c>
      <c r="AE32" s="18">
        <f>BMS!D238</f>
        <v>0</v>
      </c>
      <c r="AF32" s="18">
        <f>BMS!E238</f>
        <v>0</v>
      </c>
      <c r="AG32" s="18">
        <f>BMS!F238</f>
        <v>0</v>
      </c>
      <c r="AH32" s="18">
        <f>BMS!G238</f>
        <v>0</v>
      </c>
      <c r="AI32" s="19">
        <f t="shared" si="3"/>
        <v>0</v>
      </c>
      <c r="AJ32" s="18" t="e">
        <f t="shared" si="4"/>
        <v>#DIV/0!</v>
      </c>
      <c r="AK32" s="18" t="e">
        <f t="shared" si="5"/>
        <v>#DIV/0!</v>
      </c>
      <c r="AL32" s="20"/>
      <c r="AM32" s="43"/>
      <c r="AN32" s="26"/>
      <c r="AO32" s="55"/>
      <c r="AP32" s="43"/>
      <c r="AQ32" s="26"/>
      <c r="AR32" s="55"/>
    </row>
    <row r="33" spans="1:44" x14ac:dyDescent="0.2">
      <c r="A33" s="16"/>
      <c r="B33" s="16"/>
      <c r="C33" s="16">
        <v>32</v>
      </c>
      <c r="D33" s="17">
        <f>TM!B239</f>
        <v>0</v>
      </c>
      <c r="E33" s="18">
        <f>TM!C239</f>
        <v>0</v>
      </c>
      <c r="F33" s="18">
        <f>TM!D239</f>
        <v>0</v>
      </c>
      <c r="G33" s="18">
        <f>TM!E239</f>
        <v>0</v>
      </c>
      <c r="H33" s="18">
        <f>TM!F239</f>
        <v>0</v>
      </c>
      <c r="I33" s="18">
        <f>TM!G239</f>
        <v>0</v>
      </c>
      <c r="J33" s="19">
        <f t="shared" si="6"/>
        <v>0</v>
      </c>
      <c r="L33" s="17">
        <f>Test!B239</f>
        <v>0</v>
      </c>
      <c r="M33" s="18">
        <f>Test!C239</f>
        <v>0</v>
      </c>
      <c r="N33" s="18">
        <f>Test!D239</f>
        <v>0</v>
      </c>
      <c r="O33" s="18">
        <f>Test!E239</f>
        <v>0</v>
      </c>
      <c r="P33" s="18">
        <f>Test!F239</f>
        <v>0</v>
      </c>
      <c r="Q33" s="18">
        <f>Test!G239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60"/>
      <c r="V33" s="43"/>
      <c r="W33" s="26"/>
      <c r="X33" s="26"/>
      <c r="Y33" s="43"/>
      <c r="Z33" s="26"/>
      <c r="AA33" s="55"/>
      <c r="AB33" s="20"/>
      <c r="AC33" s="17">
        <f>BMS!B239</f>
        <v>0</v>
      </c>
      <c r="AD33" s="18">
        <f>BMS!C239</f>
        <v>0</v>
      </c>
      <c r="AE33" s="18">
        <f>BMS!D239</f>
        <v>0</v>
      </c>
      <c r="AF33" s="18">
        <f>BMS!E239</f>
        <v>0</v>
      </c>
      <c r="AG33" s="18">
        <f>BMS!F239</f>
        <v>0</v>
      </c>
      <c r="AH33" s="18">
        <f>BMS!G239</f>
        <v>0</v>
      </c>
      <c r="AI33" s="19">
        <f t="shared" si="3"/>
        <v>0</v>
      </c>
      <c r="AJ33" s="18" t="e">
        <f t="shared" si="4"/>
        <v>#DIV/0!</v>
      </c>
      <c r="AK33" s="18" t="e">
        <f t="shared" si="5"/>
        <v>#DIV/0!</v>
      </c>
      <c r="AL33" s="20"/>
      <c r="AM33" s="43"/>
      <c r="AN33" s="26"/>
      <c r="AO33" s="55"/>
      <c r="AP33" s="43"/>
      <c r="AQ33" s="26"/>
      <c r="AR33" s="55"/>
    </row>
    <row r="34" spans="1:44" ht="12.75" thickBot="1" x14ac:dyDescent="0.25">
      <c r="A34" s="16"/>
      <c r="B34" s="21"/>
      <c r="C34" s="21">
        <v>37</v>
      </c>
      <c r="D34" s="22">
        <f>TM!B240</f>
        <v>0</v>
      </c>
      <c r="E34" s="23">
        <f>TM!C240</f>
        <v>0</v>
      </c>
      <c r="F34" s="23">
        <f>TM!D240</f>
        <v>0</v>
      </c>
      <c r="G34" s="23">
        <f>TM!E240</f>
        <v>0</v>
      </c>
      <c r="H34" s="23">
        <f>TM!F240</f>
        <v>0</v>
      </c>
      <c r="I34" s="23">
        <f>TM!G240</f>
        <v>0</v>
      </c>
      <c r="J34" s="24">
        <f t="shared" si="6"/>
        <v>0</v>
      </c>
      <c r="L34" s="22">
        <f>Test!B240</f>
        <v>0</v>
      </c>
      <c r="M34" s="23">
        <f>Test!C240</f>
        <v>0</v>
      </c>
      <c r="N34" s="23">
        <f>Test!D240</f>
        <v>0</v>
      </c>
      <c r="O34" s="23">
        <f>Test!E240</f>
        <v>0</v>
      </c>
      <c r="P34" s="23">
        <f>Test!F240</f>
        <v>0</v>
      </c>
      <c r="Q34" s="23">
        <f>Test!G240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60"/>
      <c r="V34" s="44"/>
      <c r="W34" s="56"/>
      <c r="X34" s="56"/>
      <c r="Y34" s="44"/>
      <c r="Z34" s="56"/>
      <c r="AA34" s="57"/>
      <c r="AB34" s="20"/>
      <c r="AC34" s="22">
        <f>BMS!B240</f>
        <v>0</v>
      </c>
      <c r="AD34" s="23">
        <f>BMS!C240</f>
        <v>0</v>
      </c>
      <c r="AE34" s="23">
        <f>BMS!D240</f>
        <v>0</v>
      </c>
      <c r="AF34" s="23">
        <f>BMS!E240</f>
        <v>0</v>
      </c>
      <c r="AG34" s="23">
        <f>BMS!F240</f>
        <v>0</v>
      </c>
      <c r="AH34" s="23">
        <f>BMS!G240</f>
        <v>0</v>
      </c>
      <c r="AI34" s="24">
        <f t="shared" si="3"/>
        <v>0</v>
      </c>
      <c r="AJ34" s="18" t="e">
        <f t="shared" si="4"/>
        <v>#DIV/0!</v>
      </c>
      <c r="AK34" s="18" t="e">
        <f t="shared" si="5"/>
        <v>#DIV/0!</v>
      </c>
      <c r="AL34" s="20"/>
      <c r="AM34" s="44"/>
      <c r="AN34" s="56"/>
      <c r="AO34" s="57"/>
      <c r="AP34" s="44"/>
      <c r="AQ34" s="56"/>
      <c r="AR34" s="57"/>
    </row>
    <row r="35" spans="1:44" x14ac:dyDescent="0.2">
      <c r="A35" s="16"/>
      <c r="B35" s="11" t="s">
        <v>2</v>
      </c>
      <c r="C35" s="11">
        <v>22</v>
      </c>
      <c r="D35" s="12">
        <f>TM!B241</f>
        <v>0</v>
      </c>
      <c r="E35" s="13">
        <f>TM!C241</f>
        <v>0</v>
      </c>
      <c r="F35" s="13">
        <f>TM!D241</f>
        <v>0</v>
      </c>
      <c r="G35" s="13">
        <f>TM!E241</f>
        <v>0</v>
      </c>
      <c r="H35" s="13">
        <f>TM!F241</f>
        <v>0</v>
      </c>
      <c r="I35" s="13">
        <f>TM!G241</f>
        <v>0</v>
      </c>
      <c r="J35" s="14">
        <f t="shared" si="6"/>
        <v>0</v>
      </c>
      <c r="L35" s="12">
        <f>Test!B241</f>
        <v>0</v>
      </c>
      <c r="M35" s="13">
        <f>Test!C241</f>
        <v>0</v>
      </c>
      <c r="N35" s="13">
        <f>Test!D241</f>
        <v>0</v>
      </c>
      <c r="O35" s="13">
        <f>Test!E241</f>
        <v>0</v>
      </c>
      <c r="P35" s="13">
        <f>Test!F241</f>
        <v>0</v>
      </c>
      <c r="Q35" s="13">
        <f>Test!G241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60"/>
      <c r="V35" s="42" t="e">
        <f>bdrate($D35:$D38,E35:E38,$L35:$L38,M35:M38)</f>
        <v>#VALUE!</v>
      </c>
      <c r="W35" s="47" t="e">
        <f>bdrate($D35:$D38,F35:F38,$L35:$L38,N35:N38)</f>
        <v>#VALUE!</v>
      </c>
      <c r="X35" s="47" t="e">
        <f>bdrate($D35:$D38,G35:G38,$L35:$L38,O35:O38)</f>
        <v>#VALUE!</v>
      </c>
      <c r="Y35" s="45" t="e">
        <f>bdrateOld($D35:$D38,E35:E38,$L35:$L38,M35:M38)</f>
        <v>#VALUE!</v>
      </c>
      <c r="Z35" s="49" t="e">
        <f>bdrateOld($D35:$D38,F35:F38,$L35:$L38,N35:N38)</f>
        <v>#VALUE!</v>
      </c>
      <c r="AA35" s="50" t="e">
        <f>bdrateOld($D35:$D38,G35:G38,$L35:$L38,O35:O38)</f>
        <v>#VALUE!</v>
      </c>
      <c r="AB35" s="20"/>
      <c r="AC35" s="12">
        <f>BMS!B241</f>
        <v>0</v>
      </c>
      <c r="AD35" s="13">
        <f>BMS!C241</f>
        <v>0</v>
      </c>
      <c r="AE35" s="13">
        <f>BMS!D241</f>
        <v>0</v>
      </c>
      <c r="AF35" s="13">
        <f>BMS!E241</f>
        <v>0</v>
      </c>
      <c r="AG35" s="13">
        <f>BMS!F241</f>
        <v>0</v>
      </c>
      <c r="AH35" s="13">
        <f>BMS!G241</f>
        <v>0</v>
      </c>
      <c r="AI35" s="14">
        <f t="shared" si="3"/>
        <v>0</v>
      </c>
      <c r="AJ35" s="18" t="e">
        <f t="shared" si="4"/>
        <v>#DIV/0!</v>
      </c>
      <c r="AK35" s="18" t="e">
        <f t="shared" si="5"/>
        <v>#DIV/0!</v>
      </c>
      <c r="AL35" s="20"/>
      <c r="AM35" s="42" t="e">
        <f>bdrate($AC35:$AC38,AD35:AD38,$L35:$L38, M35:M38)</f>
        <v>#VALUE!</v>
      </c>
      <c r="AN35" s="47" t="e">
        <f>bdrate($AC35:$AC38,AE35:AE38,$L35:$L38, N35:N38)</f>
        <v>#VALUE!</v>
      </c>
      <c r="AO35" s="48" t="e">
        <f>bdrate($AC35:$AC38,AF35:AF38,$L35:$L38, O35:O38)</f>
        <v>#VALUE!</v>
      </c>
      <c r="AP35" s="42" t="e">
        <f>bdrateOld($AC35:$AC38,AD35:AD38,$L35:$L38, M35:M38)</f>
        <v>#VALUE!</v>
      </c>
      <c r="AQ35" s="47" t="e">
        <f>bdrateOld($AC35:$AC38,AE35:AE38,$L35:$L38, N35:N38)</f>
        <v>#VALUE!</v>
      </c>
      <c r="AR35" s="48" t="e">
        <f>bdrateOld($AC35:$AC38,AF35:AF38,$L35:$L38, O35:O38)</f>
        <v>#VALUE!</v>
      </c>
    </row>
    <row r="36" spans="1:44" x14ac:dyDescent="0.2">
      <c r="A36" s="16"/>
      <c r="B36" s="16"/>
      <c r="C36" s="16">
        <v>27</v>
      </c>
      <c r="D36" s="17">
        <f>TM!B242</f>
        <v>0</v>
      </c>
      <c r="E36" s="18">
        <f>TM!C242</f>
        <v>0</v>
      </c>
      <c r="F36" s="18">
        <f>TM!D242</f>
        <v>0</v>
      </c>
      <c r="G36" s="18">
        <f>TM!E242</f>
        <v>0</v>
      </c>
      <c r="H36" s="18">
        <f>TM!F242</f>
        <v>0</v>
      </c>
      <c r="I36" s="18">
        <f>TM!G242</f>
        <v>0</v>
      </c>
      <c r="J36" s="19">
        <f t="shared" si="6"/>
        <v>0</v>
      </c>
      <c r="L36" s="17">
        <f>Test!B242</f>
        <v>0</v>
      </c>
      <c r="M36" s="18">
        <f>Test!C242</f>
        <v>0</v>
      </c>
      <c r="N36" s="18">
        <f>Test!D242</f>
        <v>0</v>
      </c>
      <c r="O36" s="18">
        <f>Test!E242</f>
        <v>0</v>
      </c>
      <c r="P36" s="18">
        <f>Test!F242</f>
        <v>0</v>
      </c>
      <c r="Q36" s="18">
        <f>Test!G242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60"/>
      <c r="V36" s="43"/>
      <c r="W36" s="26"/>
      <c r="X36" s="26"/>
      <c r="Y36" s="43"/>
      <c r="Z36" s="26"/>
      <c r="AA36" s="55"/>
      <c r="AB36" s="20"/>
      <c r="AC36" s="17">
        <f>BMS!B242</f>
        <v>0</v>
      </c>
      <c r="AD36" s="18">
        <f>BMS!C242</f>
        <v>0</v>
      </c>
      <c r="AE36" s="18">
        <f>BMS!D242</f>
        <v>0</v>
      </c>
      <c r="AF36" s="18">
        <f>BMS!E242</f>
        <v>0</v>
      </c>
      <c r="AG36" s="18">
        <f>BMS!F242</f>
        <v>0</v>
      </c>
      <c r="AH36" s="18">
        <f>BMS!G242</f>
        <v>0</v>
      </c>
      <c r="AI36" s="19">
        <f t="shared" si="3"/>
        <v>0</v>
      </c>
      <c r="AJ36" s="18" t="e">
        <f t="shared" si="4"/>
        <v>#DIV/0!</v>
      </c>
      <c r="AK36" s="18" t="e">
        <f t="shared" si="5"/>
        <v>#DIV/0!</v>
      </c>
      <c r="AL36" s="20"/>
      <c r="AM36" s="43"/>
      <c r="AN36" s="26"/>
      <c r="AO36" s="55"/>
      <c r="AP36" s="43"/>
      <c r="AQ36" s="26"/>
      <c r="AR36" s="55"/>
    </row>
    <row r="37" spans="1:44" x14ac:dyDescent="0.2">
      <c r="A37" s="16"/>
      <c r="B37" s="16"/>
      <c r="C37" s="16">
        <v>32</v>
      </c>
      <c r="D37" s="17">
        <f>TM!B243</f>
        <v>0</v>
      </c>
      <c r="E37" s="18">
        <f>TM!C243</f>
        <v>0</v>
      </c>
      <c r="F37" s="18">
        <f>TM!D243</f>
        <v>0</v>
      </c>
      <c r="G37" s="18">
        <f>TM!E243</f>
        <v>0</v>
      </c>
      <c r="H37" s="18">
        <f>TM!F243</f>
        <v>0</v>
      </c>
      <c r="I37" s="18">
        <f>TM!G243</f>
        <v>0</v>
      </c>
      <c r="J37" s="19">
        <f t="shared" si="6"/>
        <v>0</v>
      </c>
      <c r="L37" s="17">
        <f>Test!B243</f>
        <v>0</v>
      </c>
      <c r="M37" s="18">
        <f>Test!C243</f>
        <v>0</v>
      </c>
      <c r="N37" s="18">
        <f>Test!D243</f>
        <v>0</v>
      </c>
      <c r="O37" s="18">
        <f>Test!E243</f>
        <v>0</v>
      </c>
      <c r="P37" s="18">
        <f>Test!F243</f>
        <v>0</v>
      </c>
      <c r="Q37" s="18">
        <f>Test!G243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60"/>
      <c r="V37" s="43"/>
      <c r="W37" s="26"/>
      <c r="X37" s="26"/>
      <c r="Y37" s="43"/>
      <c r="Z37" s="26"/>
      <c r="AA37" s="55"/>
      <c r="AB37" s="20"/>
      <c r="AC37" s="17">
        <f>BMS!B243</f>
        <v>0</v>
      </c>
      <c r="AD37" s="18">
        <f>BMS!C243</f>
        <v>0</v>
      </c>
      <c r="AE37" s="18">
        <f>BMS!D243</f>
        <v>0</v>
      </c>
      <c r="AF37" s="18">
        <f>BMS!E243</f>
        <v>0</v>
      </c>
      <c r="AG37" s="18">
        <f>BMS!F243</f>
        <v>0</v>
      </c>
      <c r="AH37" s="18">
        <f>BMS!G243</f>
        <v>0</v>
      </c>
      <c r="AI37" s="19">
        <f t="shared" si="3"/>
        <v>0</v>
      </c>
      <c r="AJ37" s="18" t="e">
        <f t="shared" si="4"/>
        <v>#DIV/0!</v>
      </c>
      <c r="AK37" s="18" t="e">
        <f t="shared" si="5"/>
        <v>#DIV/0!</v>
      </c>
      <c r="AL37" s="20"/>
      <c r="AM37" s="43"/>
      <c r="AN37" s="26"/>
      <c r="AO37" s="55"/>
      <c r="AP37" s="43"/>
      <c r="AQ37" s="26"/>
      <c r="AR37" s="55"/>
    </row>
    <row r="38" spans="1:44" ht="12.75" thickBot="1" x14ac:dyDescent="0.25">
      <c r="A38" s="16"/>
      <c r="B38" s="21"/>
      <c r="C38" s="21">
        <v>37</v>
      </c>
      <c r="D38" s="22">
        <f>TM!B244</f>
        <v>0</v>
      </c>
      <c r="E38" s="23">
        <f>TM!C244</f>
        <v>0</v>
      </c>
      <c r="F38" s="23">
        <f>TM!D244</f>
        <v>0</v>
      </c>
      <c r="G38" s="23">
        <f>TM!E244</f>
        <v>0</v>
      </c>
      <c r="H38" s="23">
        <f>TM!F244</f>
        <v>0</v>
      </c>
      <c r="I38" s="23">
        <f>TM!G244</f>
        <v>0</v>
      </c>
      <c r="J38" s="24">
        <f t="shared" si="6"/>
        <v>0</v>
      </c>
      <c r="L38" s="22">
        <f>Test!B244</f>
        <v>0</v>
      </c>
      <c r="M38" s="23">
        <f>Test!C244</f>
        <v>0</v>
      </c>
      <c r="N38" s="23">
        <f>Test!D244</f>
        <v>0</v>
      </c>
      <c r="O38" s="23">
        <f>Test!E244</f>
        <v>0</v>
      </c>
      <c r="P38" s="23">
        <f>Test!F244</f>
        <v>0</v>
      </c>
      <c r="Q38" s="23">
        <f>Test!G244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60"/>
      <c r="V38" s="44"/>
      <c r="W38" s="56"/>
      <c r="X38" s="56"/>
      <c r="Y38" s="44"/>
      <c r="Z38" s="56"/>
      <c r="AA38" s="57"/>
      <c r="AB38" s="20"/>
      <c r="AC38" s="22">
        <f>BMS!B244</f>
        <v>0</v>
      </c>
      <c r="AD38" s="23">
        <f>BMS!C244</f>
        <v>0</v>
      </c>
      <c r="AE38" s="23">
        <f>BMS!D244</f>
        <v>0</v>
      </c>
      <c r="AF38" s="23">
        <f>BMS!E244</f>
        <v>0</v>
      </c>
      <c r="AG38" s="23">
        <f>BMS!F244</f>
        <v>0</v>
      </c>
      <c r="AH38" s="23">
        <f>BMS!G244</f>
        <v>0</v>
      </c>
      <c r="AI38" s="24">
        <f t="shared" si="3"/>
        <v>0</v>
      </c>
      <c r="AJ38" s="18" t="e">
        <f t="shared" si="4"/>
        <v>#DIV/0!</v>
      </c>
      <c r="AK38" s="18" t="e">
        <f t="shared" si="5"/>
        <v>#DIV/0!</v>
      </c>
      <c r="AL38" s="20"/>
      <c r="AM38" s="44"/>
      <c r="AN38" s="56"/>
      <c r="AO38" s="57"/>
      <c r="AP38" s="44"/>
      <c r="AQ38" s="56"/>
      <c r="AR38" s="57"/>
    </row>
    <row r="39" spans="1:44" x14ac:dyDescent="0.2">
      <c r="A39" s="16"/>
      <c r="B39" s="11" t="s">
        <v>3</v>
      </c>
      <c r="C39" s="11">
        <v>22</v>
      </c>
      <c r="D39" s="12">
        <f>TM!B245</f>
        <v>0</v>
      </c>
      <c r="E39" s="13">
        <f>TM!C245</f>
        <v>0</v>
      </c>
      <c r="F39" s="13">
        <f>TM!D245</f>
        <v>0</v>
      </c>
      <c r="G39" s="13">
        <f>TM!E245</f>
        <v>0</v>
      </c>
      <c r="H39" s="13">
        <f>TM!F245</f>
        <v>0</v>
      </c>
      <c r="I39" s="13">
        <f>TM!G245</f>
        <v>0</v>
      </c>
      <c r="J39" s="14">
        <f t="shared" si="6"/>
        <v>0</v>
      </c>
      <c r="L39" s="12">
        <f>Test!B245</f>
        <v>0</v>
      </c>
      <c r="M39" s="13">
        <f>Test!C245</f>
        <v>0</v>
      </c>
      <c r="N39" s="13">
        <f>Test!D245</f>
        <v>0</v>
      </c>
      <c r="O39" s="13">
        <f>Test!E245</f>
        <v>0</v>
      </c>
      <c r="P39" s="13">
        <f>Test!F245</f>
        <v>0</v>
      </c>
      <c r="Q39" s="13">
        <f>Test!G245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60"/>
      <c r="V39" s="42" t="e">
        <f>bdrate($D39:$D42,E39:E42,$L39:$L42,M39:M42)</f>
        <v>#VALUE!</v>
      </c>
      <c r="W39" s="47" t="e">
        <f>bdrate($D39:$D42,F39:F42,$L39:$L42,N39:N42)</f>
        <v>#VALUE!</v>
      </c>
      <c r="X39" s="47" t="e">
        <f>bdrate($D39:$D42,G39:G42,$L39:$L42,O39:O42)</f>
        <v>#VALUE!</v>
      </c>
      <c r="Y39" s="45" t="e">
        <f>bdrateOld($D39:$D42,E39:E42,$L39:$L42,M39:M42)</f>
        <v>#VALUE!</v>
      </c>
      <c r="Z39" s="49" t="e">
        <f>bdrateOld($D39:$D42,F39:F42,$L39:$L42,N39:N42)</f>
        <v>#VALUE!</v>
      </c>
      <c r="AA39" s="50" t="e">
        <f>bdrateOld($D39:$D42,G39:G42,$L39:$L42,O39:O42)</f>
        <v>#VALUE!</v>
      </c>
      <c r="AB39" s="20"/>
      <c r="AC39" s="12">
        <f>BMS!B245</f>
        <v>0</v>
      </c>
      <c r="AD39" s="13">
        <f>BMS!C245</f>
        <v>0</v>
      </c>
      <c r="AE39" s="13">
        <f>BMS!D245</f>
        <v>0</v>
      </c>
      <c r="AF39" s="13">
        <f>BMS!E245</f>
        <v>0</v>
      </c>
      <c r="AG39" s="13">
        <f>BMS!F245</f>
        <v>0</v>
      </c>
      <c r="AH39" s="13">
        <f>BMS!G245</f>
        <v>0</v>
      </c>
      <c r="AI39" s="14">
        <f t="shared" si="3"/>
        <v>0</v>
      </c>
      <c r="AJ39" s="18" t="e">
        <f t="shared" si="4"/>
        <v>#DIV/0!</v>
      </c>
      <c r="AK39" s="18" t="e">
        <f t="shared" si="5"/>
        <v>#DIV/0!</v>
      </c>
      <c r="AL39" s="20"/>
      <c r="AM39" s="42" t="e">
        <f>bdrate($AC39:$AC42,AD39:AD42,$L39:$L42, M39:M42)</f>
        <v>#VALUE!</v>
      </c>
      <c r="AN39" s="47" t="e">
        <f>bdrate($AC39:$AC42,AE39:AE42,$L39:$L42, N39:N42)</f>
        <v>#VALUE!</v>
      </c>
      <c r="AO39" s="48" t="e">
        <f>bdrate($AC39:$AC42,AF39:AF42,$L39:$L42, O39:O42)</f>
        <v>#VALUE!</v>
      </c>
      <c r="AP39" s="42" t="e">
        <f>bdrateOld($AC39:$AC42,AD39:AD42,$L39:$L42, M39:M42)</f>
        <v>#VALUE!</v>
      </c>
      <c r="AQ39" s="47" t="e">
        <f>bdrateOld($AC39:$AC42,AE39:AE42,$L39:$L42, N39:N42)</f>
        <v>#VALUE!</v>
      </c>
      <c r="AR39" s="48" t="e">
        <f>bdrateOld($AC39:$AC42,AF39:AF42,$L39:$L42, O39:O42)</f>
        <v>#VALUE!</v>
      </c>
    </row>
    <row r="40" spans="1:44" x14ac:dyDescent="0.2">
      <c r="A40" s="16"/>
      <c r="B40" s="16"/>
      <c r="C40" s="16">
        <v>27</v>
      </c>
      <c r="D40" s="17">
        <f>TM!B246</f>
        <v>0</v>
      </c>
      <c r="E40" s="18">
        <f>TM!C246</f>
        <v>0</v>
      </c>
      <c r="F40" s="18">
        <f>TM!D246</f>
        <v>0</v>
      </c>
      <c r="G40" s="18">
        <f>TM!E246</f>
        <v>0</v>
      </c>
      <c r="H40" s="18">
        <f>TM!F246</f>
        <v>0</v>
      </c>
      <c r="I40" s="18">
        <f>TM!G246</f>
        <v>0</v>
      </c>
      <c r="J40" s="19">
        <f t="shared" si="6"/>
        <v>0</v>
      </c>
      <c r="L40" s="17">
        <f>Test!B246</f>
        <v>0</v>
      </c>
      <c r="M40" s="18">
        <f>Test!C246</f>
        <v>0</v>
      </c>
      <c r="N40" s="18">
        <f>Test!D246</f>
        <v>0</v>
      </c>
      <c r="O40" s="18">
        <f>Test!E246</f>
        <v>0</v>
      </c>
      <c r="P40" s="18">
        <f>Test!F246</f>
        <v>0</v>
      </c>
      <c r="Q40" s="18">
        <f>Test!G246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60"/>
      <c r="V40" s="43"/>
      <c r="W40" s="26"/>
      <c r="X40" s="26"/>
      <c r="Y40" s="43"/>
      <c r="Z40" s="26"/>
      <c r="AA40" s="55"/>
      <c r="AB40" s="20"/>
      <c r="AC40" s="17">
        <f>BMS!B246</f>
        <v>0</v>
      </c>
      <c r="AD40" s="18">
        <f>BMS!C246</f>
        <v>0</v>
      </c>
      <c r="AE40" s="18">
        <f>BMS!D246</f>
        <v>0</v>
      </c>
      <c r="AF40" s="18">
        <f>BMS!E246</f>
        <v>0</v>
      </c>
      <c r="AG40" s="18">
        <f>BMS!F246</f>
        <v>0</v>
      </c>
      <c r="AH40" s="18">
        <f>BMS!G246</f>
        <v>0</v>
      </c>
      <c r="AI40" s="19">
        <f t="shared" si="3"/>
        <v>0</v>
      </c>
      <c r="AJ40" s="18" t="e">
        <f t="shared" si="4"/>
        <v>#DIV/0!</v>
      </c>
      <c r="AK40" s="18" t="e">
        <f t="shared" si="5"/>
        <v>#DIV/0!</v>
      </c>
      <c r="AL40" s="20"/>
      <c r="AM40" s="43"/>
      <c r="AN40" s="26"/>
      <c r="AO40" s="55"/>
      <c r="AP40" s="43"/>
      <c r="AQ40" s="26"/>
      <c r="AR40" s="55"/>
    </row>
    <row r="41" spans="1:44" x14ac:dyDescent="0.2">
      <c r="A41" s="16"/>
      <c r="B41" s="16"/>
      <c r="C41" s="16">
        <v>32</v>
      </c>
      <c r="D41" s="17">
        <f>TM!B247</f>
        <v>0</v>
      </c>
      <c r="E41" s="18">
        <f>TM!C247</f>
        <v>0</v>
      </c>
      <c r="F41" s="18">
        <f>TM!D247</f>
        <v>0</v>
      </c>
      <c r="G41" s="18">
        <f>TM!E247</f>
        <v>0</v>
      </c>
      <c r="H41" s="18">
        <f>TM!F247</f>
        <v>0</v>
      </c>
      <c r="I41" s="18">
        <f>TM!G247</f>
        <v>0</v>
      </c>
      <c r="J41" s="19">
        <f t="shared" si="6"/>
        <v>0</v>
      </c>
      <c r="L41" s="17">
        <f>Test!B247</f>
        <v>0</v>
      </c>
      <c r="M41" s="18">
        <f>Test!C247</f>
        <v>0</v>
      </c>
      <c r="N41" s="18">
        <f>Test!D247</f>
        <v>0</v>
      </c>
      <c r="O41" s="18">
        <f>Test!E247</f>
        <v>0</v>
      </c>
      <c r="P41" s="18">
        <f>Test!F247</f>
        <v>0</v>
      </c>
      <c r="Q41" s="18">
        <f>Test!G247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60"/>
      <c r="V41" s="43"/>
      <c r="W41" s="26"/>
      <c r="X41" s="26"/>
      <c r="Y41" s="43"/>
      <c r="Z41" s="26"/>
      <c r="AA41" s="55"/>
      <c r="AB41" s="20"/>
      <c r="AC41" s="17">
        <f>BMS!B247</f>
        <v>0</v>
      </c>
      <c r="AD41" s="18">
        <f>BMS!C247</f>
        <v>0</v>
      </c>
      <c r="AE41" s="18">
        <f>BMS!D247</f>
        <v>0</v>
      </c>
      <c r="AF41" s="18">
        <f>BMS!E247</f>
        <v>0</v>
      </c>
      <c r="AG41" s="18">
        <f>BMS!F247</f>
        <v>0</v>
      </c>
      <c r="AH41" s="18">
        <f>BMS!G247</f>
        <v>0</v>
      </c>
      <c r="AI41" s="19">
        <f t="shared" si="3"/>
        <v>0</v>
      </c>
      <c r="AJ41" s="18" t="e">
        <f t="shared" si="4"/>
        <v>#DIV/0!</v>
      </c>
      <c r="AK41" s="18" t="e">
        <f t="shared" si="5"/>
        <v>#DIV/0!</v>
      </c>
      <c r="AL41" s="20"/>
      <c r="AM41" s="43"/>
      <c r="AN41" s="26"/>
      <c r="AO41" s="55"/>
      <c r="AP41" s="43"/>
      <c r="AQ41" s="26"/>
      <c r="AR41" s="55"/>
    </row>
    <row r="42" spans="1:44" ht="12.75" thickBot="1" x14ac:dyDescent="0.25">
      <c r="A42" s="16"/>
      <c r="B42" s="21"/>
      <c r="C42" s="21">
        <v>37</v>
      </c>
      <c r="D42" s="22">
        <f>TM!B248</f>
        <v>0</v>
      </c>
      <c r="E42" s="23">
        <f>TM!C248</f>
        <v>0</v>
      </c>
      <c r="F42" s="23">
        <f>TM!D248</f>
        <v>0</v>
      </c>
      <c r="G42" s="23">
        <f>TM!E248</f>
        <v>0</v>
      </c>
      <c r="H42" s="23">
        <f>TM!F248</f>
        <v>0</v>
      </c>
      <c r="I42" s="23">
        <f>TM!G248</f>
        <v>0</v>
      </c>
      <c r="J42" s="24">
        <f t="shared" si="6"/>
        <v>0</v>
      </c>
      <c r="L42" s="22">
        <f>Test!B248</f>
        <v>0</v>
      </c>
      <c r="M42" s="23">
        <f>Test!C248</f>
        <v>0</v>
      </c>
      <c r="N42" s="23">
        <f>Test!D248</f>
        <v>0</v>
      </c>
      <c r="O42" s="23">
        <f>Test!E248</f>
        <v>0</v>
      </c>
      <c r="P42" s="23">
        <f>Test!F248</f>
        <v>0</v>
      </c>
      <c r="Q42" s="23">
        <f>Test!G248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60"/>
      <c r="V42" s="44"/>
      <c r="W42" s="56"/>
      <c r="X42" s="56"/>
      <c r="Y42" s="44"/>
      <c r="Z42" s="56"/>
      <c r="AA42" s="57"/>
      <c r="AB42" s="20"/>
      <c r="AC42" s="22">
        <f>BMS!B248</f>
        <v>0</v>
      </c>
      <c r="AD42" s="23">
        <f>BMS!C248</f>
        <v>0</v>
      </c>
      <c r="AE42" s="23">
        <f>BMS!D248</f>
        <v>0</v>
      </c>
      <c r="AF42" s="23">
        <f>BMS!E248</f>
        <v>0</v>
      </c>
      <c r="AG42" s="23">
        <f>BMS!F248</f>
        <v>0</v>
      </c>
      <c r="AH42" s="23">
        <f>BMS!G248</f>
        <v>0</v>
      </c>
      <c r="AI42" s="24">
        <f t="shared" si="3"/>
        <v>0</v>
      </c>
      <c r="AJ42" s="18" t="e">
        <f t="shared" si="4"/>
        <v>#DIV/0!</v>
      </c>
      <c r="AK42" s="18" t="e">
        <f t="shared" si="5"/>
        <v>#DIV/0!</v>
      </c>
      <c r="AL42" s="20"/>
      <c r="AM42" s="44"/>
      <c r="AN42" s="56"/>
      <c r="AO42" s="57"/>
      <c r="AP42" s="44"/>
      <c r="AQ42" s="56"/>
      <c r="AR42" s="57"/>
    </row>
    <row r="43" spans="1:44" x14ac:dyDescent="0.2">
      <c r="A43" s="16"/>
      <c r="B43" s="11" t="s">
        <v>4</v>
      </c>
      <c r="C43" s="11">
        <v>22</v>
      </c>
      <c r="D43" s="12">
        <f>TM!B249</f>
        <v>0</v>
      </c>
      <c r="E43" s="13">
        <f>TM!C249</f>
        <v>0</v>
      </c>
      <c r="F43" s="13">
        <f>TM!D249</f>
        <v>0</v>
      </c>
      <c r="G43" s="13">
        <f>TM!E249</f>
        <v>0</v>
      </c>
      <c r="H43" s="13">
        <f>TM!F249</f>
        <v>0</v>
      </c>
      <c r="I43" s="13">
        <f>TM!G249</f>
        <v>0</v>
      </c>
      <c r="J43" s="14">
        <f t="shared" si="6"/>
        <v>0</v>
      </c>
      <c r="L43" s="12">
        <f>Test!B249</f>
        <v>0</v>
      </c>
      <c r="M43" s="13">
        <f>Test!C249</f>
        <v>0</v>
      </c>
      <c r="N43" s="13">
        <f>Test!D249</f>
        <v>0</v>
      </c>
      <c r="O43" s="13">
        <f>Test!E249</f>
        <v>0</v>
      </c>
      <c r="P43" s="13">
        <f>Test!F249</f>
        <v>0</v>
      </c>
      <c r="Q43" s="13">
        <f>Test!G249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60"/>
      <c r="V43" s="42" t="e">
        <f>bdrate($D43:$D46,E43:E46,$L43:$L46,M43:M46)</f>
        <v>#VALUE!</v>
      </c>
      <c r="W43" s="47" t="e">
        <f>bdrate($D43:$D46,F43:F46,$L43:$L46,N43:N46)</f>
        <v>#VALUE!</v>
      </c>
      <c r="X43" s="47" t="e">
        <f>bdrate($D43:$D46,G43:G46,$L43:$L46,O43:O46)</f>
        <v>#VALUE!</v>
      </c>
      <c r="Y43" s="45" t="e">
        <f>bdrateOld($D43:$D46,E43:E46,$L43:$L46,M43:M46)</f>
        <v>#VALUE!</v>
      </c>
      <c r="Z43" s="49" t="e">
        <f>bdrateOld($D43:$D46,F43:F46,$L43:$L46,N43:N46)</f>
        <v>#VALUE!</v>
      </c>
      <c r="AA43" s="50" t="e">
        <f>bdrateOld($D43:$D46,G43:G46,$L43:$L46,O43:O46)</f>
        <v>#VALUE!</v>
      </c>
      <c r="AB43" s="20"/>
      <c r="AC43" s="12">
        <f>BMS!B249</f>
        <v>0</v>
      </c>
      <c r="AD43" s="13">
        <f>BMS!C249</f>
        <v>0</v>
      </c>
      <c r="AE43" s="13">
        <f>BMS!D249</f>
        <v>0</v>
      </c>
      <c r="AF43" s="13">
        <f>BMS!E249</f>
        <v>0</v>
      </c>
      <c r="AG43" s="13">
        <f>BMS!F249</f>
        <v>0</v>
      </c>
      <c r="AH43" s="13">
        <f>BMS!G249</f>
        <v>0</v>
      </c>
      <c r="AI43" s="14">
        <f t="shared" si="3"/>
        <v>0</v>
      </c>
      <c r="AJ43" s="18" t="e">
        <f t="shared" si="4"/>
        <v>#DIV/0!</v>
      </c>
      <c r="AK43" s="18" t="e">
        <f t="shared" si="5"/>
        <v>#DIV/0!</v>
      </c>
      <c r="AL43" s="20"/>
      <c r="AM43" s="42" t="e">
        <f>bdrate($AC43:$AC46,AD43:AD46,$L43:$L46, M43:M46)</f>
        <v>#VALUE!</v>
      </c>
      <c r="AN43" s="47" t="e">
        <f>bdrate($AC43:$AC46,AE43:AE46,$L43:$L46, N43:N46)</f>
        <v>#VALUE!</v>
      </c>
      <c r="AO43" s="48" t="e">
        <f>bdrate($AC43:$AC46,AF43:AF46,$L43:$L46, O43:O46)</f>
        <v>#VALUE!</v>
      </c>
      <c r="AP43" s="42" t="e">
        <f>bdrateOld($AC43:$AC46,AD43:AD46,$L43:$L46, M43:M46)</f>
        <v>#VALUE!</v>
      </c>
      <c r="AQ43" s="47" t="e">
        <f>bdrateOld($AC43:$AC46,AE43:AE46,$L43:$L46, N43:N46)</f>
        <v>#VALUE!</v>
      </c>
      <c r="AR43" s="48" t="e">
        <f>bdrateOld($AC43:$AC46,AF43:AF46,$L43:$L46, O43:O46)</f>
        <v>#VALUE!</v>
      </c>
    </row>
    <row r="44" spans="1:44" x14ac:dyDescent="0.2">
      <c r="A44" s="16"/>
      <c r="B44" s="16"/>
      <c r="C44" s="16">
        <v>27</v>
      </c>
      <c r="D44" s="17">
        <f>TM!B250</f>
        <v>0</v>
      </c>
      <c r="E44" s="18">
        <f>TM!C250</f>
        <v>0</v>
      </c>
      <c r="F44" s="18">
        <f>TM!D250</f>
        <v>0</v>
      </c>
      <c r="G44" s="18">
        <f>TM!E250</f>
        <v>0</v>
      </c>
      <c r="H44" s="18">
        <f>TM!F250</f>
        <v>0</v>
      </c>
      <c r="I44" s="18">
        <f>TM!G250</f>
        <v>0</v>
      </c>
      <c r="J44" s="19">
        <f t="shared" si="6"/>
        <v>0</v>
      </c>
      <c r="L44" s="17">
        <f>Test!B250</f>
        <v>0</v>
      </c>
      <c r="M44" s="18">
        <f>Test!C250</f>
        <v>0</v>
      </c>
      <c r="N44" s="18">
        <f>Test!D250</f>
        <v>0</v>
      </c>
      <c r="O44" s="18">
        <f>Test!E250</f>
        <v>0</v>
      </c>
      <c r="P44" s="18">
        <f>Test!F250</f>
        <v>0</v>
      </c>
      <c r="Q44" s="18">
        <f>Test!G250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60"/>
      <c r="V44" s="43"/>
      <c r="W44" s="26"/>
      <c r="X44" s="26"/>
      <c r="Y44" s="43"/>
      <c r="Z44" s="26"/>
      <c r="AA44" s="55"/>
      <c r="AB44" s="20"/>
      <c r="AC44" s="17">
        <f>BMS!B250</f>
        <v>0</v>
      </c>
      <c r="AD44" s="18">
        <f>BMS!C250</f>
        <v>0</v>
      </c>
      <c r="AE44" s="18">
        <f>BMS!D250</f>
        <v>0</v>
      </c>
      <c r="AF44" s="18">
        <f>BMS!E250</f>
        <v>0</v>
      </c>
      <c r="AG44" s="18">
        <f>BMS!F250</f>
        <v>0</v>
      </c>
      <c r="AH44" s="18">
        <f>BMS!G250</f>
        <v>0</v>
      </c>
      <c r="AI44" s="19">
        <f t="shared" si="3"/>
        <v>0</v>
      </c>
      <c r="AJ44" s="18" t="e">
        <f t="shared" si="4"/>
        <v>#DIV/0!</v>
      </c>
      <c r="AK44" s="18" t="e">
        <f t="shared" si="5"/>
        <v>#DIV/0!</v>
      </c>
      <c r="AL44" s="20"/>
      <c r="AM44" s="43"/>
      <c r="AN44" s="26"/>
      <c r="AO44" s="55"/>
      <c r="AP44" s="43"/>
      <c r="AQ44" s="26"/>
      <c r="AR44" s="55"/>
    </row>
    <row r="45" spans="1:44" x14ac:dyDescent="0.2">
      <c r="A45" s="16"/>
      <c r="B45" s="16"/>
      <c r="C45" s="16">
        <v>32</v>
      </c>
      <c r="D45" s="17">
        <f>TM!B251</f>
        <v>0</v>
      </c>
      <c r="E45" s="18">
        <f>TM!C251</f>
        <v>0</v>
      </c>
      <c r="F45" s="18">
        <f>TM!D251</f>
        <v>0</v>
      </c>
      <c r="G45" s="18">
        <f>TM!E251</f>
        <v>0</v>
      </c>
      <c r="H45" s="18">
        <f>TM!F251</f>
        <v>0</v>
      </c>
      <c r="I45" s="18">
        <f>TM!G251</f>
        <v>0</v>
      </c>
      <c r="J45" s="19">
        <f t="shared" si="6"/>
        <v>0</v>
      </c>
      <c r="L45" s="17">
        <f>Test!B251</f>
        <v>0</v>
      </c>
      <c r="M45" s="18">
        <f>Test!C251</f>
        <v>0</v>
      </c>
      <c r="N45" s="18">
        <f>Test!D251</f>
        <v>0</v>
      </c>
      <c r="O45" s="18">
        <f>Test!E251</f>
        <v>0</v>
      </c>
      <c r="P45" s="18">
        <f>Test!F251</f>
        <v>0</v>
      </c>
      <c r="Q45" s="18">
        <f>Test!G251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60"/>
      <c r="V45" s="43"/>
      <c r="W45" s="26"/>
      <c r="X45" s="26"/>
      <c r="Y45" s="43"/>
      <c r="Z45" s="26"/>
      <c r="AA45" s="55"/>
      <c r="AB45" s="20"/>
      <c r="AC45" s="17">
        <f>BMS!B251</f>
        <v>0</v>
      </c>
      <c r="AD45" s="18">
        <f>BMS!C251</f>
        <v>0</v>
      </c>
      <c r="AE45" s="18">
        <f>BMS!D251</f>
        <v>0</v>
      </c>
      <c r="AF45" s="18">
        <f>BMS!E251</f>
        <v>0</v>
      </c>
      <c r="AG45" s="18">
        <f>BMS!F251</f>
        <v>0</v>
      </c>
      <c r="AH45" s="18">
        <f>BMS!G251</f>
        <v>0</v>
      </c>
      <c r="AI45" s="19">
        <f t="shared" si="3"/>
        <v>0</v>
      </c>
      <c r="AJ45" s="18" t="e">
        <f t="shared" si="4"/>
        <v>#DIV/0!</v>
      </c>
      <c r="AK45" s="18" t="e">
        <f t="shared" si="5"/>
        <v>#DIV/0!</v>
      </c>
      <c r="AL45" s="20"/>
      <c r="AM45" s="43"/>
      <c r="AN45" s="26"/>
      <c r="AO45" s="55"/>
      <c r="AP45" s="43"/>
      <c r="AQ45" s="26"/>
      <c r="AR45" s="55"/>
    </row>
    <row r="46" spans="1:44" ht="12.75" thickBot="1" x14ac:dyDescent="0.25">
      <c r="A46" s="21"/>
      <c r="B46" s="21"/>
      <c r="C46" s="21">
        <v>37</v>
      </c>
      <c r="D46" s="22">
        <f>TM!B252</f>
        <v>0</v>
      </c>
      <c r="E46" s="23">
        <f>TM!C252</f>
        <v>0</v>
      </c>
      <c r="F46" s="23">
        <f>TM!D252</f>
        <v>0</v>
      </c>
      <c r="G46" s="23">
        <f>TM!E252</f>
        <v>0</v>
      </c>
      <c r="H46" s="23">
        <f>TM!F252</f>
        <v>0</v>
      </c>
      <c r="I46" s="23">
        <f>TM!G252</f>
        <v>0</v>
      </c>
      <c r="J46" s="24">
        <f t="shared" si="6"/>
        <v>0</v>
      </c>
      <c r="L46" s="22">
        <f>Test!B252</f>
        <v>0</v>
      </c>
      <c r="M46" s="23">
        <f>Test!C252</f>
        <v>0</v>
      </c>
      <c r="N46" s="23">
        <f>Test!D252</f>
        <v>0</v>
      </c>
      <c r="O46" s="23">
        <f>Test!E252</f>
        <v>0</v>
      </c>
      <c r="P46" s="23">
        <f>Test!F252</f>
        <v>0</v>
      </c>
      <c r="Q46" s="23">
        <f>Test!G252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60"/>
      <c r="V46" s="44"/>
      <c r="W46" s="56"/>
      <c r="X46" s="56"/>
      <c r="Y46" s="44"/>
      <c r="Z46" s="56"/>
      <c r="AA46" s="57"/>
      <c r="AB46" s="20"/>
      <c r="AC46" s="22">
        <f>BMS!B252</f>
        <v>0</v>
      </c>
      <c r="AD46" s="23">
        <f>BMS!C252</f>
        <v>0</v>
      </c>
      <c r="AE46" s="23">
        <f>BMS!D252</f>
        <v>0</v>
      </c>
      <c r="AF46" s="23">
        <f>BMS!E252</f>
        <v>0</v>
      </c>
      <c r="AG46" s="23">
        <f>BMS!F252</f>
        <v>0</v>
      </c>
      <c r="AH46" s="23">
        <f>BMS!G252</f>
        <v>0</v>
      </c>
      <c r="AI46" s="24">
        <f t="shared" si="3"/>
        <v>0</v>
      </c>
      <c r="AJ46" s="18" t="e">
        <f t="shared" si="4"/>
        <v>#DIV/0!</v>
      </c>
      <c r="AK46" s="18" t="e">
        <f t="shared" si="5"/>
        <v>#DIV/0!</v>
      </c>
      <c r="AL46" s="20"/>
      <c r="AM46" s="44"/>
      <c r="AN46" s="56"/>
      <c r="AO46" s="57"/>
      <c r="AP46" s="44"/>
      <c r="AQ46" s="56"/>
      <c r="AR46" s="57"/>
    </row>
    <row r="47" spans="1:44" x14ac:dyDescent="0.2">
      <c r="A47" s="11" t="s">
        <v>5</v>
      </c>
      <c r="B47" s="11" t="s">
        <v>55</v>
      </c>
      <c r="C47" s="11">
        <v>22</v>
      </c>
      <c r="D47" s="12">
        <f>TM!B253</f>
        <v>0</v>
      </c>
      <c r="E47" s="13">
        <f>TM!C253</f>
        <v>0</v>
      </c>
      <c r="F47" s="13">
        <f>TM!D253</f>
        <v>0</v>
      </c>
      <c r="G47" s="13">
        <f>TM!E253</f>
        <v>0</v>
      </c>
      <c r="H47" s="13">
        <f>TM!F253</f>
        <v>0</v>
      </c>
      <c r="I47" s="13">
        <f>TM!G253</f>
        <v>0</v>
      </c>
      <c r="J47" s="14">
        <f t="shared" si="6"/>
        <v>0</v>
      </c>
      <c r="L47" s="12">
        <f>Test!B253</f>
        <v>0</v>
      </c>
      <c r="M47" s="13">
        <f>Test!C253</f>
        <v>0</v>
      </c>
      <c r="N47" s="13">
        <f>Test!D253</f>
        <v>0</v>
      </c>
      <c r="O47" s="13">
        <f>Test!E253</f>
        <v>0</v>
      </c>
      <c r="P47" s="13">
        <f>Test!F253</f>
        <v>0</v>
      </c>
      <c r="Q47" s="13">
        <f>Test!G253</f>
        <v>0</v>
      </c>
      <c r="R47" s="14">
        <f t="shared" si="1"/>
        <v>0</v>
      </c>
      <c r="S47" s="13" t="e">
        <f t="shared" ref="S47:T70" si="7">P47/H47</f>
        <v>#DIV/0!</v>
      </c>
      <c r="T47" s="13" t="e">
        <f t="shared" si="7"/>
        <v>#DIV/0!</v>
      </c>
      <c r="U47" s="59"/>
      <c r="V47" s="42" t="e">
        <f>bdrate($D47:$D50,E47:E50,$L47:$L50,M47:M50)</f>
        <v>#VALUE!</v>
      </c>
      <c r="W47" s="47" t="e">
        <f>bdrate($D47:$D50,F47:F50,$L47:$L50,N47:N50)</f>
        <v>#VALUE!</v>
      </c>
      <c r="X47" s="48" t="e">
        <f>bdrate($D47:$D50,G47:G50,$L47:$L50,O47:O50)</f>
        <v>#VALUE!</v>
      </c>
      <c r="Y47" s="42" t="e">
        <f>bdrateOld($D47:$D50,E47:E50,$L47:$L50,M47:M50)</f>
        <v>#VALUE!</v>
      </c>
      <c r="Z47" s="47" t="e">
        <f>bdrateOld($D47:$D50,F47:F50,$L47:$L50,N47:N50)</f>
        <v>#VALUE!</v>
      </c>
      <c r="AA47" s="48" t="e">
        <f>bdrateOld($D47:$D50,G47:G50,$L47:$L50,O47:O50)</f>
        <v>#VALUE!</v>
      </c>
      <c r="AB47" s="54"/>
      <c r="AC47" s="12">
        <f>BMS!B253</f>
        <v>0</v>
      </c>
      <c r="AD47" s="13">
        <f>BMS!C253</f>
        <v>0</v>
      </c>
      <c r="AE47" s="13">
        <f>BMS!D253</f>
        <v>0</v>
      </c>
      <c r="AF47" s="13">
        <f>BMS!E253</f>
        <v>0</v>
      </c>
      <c r="AG47" s="13">
        <f>BMS!F253</f>
        <v>0</v>
      </c>
      <c r="AH47" s="13">
        <f>BMS!G253</f>
        <v>0</v>
      </c>
      <c r="AI47" s="14">
        <f t="shared" si="3"/>
        <v>0</v>
      </c>
      <c r="AJ47" s="13" t="e">
        <f t="shared" si="4"/>
        <v>#DIV/0!</v>
      </c>
      <c r="AK47" s="13" t="e">
        <f t="shared" si="5"/>
        <v>#DIV/0!</v>
      </c>
      <c r="AL47" s="54"/>
      <c r="AM47" s="42" t="e">
        <f>bdrate($AC47:$AC50,AD47:AD50,$L47:$L50, M47:M50)</f>
        <v>#VALUE!</v>
      </c>
      <c r="AN47" s="47" t="e">
        <f>bdrate($AC47:$AC50,AE47:AE50,$L47:$L50, N47:N50)</f>
        <v>#VALUE!</v>
      </c>
      <c r="AO47" s="48" t="e">
        <f>bdrate($AC47:$AC50,AF47:AF50,$L47:$L50, O47:O50)</f>
        <v>#VALUE!</v>
      </c>
      <c r="AP47" s="42" t="e">
        <f>bdrateOld($AC47:$AC50,AD47:AD50,$L47:$L50, M47:M50)</f>
        <v>#VALUE!</v>
      </c>
      <c r="AQ47" s="47" t="e">
        <f>bdrateOld($AC47:$AC50,AE47:AE50,$L47:$L50, N47:N50)</f>
        <v>#VALUE!</v>
      </c>
      <c r="AR47" s="48" t="e">
        <f>bdrateOld($AC47:$AC50,AF47:AF50,$L47:$L50, O47:O50)</f>
        <v>#VALUE!</v>
      </c>
    </row>
    <row r="48" spans="1:44" x14ac:dyDescent="0.2">
      <c r="A48" s="16" t="s">
        <v>50</v>
      </c>
      <c r="B48" s="16"/>
      <c r="C48" s="16">
        <v>27</v>
      </c>
      <c r="D48" s="17">
        <f>TM!B254</f>
        <v>0</v>
      </c>
      <c r="E48" s="18">
        <f>TM!C254</f>
        <v>0</v>
      </c>
      <c r="F48" s="18">
        <f>TM!D254</f>
        <v>0</v>
      </c>
      <c r="G48" s="18">
        <f>TM!E254</f>
        <v>0</v>
      </c>
      <c r="H48" s="18">
        <f>TM!F254</f>
        <v>0</v>
      </c>
      <c r="I48" s="18">
        <f>TM!G254</f>
        <v>0</v>
      </c>
      <c r="J48" s="19">
        <f t="shared" si="6"/>
        <v>0</v>
      </c>
      <c r="L48" s="17">
        <f>Test!B254</f>
        <v>0</v>
      </c>
      <c r="M48" s="18">
        <f>Test!C254</f>
        <v>0</v>
      </c>
      <c r="N48" s="18">
        <f>Test!D254</f>
        <v>0</v>
      </c>
      <c r="O48" s="18">
        <f>Test!E254</f>
        <v>0</v>
      </c>
      <c r="P48" s="18">
        <f>Test!F254</f>
        <v>0</v>
      </c>
      <c r="Q48" s="18">
        <f>Test!G254</f>
        <v>0</v>
      </c>
      <c r="R48" s="19">
        <f t="shared" si="1"/>
        <v>0</v>
      </c>
      <c r="S48" s="18" t="e">
        <f t="shared" si="7"/>
        <v>#DIV/0!</v>
      </c>
      <c r="T48" s="18" t="e">
        <f t="shared" si="7"/>
        <v>#DIV/0!</v>
      </c>
      <c r="U48" s="60"/>
      <c r="V48" s="43"/>
      <c r="W48" s="26"/>
      <c r="X48" s="55"/>
      <c r="Y48" s="43"/>
      <c r="Z48" s="26"/>
      <c r="AA48" s="55"/>
      <c r="AB48" s="20"/>
      <c r="AC48" s="17">
        <f>BMS!B254</f>
        <v>0</v>
      </c>
      <c r="AD48" s="18">
        <f>BMS!C254</f>
        <v>0</v>
      </c>
      <c r="AE48" s="18">
        <f>BMS!D254</f>
        <v>0</v>
      </c>
      <c r="AF48" s="18">
        <f>BMS!E254</f>
        <v>0</v>
      </c>
      <c r="AG48" s="18">
        <f>BMS!F254</f>
        <v>0</v>
      </c>
      <c r="AH48" s="18">
        <f>BMS!G254</f>
        <v>0</v>
      </c>
      <c r="AI48" s="19">
        <f t="shared" si="3"/>
        <v>0</v>
      </c>
      <c r="AJ48" s="18" t="e">
        <f t="shared" si="4"/>
        <v>#DIV/0!</v>
      </c>
      <c r="AK48" s="18" t="e">
        <f t="shared" si="5"/>
        <v>#DIV/0!</v>
      </c>
      <c r="AL48" s="20"/>
      <c r="AM48" s="43"/>
      <c r="AN48" s="26"/>
      <c r="AO48" s="55"/>
      <c r="AP48" s="43"/>
      <c r="AQ48" s="26"/>
      <c r="AR48" s="55"/>
    </row>
    <row r="49" spans="1:44" x14ac:dyDescent="0.2">
      <c r="A49" s="16"/>
      <c r="B49" s="16"/>
      <c r="C49" s="16">
        <v>32</v>
      </c>
      <c r="D49" s="17">
        <f>TM!B255</f>
        <v>0</v>
      </c>
      <c r="E49" s="18">
        <f>TM!C255</f>
        <v>0</v>
      </c>
      <c r="F49" s="18">
        <f>TM!D255</f>
        <v>0</v>
      </c>
      <c r="G49" s="18">
        <f>TM!E255</f>
        <v>0</v>
      </c>
      <c r="H49" s="18">
        <f>TM!F255</f>
        <v>0</v>
      </c>
      <c r="I49" s="18">
        <f>TM!G255</f>
        <v>0</v>
      </c>
      <c r="J49" s="19">
        <f t="shared" si="6"/>
        <v>0</v>
      </c>
      <c r="L49" s="17">
        <f>Test!B255</f>
        <v>0</v>
      </c>
      <c r="M49" s="18">
        <f>Test!C255</f>
        <v>0</v>
      </c>
      <c r="N49" s="18">
        <f>Test!D255</f>
        <v>0</v>
      </c>
      <c r="O49" s="18">
        <f>Test!E255</f>
        <v>0</v>
      </c>
      <c r="P49" s="18">
        <f>Test!F255</f>
        <v>0</v>
      </c>
      <c r="Q49" s="18">
        <f>Test!G255</f>
        <v>0</v>
      </c>
      <c r="R49" s="19">
        <f t="shared" si="1"/>
        <v>0</v>
      </c>
      <c r="S49" s="18" t="e">
        <f t="shared" si="7"/>
        <v>#DIV/0!</v>
      </c>
      <c r="T49" s="18" t="e">
        <f t="shared" si="7"/>
        <v>#DIV/0!</v>
      </c>
      <c r="U49" s="60"/>
      <c r="V49" s="43"/>
      <c r="W49" s="26"/>
      <c r="X49" s="55"/>
      <c r="Y49" s="43"/>
      <c r="Z49" s="26"/>
      <c r="AA49" s="55"/>
      <c r="AB49" s="20"/>
      <c r="AC49" s="17">
        <f>BMS!B255</f>
        <v>0</v>
      </c>
      <c r="AD49" s="18">
        <f>BMS!C255</f>
        <v>0</v>
      </c>
      <c r="AE49" s="18">
        <f>BMS!D255</f>
        <v>0</v>
      </c>
      <c r="AF49" s="18">
        <f>BMS!E255</f>
        <v>0</v>
      </c>
      <c r="AG49" s="18">
        <f>BMS!F255</f>
        <v>0</v>
      </c>
      <c r="AH49" s="18">
        <f>BMS!G255</f>
        <v>0</v>
      </c>
      <c r="AI49" s="19">
        <f t="shared" si="3"/>
        <v>0</v>
      </c>
      <c r="AJ49" s="18" t="e">
        <f t="shared" si="4"/>
        <v>#DIV/0!</v>
      </c>
      <c r="AK49" s="18" t="e">
        <f t="shared" si="5"/>
        <v>#DIV/0!</v>
      </c>
      <c r="AL49" s="20"/>
      <c r="AM49" s="43"/>
      <c r="AN49" s="26"/>
      <c r="AO49" s="55"/>
      <c r="AP49" s="43"/>
      <c r="AQ49" s="26"/>
      <c r="AR49" s="55"/>
    </row>
    <row r="50" spans="1:44" ht="12.75" thickBot="1" x14ac:dyDescent="0.25">
      <c r="A50" s="16"/>
      <c r="B50" s="21"/>
      <c r="C50" s="21">
        <v>37</v>
      </c>
      <c r="D50" s="22">
        <f>TM!B256</f>
        <v>0</v>
      </c>
      <c r="E50" s="23">
        <f>TM!C256</f>
        <v>0</v>
      </c>
      <c r="F50" s="23">
        <f>TM!D256</f>
        <v>0</v>
      </c>
      <c r="G50" s="23">
        <f>TM!E256</f>
        <v>0</v>
      </c>
      <c r="H50" s="23">
        <f>TM!F256</f>
        <v>0</v>
      </c>
      <c r="I50" s="23">
        <f>TM!G256</f>
        <v>0</v>
      </c>
      <c r="J50" s="24">
        <f t="shared" si="6"/>
        <v>0</v>
      </c>
      <c r="L50" s="22">
        <f>Test!B256</f>
        <v>0</v>
      </c>
      <c r="M50" s="23">
        <f>Test!C256</f>
        <v>0</v>
      </c>
      <c r="N50" s="23">
        <f>Test!D256</f>
        <v>0</v>
      </c>
      <c r="O50" s="23">
        <f>Test!E256</f>
        <v>0</v>
      </c>
      <c r="P50" s="23">
        <f>Test!F256</f>
        <v>0</v>
      </c>
      <c r="Q50" s="23">
        <f>Test!G256</f>
        <v>0</v>
      </c>
      <c r="R50" s="24">
        <f t="shared" si="1"/>
        <v>0</v>
      </c>
      <c r="S50" s="18" t="e">
        <f t="shared" si="7"/>
        <v>#DIV/0!</v>
      </c>
      <c r="T50" s="18" t="e">
        <f t="shared" si="7"/>
        <v>#DIV/0!</v>
      </c>
      <c r="U50" s="60"/>
      <c r="V50" s="44"/>
      <c r="W50" s="56"/>
      <c r="X50" s="57"/>
      <c r="Y50" s="44"/>
      <c r="Z50" s="56"/>
      <c r="AA50" s="57"/>
      <c r="AB50" s="20"/>
      <c r="AC50" s="22">
        <f>BMS!B256</f>
        <v>0</v>
      </c>
      <c r="AD50" s="23">
        <f>BMS!C256</f>
        <v>0</v>
      </c>
      <c r="AE50" s="23">
        <f>BMS!D256</f>
        <v>0</v>
      </c>
      <c r="AF50" s="23">
        <f>BMS!E256</f>
        <v>0</v>
      </c>
      <c r="AG50" s="23">
        <f>BMS!F256</f>
        <v>0</v>
      </c>
      <c r="AH50" s="23">
        <f>BMS!G256</f>
        <v>0</v>
      </c>
      <c r="AI50" s="24">
        <f t="shared" si="3"/>
        <v>0</v>
      </c>
      <c r="AJ50" s="18" t="e">
        <f t="shared" si="4"/>
        <v>#DIV/0!</v>
      </c>
      <c r="AK50" s="18" t="e">
        <f t="shared" si="5"/>
        <v>#DIV/0!</v>
      </c>
      <c r="AL50" s="20"/>
      <c r="AM50" s="44"/>
      <c r="AN50" s="56"/>
      <c r="AO50" s="57"/>
      <c r="AP50" s="44"/>
      <c r="AQ50" s="56"/>
      <c r="AR50" s="57"/>
    </row>
    <row r="51" spans="1:44" x14ac:dyDescent="0.2">
      <c r="A51" s="16"/>
      <c r="B51" s="11" t="s">
        <v>39</v>
      </c>
      <c r="C51" s="11">
        <v>22</v>
      </c>
      <c r="D51" s="12">
        <f>TM!B257</f>
        <v>0</v>
      </c>
      <c r="E51" s="13">
        <f>TM!C257</f>
        <v>0</v>
      </c>
      <c r="F51" s="13">
        <f>TM!D257</f>
        <v>0</v>
      </c>
      <c r="G51" s="13">
        <f>TM!E257</f>
        <v>0</v>
      </c>
      <c r="H51" s="13">
        <f>TM!F257</f>
        <v>0</v>
      </c>
      <c r="I51" s="13">
        <f>TM!G257</f>
        <v>0</v>
      </c>
      <c r="J51" s="14">
        <f t="shared" si="6"/>
        <v>0</v>
      </c>
      <c r="L51" s="12">
        <f>Test!B257</f>
        <v>0</v>
      </c>
      <c r="M51" s="13">
        <f>Test!C257</f>
        <v>0</v>
      </c>
      <c r="N51" s="13">
        <f>Test!D257</f>
        <v>0</v>
      </c>
      <c r="O51" s="13">
        <f>Test!E257</f>
        <v>0</v>
      </c>
      <c r="P51" s="13">
        <f>Test!F257</f>
        <v>0</v>
      </c>
      <c r="Q51" s="13">
        <f>Test!G257</f>
        <v>0</v>
      </c>
      <c r="R51" s="14">
        <f t="shared" si="1"/>
        <v>0</v>
      </c>
      <c r="S51" s="18" t="e">
        <f t="shared" si="7"/>
        <v>#DIV/0!</v>
      </c>
      <c r="T51" s="18" t="e">
        <f t="shared" si="7"/>
        <v>#DIV/0!</v>
      </c>
      <c r="U51" s="60"/>
      <c r="V51" s="42" t="e">
        <f>bdrate($D51:$D54,E51:E54,$L51:$L54,M51:M54)</f>
        <v>#VALUE!</v>
      </c>
      <c r="W51" s="47" t="e">
        <f>bdrate($D51:$D54,F51:F54,$L51:$L54,N51:N54)</f>
        <v>#VALUE!</v>
      </c>
      <c r="X51" s="47" t="e">
        <f>bdrate($D51:$D54,G51:G54,$L51:$L54,O51:O54)</f>
        <v>#VALUE!</v>
      </c>
      <c r="Y51" s="45" t="e">
        <f>bdrateOld($D51:$D54,E51:E54,$L51:$L54,M51:M54)</f>
        <v>#VALUE!</v>
      </c>
      <c r="Z51" s="49" t="e">
        <f>bdrateOld($D51:$D54,F51:F54,$L51:$L54,N51:N54)</f>
        <v>#VALUE!</v>
      </c>
      <c r="AA51" s="50" t="e">
        <f>bdrateOld($D51:$D54,G51:G54,$L51:$L54,O51:O54)</f>
        <v>#VALUE!</v>
      </c>
      <c r="AB51" s="20"/>
      <c r="AC51" s="12">
        <f>BMS!B257</f>
        <v>0</v>
      </c>
      <c r="AD51" s="13">
        <f>BMS!C257</f>
        <v>0</v>
      </c>
      <c r="AE51" s="13">
        <f>BMS!D257</f>
        <v>0</v>
      </c>
      <c r="AF51" s="13">
        <f>BMS!E257</f>
        <v>0</v>
      </c>
      <c r="AG51" s="13">
        <f>BMS!F257</f>
        <v>0</v>
      </c>
      <c r="AH51" s="13">
        <f>BMS!G257</f>
        <v>0</v>
      </c>
      <c r="AI51" s="14">
        <f t="shared" si="3"/>
        <v>0</v>
      </c>
      <c r="AJ51" s="18" t="e">
        <f t="shared" si="4"/>
        <v>#DIV/0!</v>
      </c>
      <c r="AK51" s="18" t="e">
        <f t="shared" si="5"/>
        <v>#DIV/0!</v>
      </c>
      <c r="AL51" s="20"/>
      <c r="AM51" s="42" t="e">
        <f>bdrate($AC51:$AC54,AD51:AD54,$L51:$L54, M51:M54)</f>
        <v>#VALUE!</v>
      </c>
      <c r="AN51" s="47" t="e">
        <f>bdrate($AC51:$AC54,AE51:AE54,$L51:$L54, N51:N54)</f>
        <v>#VALUE!</v>
      </c>
      <c r="AO51" s="48" t="e">
        <f>bdrate($AC51:$AC54,AF51:AF54,$L51:$L54, O51:O54)</f>
        <v>#VALUE!</v>
      </c>
      <c r="AP51" s="42" t="e">
        <f>bdrateOld($AC51:$AC54,AD51:AD54,$L51:$L54, M51:M54)</f>
        <v>#VALUE!</v>
      </c>
      <c r="AQ51" s="47" t="e">
        <f>bdrateOld($AC51:$AC54,AE51:AE54,$L51:$L54, N51:N54)</f>
        <v>#VALUE!</v>
      </c>
      <c r="AR51" s="48" t="e">
        <f>bdrateOld($AC51:$AC54,AF51:AF54,$L51:$L54, O51:O54)</f>
        <v>#VALUE!</v>
      </c>
    </row>
    <row r="52" spans="1:44" x14ac:dyDescent="0.2">
      <c r="A52" s="16"/>
      <c r="B52" s="16"/>
      <c r="C52" s="16">
        <v>27</v>
      </c>
      <c r="D52" s="17">
        <f>TM!B258</f>
        <v>0</v>
      </c>
      <c r="E52" s="18">
        <f>TM!C258</f>
        <v>0</v>
      </c>
      <c r="F52" s="18">
        <f>TM!D258</f>
        <v>0</v>
      </c>
      <c r="G52" s="18">
        <f>TM!E258</f>
        <v>0</v>
      </c>
      <c r="H52" s="18">
        <f>TM!F258</f>
        <v>0</v>
      </c>
      <c r="I52" s="18">
        <f>TM!G258</f>
        <v>0</v>
      </c>
      <c r="J52" s="19">
        <f t="shared" si="6"/>
        <v>0</v>
      </c>
      <c r="L52" s="17">
        <f>Test!B258</f>
        <v>0</v>
      </c>
      <c r="M52" s="18">
        <f>Test!C258</f>
        <v>0</v>
      </c>
      <c r="N52" s="18">
        <f>Test!D258</f>
        <v>0</v>
      </c>
      <c r="O52" s="18">
        <f>Test!E258</f>
        <v>0</v>
      </c>
      <c r="P52" s="18">
        <f>Test!F258</f>
        <v>0</v>
      </c>
      <c r="Q52" s="18">
        <f>Test!G258</f>
        <v>0</v>
      </c>
      <c r="R52" s="19">
        <f t="shared" si="1"/>
        <v>0</v>
      </c>
      <c r="S52" s="18" t="e">
        <f t="shared" si="7"/>
        <v>#DIV/0!</v>
      </c>
      <c r="T52" s="18" t="e">
        <f t="shared" si="7"/>
        <v>#DIV/0!</v>
      </c>
      <c r="U52" s="60"/>
      <c r="V52" s="43"/>
      <c r="W52" s="26"/>
      <c r="X52" s="26"/>
      <c r="Y52" s="43"/>
      <c r="Z52" s="26"/>
      <c r="AA52" s="55"/>
      <c r="AB52" s="20"/>
      <c r="AC52" s="17">
        <f>BMS!B258</f>
        <v>0</v>
      </c>
      <c r="AD52" s="18">
        <f>BMS!C258</f>
        <v>0</v>
      </c>
      <c r="AE52" s="18">
        <f>BMS!D258</f>
        <v>0</v>
      </c>
      <c r="AF52" s="18">
        <f>BMS!E258</f>
        <v>0</v>
      </c>
      <c r="AG52" s="18">
        <f>BMS!F258</f>
        <v>0</v>
      </c>
      <c r="AH52" s="18">
        <f>BMS!G258</f>
        <v>0</v>
      </c>
      <c r="AI52" s="19">
        <f t="shared" si="3"/>
        <v>0</v>
      </c>
      <c r="AJ52" s="18" t="e">
        <f t="shared" si="4"/>
        <v>#DIV/0!</v>
      </c>
      <c r="AK52" s="18" t="e">
        <f t="shared" si="5"/>
        <v>#DIV/0!</v>
      </c>
      <c r="AL52" s="20"/>
      <c r="AM52" s="43"/>
      <c r="AN52" s="26"/>
      <c r="AO52" s="55"/>
      <c r="AP52" s="43"/>
      <c r="AQ52" s="26"/>
      <c r="AR52" s="55"/>
    </row>
    <row r="53" spans="1:44" x14ac:dyDescent="0.2">
      <c r="A53" s="16"/>
      <c r="B53" s="16"/>
      <c r="C53" s="16">
        <v>32</v>
      </c>
      <c r="D53" s="17">
        <f>TM!B259</f>
        <v>0</v>
      </c>
      <c r="E53" s="18">
        <f>TM!C259</f>
        <v>0</v>
      </c>
      <c r="F53" s="18">
        <f>TM!D259</f>
        <v>0</v>
      </c>
      <c r="G53" s="18">
        <f>TM!E259</f>
        <v>0</v>
      </c>
      <c r="H53" s="18">
        <f>TM!F259</f>
        <v>0</v>
      </c>
      <c r="I53" s="18">
        <f>TM!G259</f>
        <v>0</v>
      </c>
      <c r="J53" s="19">
        <f t="shared" si="6"/>
        <v>0</v>
      </c>
      <c r="L53" s="17">
        <f>Test!B259</f>
        <v>0</v>
      </c>
      <c r="M53" s="18">
        <f>Test!C259</f>
        <v>0</v>
      </c>
      <c r="N53" s="18">
        <f>Test!D259</f>
        <v>0</v>
      </c>
      <c r="O53" s="18">
        <f>Test!E259</f>
        <v>0</v>
      </c>
      <c r="P53" s="18">
        <f>Test!F259</f>
        <v>0</v>
      </c>
      <c r="Q53" s="18">
        <f>Test!G259</f>
        <v>0</v>
      </c>
      <c r="R53" s="19">
        <f t="shared" si="1"/>
        <v>0</v>
      </c>
      <c r="S53" s="18" t="e">
        <f t="shared" si="7"/>
        <v>#DIV/0!</v>
      </c>
      <c r="T53" s="18" t="e">
        <f t="shared" si="7"/>
        <v>#DIV/0!</v>
      </c>
      <c r="U53" s="60"/>
      <c r="V53" s="43"/>
      <c r="W53" s="26"/>
      <c r="X53" s="26"/>
      <c r="Y53" s="43"/>
      <c r="Z53" s="26"/>
      <c r="AA53" s="55"/>
      <c r="AB53" s="20"/>
      <c r="AC53" s="17">
        <f>BMS!B259</f>
        <v>0</v>
      </c>
      <c r="AD53" s="18">
        <f>BMS!C259</f>
        <v>0</v>
      </c>
      <c r="AE53" s="18">
        <f>BMS!D259</f>
        <v>0</v>
      </c>
      <c r="AF53" s="18">
        <f>BMS!E259</f>
        <v>0</v>
      </c>
      <c r="AG53" s="18">
        <f>BMS!F259</f>
        <v>0</v>
      </c>
      <c r="AH53" s="18">
        <f>BMS!G259</f>
        <v>0</v>
      </c>
      <c r="AI53" s="19">
        <f t="shared" si="3"/>
        <v>0</v>
      </c>
      <c r="AJ53" s="18" t="e">
        <f t="shared" si="4"/>
        <v>#DIV/0!</v>
      </c>
      <c r="AK53" s="18" t="e">
        <f t="shared" si="5"/>
        <v>#DIV/0!</v>
      </c>
      <c r="AL53" s="20"/>
      <c r="AM53" s="43"/>
      <c r="AN53" s="26"/>
      <c r="AO53" s="55"/>
      <c r="AP53" s="43"/>
      <c r="AQ53" s="26"/>
      <c r="AR53" s="55"/>
    </row>
    <row r="54" spans="1:44" ht="12.75" thickBot="1" x14ac:dyDescent="0.25">
      <c r="A54" s="16"/>
      <c r="B54" s="21"/>
      <c r="C54" s="21">
        <v>37</v>
      </c>
      <c r="D54" s="22">
        <f>TM!B260</f>
        <v>0</v>
      </c>
      <c r="E54" s="23">
        <f>TM!C260</f>
        <v>0</v>
      </c>
      <c r="F54" s="23">
        <f>TM!D260</f>
        <v>0</v>
      </c>
      <c r="G54" s="23">
        <f>TM!E260</f>
        <v>0</v>
      </c>
      <c r="H54" s="23">
        <f>TM!F260</f>
        <v>0</v>
      </c>
      <c r="I54" s="23">
        <f>TM!G260</f>
        <v>0</v>
      </c>
      <c r="J54" s="24">
        <f t="shared" si="6"/>
        <v>0</v>
      </c>
      <c r="L54" s="22">
        <f>Test!B260</f>
        <v>0</v>
      </c>
      <c r="M54" s="23">
        <f>Test!C260</f>
        <v>0</v>
      </c>
      <c r="N54" s="23">
        <f>Test!D260</f>
        <v>0</v>
      </c>
      <c r="O54" s="23">
        <f>Test!E260</f>
        <v>0</v>
      </c>
      <c r="P54" s="23">
        <f>Test!F260</f>
        <v>0</v>
      </c>
      <c r="Q54" s="23">
        <f>Test!G260</f>
        <v>0</v>
      </c>
      <c r="R54" s="24">
        <f t="shared" si="1"/>
        <v>0</v>
      </c>
      <c r="S54" s="18" t="e">
        <f t="shared" si="7"/>
        <v>#DIV/0!</v>
      </c>
      <c r="T54" s="18" t="e">
        <f t="shared" si="7"/>
        <v>#DIV/0!</v>
      </c>
      <c r="U54" s="60"/>
      <c r="V54" s="44"/>
      <c r="W54" s="56"/>
      <c r="X54" s="56"/>
      <c r="Y54" s="44"/>
      <c r="Z54" s="56"/>
      <c r="AA54" s="57"/>
      <c r="AB54" s="20"/>
      <c r="AC54" s="22">
        <f>BMS!B260</f>
        <v>0</v>
      </c>
      <c r="AD54" s="23">
        <f>BMS!C260</f>
        <v>0</v>
      </c>
      <c r="AE54" s="23">
        <f>BMS!D260</f>
        <v>0</v>
      </c>
      <c r="AF54" s="23">
        <f>BMS!E260</f>
        <v>0</v>
      </c>
      <c r="AG54" s="23">
        <f>BMS!F260</f>
        <v>0</v>
      </c>
      <c r="AH54" s="23">
        <f>BMS!G260</f>
        <v>0</v>
      </c>
      <c r="AI54" s="24">
        <f t="shared" si="3"/>
        <v>0</v>
      </c>
      <c r="AJ54" s="18" t="e">
        <f t="shared" si="4"/>
        <v>#DIV/0!</v>
      </c>
      <c r="AK54" s="18" t="e">
        <f t="shared" si="5"/>
        <v>#DIV/0!</v>
      </c>
      <c r="AL54" s="20"/>
      <c r="AM54" s="44"/>
      <c r="AN54" s="56"/>
      <c r="AO54" s="57"/>
      <c r="AP54" s="44"/>
      <c r="AQ54" s="56"/>
      <c r="AR54" s="57"/>
    </row>
    <row r="55" spans="1:44" x14ac:dyDescent="0.2">
      <c r="A55" s="16"/>
      <c r="B55" s="11" t="s">
        <v>56</v>
      </c>
      <c r="C55" s="11">
        <v>22</v>
      </c>
      <c r="D55" s="12">
        <f>TM!B261</f>
        <v>0</v>
      </c>
      <c r="E55" s="13">
        <f>TM!C261</f>
        <v>0</v>
      </c>
      <c r="F55" s="13">
        <f>TM!D261</f>
        <v>0</v>
      </c>
      <c r="G55" s="13">
        <f>TM!E261</f>
        <v>0</v>
      </c>
      <c r="H55" s="13">
        <f>TM!F261</f>
        <v>0</v>
      </c>
      <c r="I55" s="13">
        <f>TM!G261</f>
        <v>0</v>
      </c>
      <c r="J55" s="14">
        <f t="shared" si="6"/>
        <v>0</v>
      </c>
      <c r="L55" s="12">
        <f>Test!B261</f>
        <v>0</v>
      </c>
      <c r="M55" s="13">
        <f>Test!C261</f>
        <v>0</v>
      </c>
      <c r="N55" s="13">
        <f>Test!D261</f>
        <v>0</v>
      </c>
      <c r="O55" s="13">
        <f>Test!E261</f>
        <v>0</v>
      </c>
      <c r="P55" s="13">
        <f>Test!F261</f>
        <v>0</v>
      </c>
      <c r="Q55" s="13">
        <f>Test!G261</f>
        <v>0</v>
      </c>
      <c r="R55" s="14">
        <f t="shared" si="1"/>
        <v>0</v>
      </c>
      <c r="S55" s="18" t="e">
        <f t="shared" si="7"/>
        <v>#DIV/0!</v>
      </c>
      <c r="T55" s="18" t="e">
        <f t="shared" si="7"/>
        <v>#DIV/0!</v>
      </c>
      <c r="U55" s="60"/>
      <c r="V55" s="42" t="e">
        <f>bdrate($D55:$D58,E55:E58,$L55:$L58,M55:M58)</f>
        <v>#VALUE!</v>
      </c>
      <c r="W55" s="47" t="e">
        <f>bdrate($D55:$D58,F55:F58,$L55:$L58,N55:N58)</f>
        <v>#VALUE!</v>
      </c>
      <c r="X55" s="47" t="e">
        <f>bdrate($D55:$D58,G55:G58,$L55:$L58,O55:O58)</f>
        <v>#VALUE!</v>
      </c>
      <c r="Y55" s="45" t="e">
        <f>bdrateOld($D55:$D58,E55:E58,$L55:$L58,M55:M58)</f>
        <v>#VALUE!</v>
      </c>
      <c r="Z55" s="49" t="e">
        <f>bdrateOld($D55:$D58,F55:F58,$L55:$L58,N55:N58)</f>
        <v>#VALUE!</v>
      </c>
      <c r="AA55" s="50" t="e">
        <f>bdrateOld($D55:$D58,G55:G58,$L55:$L58,O55:O58)</f>
        <v>#VALUE!</v>
      </c>
      <c r="AB55" s="20"/>
      <c r="AC55" s="12">
        <f>BMS!B261</f>
        <v>0</v>
      </c>
      <c r="AD55" s="13">
        <f>BMS!C261</f>
        <v>0</v>
      </c>
      <c r="AE55" s="13">
        <f>BMS!D261</f>
        <v>0</v>
      </c>
      <c r="AF55" s="13">
        <f>BMS!E261</f>
        <v>0</v>
      </c>
      <c r="AG55" s="13">
        <f>BMS!F261</f>
        <v>0</v>
      </c>
      <c r="AH55" s="13">
        <f>BMS!G261</f>
        <v>0</v>
      </c>
      <c r="AI55" s="14">
        <f t="shared" si="3"/>
        <v>0</v>
      </c>
      <c r="AJ55" s="18" t="e">
        <f t="shared" si="4"/>
        <v>#DIV/0!</v>
      </c>
      <c r="AK55" s="18" t="e">
        <f t="shared" si="5"/>
        <v>#DIV/0!</v>
      </c>
      <c r="AL55" s="20"/>
      <c r="AM55" s="42" t="e">
        <f>bdrate($AC55:$AC58,AD55:AD58,$L55:$L58, M55:M58)</f>
        <v>#VALUE!</v>
      </c>
      <c r="AN55" s="47" t="e">
        <f>bdrate($AC55:$AC58,AE55:AE58,$L55:$L58, N55:N58)</f>
        <v>#VALUE!</v>
      </c>
      <c r="AO55" s="48" t="e">
        <f>bdrate($AC55:$AC58,AF55:AF58,$L55:$L58, O55:O58)</f>
        <v>#VALUE!</v>
      </c>
      <c r="AP55" s="42" t="e">
        <f>bdrateOld($AC55:$AC58,AD55:AD58,$L55:$L58, M55:M58)</f>
        <v>#VALUE!</v>
      </c>
      <c r="AQ55" s="47" t="e">
        <f>bdrateOld($AC55:$AC58,AE55:AE58,$L55:$L58, N55:N58)</f>
        <v>#VALUE!</v>
      </c>
      <c r="AR55" s="48" t="e">
        <f>bdrateOld($AC55:$AC58,AF55:AF58,$L55:$L58, O55:O58)</f>
        <v>#VALUE!</v>
      </c>
    </row>
    <row r="56" spans="1:44" x14ac:dyDescent="0.2">
      <c r="A56" s="16"/>
      <c r="B56" s="16"/>
      <c r="C56" s="16">
        <v>27</v>
      </c>
      <c r="D56" s="17">
        <f>TM!B262</f>
        <v>0</v>
      </c>
      <c r="E56" s="18">
        <f>TM!C262</f>
        <v>0</v>
      </c>
      <c r="F56" s="18">
        <f>TM!D262</f>
        <v>0</v>
      </c>
      <c r="G56" s="18">
        <f>TM!E262</f>
        <v>0</v>
      </c>
      <c r="H56" s="18">
        <f>TM!F262</f>
        <v>0</v>
      </c>
      <c r="I56" s="18">
        <f>TM!G262</f>
        <v>0</v>
      </c>
      <c r="J56" s="19">
        <f t="shared" si="6"/>
        <v>0</v>
      </c>
      <c r="L56" s="17">
        <f>Test!B262</f>
        <v>0</v>
      </c>
      <c r="M56" s="18">
        <f>Test!C262</f>
        <v>0</v>
      </c>
      <c r="N56" s="18">
        <f>Test!D262</f>
        <v>0</v>
      </c>
      <c r="O56" s="18">
        <f>Test!E262</f>
        <v>0</v>
      </c>
      <c r="P56" s="18">
        <f>Test!F262</f>
        <v>0</v>
      </c>
      <c r="Q56" s="18">
        <f>Test!G262</f>
        <v>0</v>
      </c>
      <c r="R56" s="19">
        <f t="shared" si="1"/>
        <v>0</v>
      </c>
      <c r="S56" s="18" t="e">
        <f t="shared" si="7"/>
        <v>#DIV/0!</v>
      </c>
      <c r="T56" s="18" t="e">
        <f t="shared" si="7"/>
        <v>#DIV/0!</v>
      </c>
      <c r="U56" s="60"/>
      <c r="V56" s="43"/>
      <c r="W56" s="26"/>
      <c r="X56" s="26"/>
      <c r="Y56" s="43"/>
      <c r="Z56" s="26"/>
      <c r="AA56" s="55"/>
      <c r="AB56" s="20"/>
      <c r="AC56" s="17">
        <f>BMS!B262</f>
        <v>0</v>
      </c>
      <c r="AD56" s="18">
        <f>BMS!C262</f>
        <v>0</v>
      </c>
      <c r="AE56" s="18">
        <f>BMS!D262</f>
        <v>0</v>
      </c>
      <c r="AF56" s="18">
        <f>BMS!E262</f>
        <v>0</v>
      </c>
      <c r="AG56" s="18">
        <f>BMS!F262</f>
        <v>0</v>
      </c>
      <c r="AH56" s="18">
        <f>BMS!G262</f>
        <v>0</v>
      </c>
      <c r="AI56" s="19">
        <f t="shared" si="3"/>
        <v>0</v>
      </c>
      <c r="AJ56" s="18" t="e">
        <f t="shared" si="4"/>
        <v>#DIV/0!</v>
      </c>
      <c r="AK56" s="18" t="e">
        <f t="shared" si="5"/>
        <v>#DIV/0!</v>
      </c>
      <c r="AL56" s="20"/>
      <c r="AM56" s="43"/>
      <c r="AN56" s="26"/>
      <c r="AO56" s="55"/>
      <c r="AP56" s="43"/>
      <c r="AQ56" s="26"/>
      <c r="AR56" s="55"/>
    </row>
    <row r="57" spans="1:44" x14ac:dyDescent="0.2">
      <c r="A57" s="16"/>
      <c r="B57" s="16"/>
      <c r="C57" s="16">
        <v>32</v>
      </c>
      <c r="D57" s="17">
        <f>TM!B263</f>
        <v>0</v>
      </c>
      <c r="E57" s="18">
        <f>TM!C263</f>
        <v>0</v>
      </c>
      <c r="F57" s="18">
        <f>TM!D263</f>
        <v>0</v>
      </c>
      <c r="G57" s="18">
        <f>TM!E263</f>
        <v>0</v>
      </c>
      <c r="H57" s="18">
        <f>TM!F263</f>
        <v>0</v>
      </c>
      <c r="I57" s="18">
        <f>TM!G263</f>
        <v>0</v>
      </c>
      <c r="J57" s="19">
        <f t="shared" si="6"/>
        <v>0</v>
      </c>
      <c r="L57" s="17">
        <f>Test!B263</f>
        <v>0</v>
      </c>
      <c r="M57" s="18">
        <f>Test!C263</f>
        <v>0</v>
      </c>
      <c r="N57" s="18">
        <f>Test!D263</f>
        <v>0</v>
      </c>
      <c r="O57" s="18">
        <f>Test!E263</f>
        <v>0</v>
      </c>
      <c r="P57" s="18">
        <f>Test!F263</f>
        <v>0</v>
      </c>
      <c r="Q57" s="18">
        <f>Test!G263</f>
        <v>0</v>
      </c>
      <c r="R57" s="19">
        <f t="shared" si="1"/>
        <v>0</v>
      </c>
      <c r="S57" s="18" t="e">
        <f t="shared" si="7"/>
        <v>#DIV/0!</v>
      </c>
      <c r="T57" s="18" t="e">
        <f t="shared" si="7"/>
        <v>#DIV/0!</v>
      </c>
      <c r="U57" s="60"/>
      <c r="V57" s="43"/>
      <c r="W57" s="26"/>
      <c r="X57" s="26"/>
      <c r="Y57" s="43"/>
      <c r="Z57" s="26"/>
      <c r="AA57" s="55"/>
      <c r="AB57" s="20"/>
      <c r="AC57" s="17">
        <f>BMS!B263</f>
        <v>0</v>
      </c>
      <c r="AD57" s="18">
        <f>BMS!C263</f>
        <v>0</v>
      </c>
      <c r="AE57" s="18">
        <f>BMS!D263</f>
        <v>0</v>
      </c>
      <c r="AF57" s="18">
        <f>BMS!E263</f>
        <v>0</v>
      </c>
      <c r="AG57" s="18">
        <f>BMS!F263</f>
        <v>0</v>
      </c>
      <c r="AH57" s="18">
        <f>BMS!G263</f>
        <v>0</v>
      </c>
      <c r="AI57" s="19">
        <f t="shared" si="3"/>
        <v>0</v>
      </c>
      <c r="AJ57" s="18" t="e">
        <f t="shared" si="4"/>
        <v>#DIV/0!</v>
      </c>
      <c r="AK57" s="18" t="e">
        <f t="shared" si="5"/>
        <v>#DIV/0!</v>
      </c>
      <c r="AL57" s="20"/>
      <c r="AM57" s="43"/>
      <c r="AN57" s="26"/>
      <c r="AO57" s="55"/>
      <c r="AP57" s="43"/>
      <c r="AQ57" s="26"/>
      <c r="AR57" s="55"/>
    </row>
    <row r="58" spans="1:44" ht="12.75" thickBot="1" x14ac:dyDescent="0.25">
      <c r="A58" s="16"/>
      <c r="B58" s="21"/>
      <c r="C58" s="21">
        <v>37</v>
      </c>
      <c r="D58" s="22">
        <f>TM!B264</f>
        <v>0</v>
      </c>
      <c r="E58" s="23">
        <f>TM!C264</f>
        <v>0</v>
      </c>
      <c r="F58" s="23">
        <f>TM!D264</f>
        <v>0</v>
      </c>
      <c r="G58" s="23">
        <f>TM!E264</f>
        <v>0</v>
      </c>
      <c r="H58" s="23">
        <f>TM!F264</f>
        <v>0</v>
      </c>
      <c r="I58" s="23">
        <f>TM!G264</f>
        <v>0</v>
      </c>
      <c r="J58" s="24">
        <f t="shared" si="6"/>
        <v>0</v>
      </c>
      <c r="L58" s="22">
        <f>Test!B264</f>
        <v>0</v>
      </c>
      <c r="M58" s="23">
        <f>Test!C264</f>
        <v>0</v>
      </c>
      <c r="N58" s="23">
        <f>Test!D264</f>
        <v>0</v>
      </c>
      <c r="O58" s="23">
        <f>Test!E264</f>
        <v>0</v>
      </c>
      <c r="P58" s="23">
        <f>Test!F264</f>
        <v>0</v>
      </c>
      <c r="Q58" s="23">
        <f>Test!G264</f>
        <v>0</v>
      </c>
      <c r="R58" s="24">
        <f t="shared" si="1"/>
        <v>0</v>
      </c>
      <c r="S58" s="18" t="e">
        <f t="shared" si="7"/>
        <v>#DIV/0!</v>
      </c>
      <c r="T58" s="18" t="e">
        <f t="shared" si="7"/>
        <v>#DIV/0!</v>
      </c>
      <c r="U58" s="60"/>
      <c r="V58" s="44"/>
      <c r="W58" s="56"/>
      <c r="X58" s="56"/>
      <c r="Y58" s="44"/>
      <c r="Z58" s="56"/>
      <c r="AA58" s="57"/>
      <c r="AB58" s="20"/>
      <c r="AC58" s="22">
        <f>BMS!B264</f>
        <v>0</v>
      </c>
      <c r="AD58" s="23">
        <f>BMS!C264</f>
        <v>0</v>
      </c>
      <c r="AE58" s="23">
        <f>BMS!D264</f>
        <v>0</v>
      </c>
      <c r="AF58" s="23">
        <f>BMS!E264</f>
        <v>0</v>
      </c>
      <c r="AG58" s="23">
        <f>BMS!F264</f>
        <v>0</v>
      </c>
      <c r="AH58" s="23">
        <f>BMS!G264</f>
        <v>0</v>
      </c>
      <c r="AI58" s="24">
        <f t="shared" si="3"/>
        <v>0</v>
      </c>
      <c r="AJ58" s="18" t="e">
        <f t="shared" si="4"/>
        <v>#DIV/0!</v>
      </c>
      <c r="AK58" s="18" t="e">
        <f t="shared" si="5"/>
        <v>#DIV/0!</v>
      </c>
      <c r="AL58" s="20"/>
      <c r="AM58" s="44"/>
      <c r="AN58" s="56"/>
      <c r="AO58" s="57"/>
      <c r="AP58" s="44"/>
      <c r="AQ58" s="56"/>
      <c r="AR58" s="57"/>
    </row>
    <row r="59" spans="1:44" x14ac:dyDescent="0.2">
      <c r="A59" s="16"/>
      <c r="B59" s="11" t="s">
        <v>57</v>
      </c>
      <c r="C59" s="11">
        <v>22</v>
      </c>
      <c r="D59" s="12">
        <f>TM!B265</f>
        <v>0</v>
      </c>
      <c r="E59" s="13">
        <f>TM!C265</f>
        <v>0</v>
      </c>
      <c r="F59" s="13">
        <f>TM!D265</f>
        <v>0</v>
      </c>
      <c r="G59" s="13">
        <f>TM!E265</f>
        <v>0</v>
      </c>
      <c r="H59" s="13">
        <f>TM!F265</f>
        <v>0</v>
      </c>
      <c r="I59" s="13">
        <f>TM!G265</f>
        <v>0</v>
      </c>
      <c r="J59" s="14">
        <f t="shared" si="6"/>
        <v>0</v>
      </c>
      <c r="L59" s="12">
        <f>Test!B265</f>
        <v>0</v>
      </c>
      <c r="M59" s="13">
        <f>Test!C265</f>
        <v>0</v>
      </c>
      <c r="N59" s="13">
        <f>Test!D265</f>
        <v>0</v>
      </c>
      <c r="O59" s="13">
        <f>Test!E265</f>
        <v>0</v>
      </c>
      <c r="P59" s="13">
        <f>Test!F265</f>
        <v>0</v>
      </c>
      <c r="Q59" s="13">
        <f>Test!G265</f>
        <v>0</v>
      </c>
      <c r="R59" s="14">
        <f t="shared" si="1"/>
        <v>0</v>
      </c>
      <c r="S59" s="18" t="e">
        <f t="shared" si="7"/>
        <v>#DIV/0!</v>
      </c>
      <c r="T59" s="18" t="e">
        <f t="shared" si="7"/>
        <v>#DIV/0!</v>
      </c>
      <c r="U59" s="60"/>
      <c r="V59" s="42" t="e">
        <f>bdrate($D59:$D62,E59:E62,$L59:$L62,M59:M62)</f>
        <v>#VALUE!</v>
      </c>
      <c r="W59" s="47" t="e">
        <f>bdrate($D59:$D62,F59:F62,$L59:$L62,N59:N62)</f>
        <v>#VALUE!</v>
      </c>
      <c r="X59" s="47" t="e">
        <f>bdrate($D59:$D62,G59:G62,$L59:$L62,O59:O62)</f>
        <v>#VALUE!</v>
      </c>
      <c r="Y59" s="45" t="e">
        <f>bdrateOld($D59:$D62,E59:E62,$L59:$L62,M59:M62)</f>
        <v>#VALUE!</v>
      </c>
      <c r="Z59" s="49" t="e">
        <f>bdrateOld($D59:$D62,F59:F62,$L59:$L62,N59:N62)</f>
        <v>#VALUE!</v>
      </c>
      <c r="AA59" s="50" t="e">
        <f>bdrateOld($D59:$D62,G59:G62,$L59:$L62,O59:O62)</f>
        <v>#VALUE!</v>
      </c>
      <c r="AB59" s="20"/>
      <c r="AC59" s="12">
        <f>BMS!B265</f>
        <v>0</v>
      </c>
      <c r="AD59" s="13">
        <f>BMS!C265</f>
        <v>0</v>
      </c>
      <c r="AE59" s="13">
        <f>BMS!D265</f>
        <v>0</v>
      </c>
      <c r="AF59" s="13">
        <f>BMS!E265</f>
        <v>0</v>
      </c>
      <c r="AG59" s="13">
        <f>BMS!F265</f>
        <v>0</v>
      </c>
      <c r="AH59" s="13">
        <f>BMS!G265</f>
        <v>0</v>
      </c>
      <c r="AI59" s="14">
        <f t="shared" si="3"/>
        <v>0</v>
      </c>
      <c r="AJ59" s="18" t="e">
        <f t="shared" si="4"/>
        <v>#DIV/0!</v>
      </c>
      <c r="AK59" s="18" t="e">
        <f t="shared" si="5"/>
        <v>#DIV/0!</v>
      </c>
      <c r="AL59" s="20"/>
      <c r="AM59" s="42" t="e">
        <f>bdrate($AC59:$AC62,AD59:AD62,$L59:$L62, M59:M62)</f>
        <v>#VALUE!</v>
      </c>
      <c r="AN59" s="47" t="e">
        <f>bdrate($AC59:$AC62,AE59:AE62,$L59:$L62, N59:N62)</f>
        <v>#VALUE!</v>
      </c>
      <c r="AO59" s="48" t="e">
        <f>bdrate($AC59:$AC62,AF59:AF62,$L59:$L62, O59:O62)</f>
        <v>#VALUE!</v>
      </c>
      <c r="AP59" s="42" t="e">
        <f>bdrateOld($AC59:$AC62,AD59:AD62,$L59:$L62, M59:M62)</f>
        <v>#VALUE!</v>
      </c>
      <c r="AQ59" s="47" t="e">
        <f>bdrateOld($AC59:$AC62,AE59:AE62,$L59:$L62, N59:N62)</f>
        <v>#VALUE!</v>
      </c>
      <c r="AR59" s="48" t="e">
        <f>bdrateOld($AC59:$AC62,AF59:AF62,$L59:$L62, O59:O62)</f>
        <v>#VALUE!</v>
      </c>
    </row>
    <row r="60" spans="1:44" x14ac:dyDescent="0.2">
      <c r="A60" s="16"/>
      <c r="B60" s="16"/>
      <c r="C60" s="16">
        <v>27</v>
      </c>
      <c r="D60" s="17">
        <f>TM!B266</f>
        <v>0</v>
      </c>
      <c r="E60" s="18">
        <f>TM!C266</f>
        <v>0</v>
      </c>
      <c r="F60" s="18">
        <f>TM!D266</f>
        <v>0</v>
      </c>
      <c r="G60" s="18">
        <f>TM!E266</f>
        <v>0</v>
      </c>
      <c r="H60" s="18">
        <f>TM!F266</f>
        <v>0</v>
      </c>
      <c r="I60" s="18">
        <f>TM!G266</f>
        <v>0</v>
      </c>
      <c r="J60" s="19">
        <f t="shared" si="6"/>
        <v>0</v>
      </c>
      <c r="L60" s="17">
        <f>Test!B266</f>
        <v>0</v>
      </c>
      <c r="M60" s="18">
        <f>Test!C266</f>
        <v>0</v>
      </c>
      <c r="N60" s="18">
        <f>Test!D266</f>
        <v>0</v>
      </c>
      <c r="O60" s="18">
        <f>Test!E266</f>
        <v>0</v>
      </c>
      <c r="P60" s="18">
        <f>Test!F266</f>
        <v>0</v>
      </c>
      <c r="Q60" s="18">
        <f>Test!G266</f>
        <v>0</v>
      </c>
      <c r="R60" s="19">
        <f t="shared" si="1"/>
        <v>0</v>
      </c>
      <c r="S60" s="18" t="e">
        <f t="shared" si="7"/>
        <v>#DIV/0!</v>
      </c>
      <c r="T60" s="18" t="e">
        <f t="shared" si="7"/>
        <v>#DIV/0!</v>
      </c>
      <c r="U60" s="60"/>
      <c r="V60" s="43"/>
      <c r="W60" s="26"/>
      <c r="X60" s="26"/>
      <c r="Y60" s="43"/>
      <c r="Z60" s="26"/>
      <c r="AA60" s="55"/>
      <c r="AB60" s="20"/>
      <c r="AC60" s="17">
        <f>BMS!B266</f>
        <v>0</v>
      </c>
      <c r="AD60" s="18">
        <f>BMS!C266</f>
        <v>0</v>
      </c>
      <c r="AE60" s="18">
        <f>BMS!D266</f>
        <v>0</v>
      </c>
      <c r="AF60" s="18">
        <f>BMS!E266</f>
        <v>0</v>
      </c>
      <c r="AG60" s="18">
        <f>BMS!F266</f>
        <v>0</v>
      </c>
      <c r="AH60" s="18">
        <f>BMS!G266</f>
        <v>0</v>
      </c>
      <c r="AI60" s="19">
        <f t="shared" si="3"/>
        <v>0</v>
      </c>
      <c r="AJ60" s="18" t="e">
        <f t="shared" si="4"/>
        <v>#DIV/0!</v>
      </c>
      <c r="AK60" s="18" t="e">
        <f t="shared" si="5"/>
        <v>#DIV/0!</v>
      </c>
      <c r="AL60" s="20"/>
      <c r="AM60" s="43"/>
      <c r="AN60" s="26"/>
      <c r="AO60" s="55"/>
      <c r="AP60" s="43"/>
      <c r="AQ60" s="26"/>
      <c r="AR60" s="55"/>
    </row>
    <row r="61" spans="1:44" x14ac:dyDescent="0.2">
      <c r="A61" s="16"/>
      <c r="B61" s="16"/>
      <c r="C61" s="16">
        <v>32</v>
      </c>
      <c r="D61" s="17">
        <f>TM!B267</f>
        <v>0</v>
      </c>
      <c r="E61" s="18">
        <f>TM!C267</f>
        <v>0</v>
      </c>
      <c r="F61" s="18">
        <f>TM!D267</f>
        <v>0</v>
      </c>
      <c r="G61" s="18">
        <f>TM!E267</f>
        <v>0</v>
      </c>
      <c r="H61" s="18">
        <f>TM!F267</f>
        <v>0</v>
      </c>
      <c r="I61" s="18">
        <f>TM!G267</f>
        <v>0</v>
      </c>
      <c r="J61" s="19">
        <f t="shared" si="6"/>
        <v>0</v>
      </c>
      <c r="L61" s="17">
        <f>Test!B267</f>
        <v>0</v>
      </c>
      <c r="M61" s="18">
        <f>Test!C267</f>
        <v>0</v>
      </c>
      <c r="N61" s="18">
        <f>Test!D267</f>
        <v>0</v>
      </c>
      <c r="O61" s="18">
        <f>Test!E267</f>
        <v>0</v>
      </c>
      <c r="P61" s="18">
        <f>Test!F267</f>
        <v>0</v>
      </c>
      <c r="Q61" s="18">
        <f>Test!G267</f>
        <v>0</v>
      </c>
      <c r="R61" s="19">
        <f t="shared" si="1"/>
        <v>0</v>
      </c>
      <c r="S61" s="18" t="e">
        <f t="shared" si="7"/>
        <v>#DIV/0!</v>
      </c>
      <c r="T61" s="18" t="e">
        <f t="shared" si="7"/>
        <v>#DIV/0!</v>
      </c>
      <c r="U61" s="60"/>
      <c r="V61" s="43"/>
      <c r="W61" s="26"/>
      <c r="X61" s="26"/>
      <c r="Y61" s="43"/>
      <c r="Z61" s="26"/>
      <c r="AA61" s="55"/>
      <c r="AB61" s="20"/>
      <c r="AC61" s="17">
        <f>BMS!B267</f>
        <v>0</v>
      </c>
      <c r="AD61" s="18">
        <f>BMS!C267</f>
        <v>0</v>
      </c>
      <c r="AE61" s="18">
        <f>BMS!D267</f>
        <v>0</v>
      </c>
      <c r="AF61" s="18">
        <f>BMS!E267</f>
        <v>0</v>
      </c>
      <c r="AG61" s="18">
        <f>BMS!F267</f>
        <v>0</v>
      </c>
      <c r="AH61" s="18">
        <f>BMS!G267</f>
        <v>0</v>
      </c>
      <c r="AI61" s="19">
        <f t="shared" si="3"/>
        <v>0</v>
      </c>
      <c r="AJ61" s="18" t="e">
        <f t="shared" si="4"/>
        <v>#DIV/0!</v>
      </c>
      <c r="AK61" s="18" t="e">
        <f t="shared" si="5"/>
        <v>#DIV/0!</v>
      </c>
      <c r="AL61" s="20"/>
      <c r="AM61" s="43"/>
      <c r="AN61" s="26"/>
      <c r="AO61" s="55"/>
      <c r="AP61" s="43"/>
      <c r="AQ61" s="26"/>
      <c r="AR61" s="55"/>
    </row>
    <row r="62" spans="1:44" ht="12.75" thickBot="1" x14ac:dyDescent="0.25">
      <c r="A62" s="21"/>
      <c r="B62" s="21"/>
      <c r="C62" s="21">
        <v>37</v>
      </c>
      <c r="D62" s="22">
        <f>TM!B268</f>
        <v>0</v>
      </c>
      <c r="E62" s="23">
        <f>TM!C268</f>
        <v>0</v>
      </c>
      <c r="F62" s="23">
        <f>TM!D268</f>
        <v>0</v>
      </c>
      <c r="G62" s="23">
        <f>TM!E268</f>
        <v>0</v>
      </c>
      <c r="H62" s="23">
        <f>TM!F268</f>
        <v>0</v>
      </c>
      <c r="I62" s="23">
        <f>TM!G268</f>
        <v>0</v>
      </c>
      <c r="J62" s="24">
        <f t="shared" si="6"/>
        <v>0</v>
      </c>
      <c r="L62" s="22">
        <f>Test!B268</f>
        <v>0</v>
      </c>
      <c r="M62" s="23">
        <f>Test!C268</f>
        <v>0</v>
      </c>
      <c r="N62" s="23">
        <f>Test!D268</f>
        <v>0</v>
      </c>
      <c r="O62" s="23">
        <f>Test!E268</f>
        <v>0</v>
      </c>
      <c r="P62" s="23">
        <f>Test!F268</f>
        <v>0</v>
      </c>
      <c r="Q62" s="23">
        <f>Test!G268</f>
        <v>0</v>
      </c>
      <c r="R62" s="24">
        <f t="shared" si="1"/>
        <v>0</v>
      </c>
      <c r="S62" s="23" t="e">
        <f t="shared" si="7"/>
        <v>#DIV/0!</v>
      </c>
      <c r="T62" s="23" t="e">
        <f t="shared" si="7"/>
        <v>#DIV/0!</v>
      </c>
      <c r="U62" s="61"/>
      <c r="V62" s="44"/>
      <c r="W62" s="56"/>
      <c r="X62" s="56"/>
      <c r="Y62" s="44"/>
      <c r="Z62" s="56"/>
      <c r="AA62" s="57"/>
      <c r="AB62" s="25"/>
      <c r="AC62" s="22">
        <f>BMS!B268</f>
        <v>0</v>
      </c>
      <c r="AD62" s="23">
        <f>BMS!C268</f>
        <v>0</v>
      </c>
      <c r="AE62" s="23">
        <f>BMS!D268</f>
        <v>0</v>
      </c>
      <c r="AF62" s="23">
        <f>BMS!E268</f>
        <v>0</v>
      </c>
      <c r="AG62" s="23">
        <f>BMS!F268</f>
        <v>0</v>
      </c>
      <c r="AH62" s="23">
        <f>BMS!G268</f>
        <v>0</v>
      </c>
      <c r="AI62" s="24">
        <f t="shared" si="3"/>
        <v>0</v>
      </c>
      <c r="AJ62" s="23" t="e">
        <f t="shared" si="4"/>
        <v>#DIV/0!</v>
      </c>
      <c r="AK62" s="23" t="e">
        <f t="shared" si="5"/>
        <v>#DIV/0!</v>
      </c>
      <c r="AL62" s="25"/>
      <c r="AM62" s="44"/>
      <c r="AN62" s="56"/>
      <c r="AO62" s="57"/>
      <c r="AP62" s="44"/>
      <c r="AQ62" s="56"/>
      <c r="AR62" s="57"/>
    </row>
    <row r="63" spans="1:44" x14ac:dyDescent="0.2">
      <c r="A63" s="11" t="s">
        <v>6</v>
      </c>
      <c r="B63" s="11" t="s">
        <v>58</v>
      </c>
      <c r="C63" s="11">
        <f>C59</f>
        <v>22</v>
      </c>
      <c r="D63" s="12">
        <f>TM!B269</f>
        <v>0</v>
      </c>
      <c r="E63" s="13">
        <f>TM!C269</f>
        <v>0</v>
      </c>
      <c r="F63" s="13">
        <f>TM!D269</f>
        <v>0</v>
      </c>
      <c r="G63" s="13">
        <f>TM!E269</f>
        <v>0</v>
      </c>
      <c r="H63" s="13">
        <f>TM!F269</f>
        <v>0</v>
      </c>
      <c r="I63" s="13">
        <f>TM!G269</f>
        <v>0</v>
      </c>
      <c r="J63" s="14">
        <f t="shared" si="6"/>
        <v>0</v>
      </c>
      <c r="L63" s="12">
        <f>Test!B269</f>
        <v>0</v>
      </c>
      <c r="M63" s="13">
        <f>Test!C269</f>
        <v>0</v>
      </c>
      <c r="N63" s="13">
        <f>Test!D269</f>
        <v>0</v>
      </c>
      <c r="O63" s="13">
        <f>Test!E269</f>
        <v>0</v>
      </c>
      <c r="P63" s="13">
        <f>Test!F269</f>
        <v>0</v>
      </c>
      <c r="Q63" s="13">
        <f>Test!G269</f>
        <v>0</v>
      </c>
      <c r="R63" s="14">
        <f t="shared" si="1"/>
        <v>0</v>
      </c>
      <c r="S63" s="13" t="e">
        <f>P63/H63</f>
        <v>#DIV/0!</v>
      </c>
      <c r="T63" s="13" t="e">
        <f t="shared" si="7"/>
        <v>#DIV/0!</v>
      </c>
      <c r="U63" s="59"/>
      <c r="V63" s="42" t="e">
        <f>bdrate($D63:$D66,E63:E66,$L63:$L66,M63:M66)</f>
        <v>#VALUE!</v>
      </c>
      <c r="W63" s="47" t="e">
        <f>bdrate($D63:$D66,F63:F66,$L63:$L66,N63:N66)</f>
        <v>#VALUE!</v>
      </c>
      <c r="X63" s="48" t="e">
        <f>bdrate($D63:$D66,G63:G66,$L63:$L66,O63:O66)</f>
        <v>#VALUE!</v>
      </c>
      <c r="Y63" s="42" t="e">
        <f>bdrateOld($D63:$D66,E63:E66,$L63:$L66,M63:M66)</f>
        <v>#VALUE!</v>
      </c>
      <c r="Z63" s="47" t="e">
        <f>bdrateOld($D63:$D66,F63:F66,$L63:$L66,N63:N66)</f>
        <v>#VALUE!</v>
      </c>
      <c r="AA63" s="48" t="e">
        <f>bdrateOld($D63:$D66,G63:G66,$L63:$L66,O63:O66)</f>
        <v>#VALUE!</v>
      </c>
      <c r="AB63" s="54"/>
      <c r="AC63" s="12">
        <f>BMS!B269</f>
        <v>0</v>
      </c>
      <c r="AD63" s="13">
        <f>BMS!C269</f>
        <v>0</v>
      </c>
      <c r="AE63" s="13">
        <f>BMS!D269</f>
        <v>0</v>
      </c>
      <c r="AF63" s="13">
        <f>BMS!E269</f>
        <v>0</v>
      </c>
      <c r="AG63" s="13">
        <f>BMS!F269</f>
        <v>0</v>
      </c>
      <c r="AH63" s="13">
        <f>BMS!G269</f>
        <v>0</v>
      </c>
      <c r="AI63" s="14">
        <f t="shared" si="3"/>
        <v>0</v>
      </c>
      <c r="AJ63" s="13" t="e">
        <f t="shared" si="4"/>
        <v>#DIV/0!</v>
      </c>
      <c r="AK63" s="13" t="e">
        <f t="shared" si="5"/>
        <v>#DIV/0!</v>
      </c>
      <c r="AL63" s="54"/>
      <c r="AM63" s="42" t="e">
        <f>bdrate($AC63:$AC66,AD63:AD66,$L63:$L66, M63:M66)</f>
        <v>#VALUE!</v>
      </c>
      <c r="AN63" s="47" t="e">
        <f>bdrate($AC63:$AC66,AE63:AE66,$L63:$L66, N63:N66)</f>
        <v>#VALUE!</v>
      </c>
      <c r="AO63" s="48" t="e">
        <f>bdrate($AC63:$AC66,AF63:AF66,$L63:$L66, O63:O66)</f>
        <v>#VALUE!</v>
      </c>
      <c r="AP63" s="42" t="e">
        <f>bdrateOld($AC63:$AC66,AD63:AD66,$L63:$L66, M63:M66)</f>
        <v>#VALUE!</v>
      </c>
      <c r="AQ63" s="47" t="e">
        <f>bdrateOld($AC63:$AC66,AE63:AE66,$L63:$L66, N63:N66)</f>
        <v>#VALUE!</v>
      </c>
      <c r="AR63" s="48" t="e">
        <f>bdrateOld($AC63:$AC66,AF63:AF66,$L63:$L66, O63:O66)</f>
        <v>#VALUE!</v>
      </c>
    </row>
    <row r="64" spans="1:44" x14ac:dyDescent="0.2">
      <c r="A64" s="16" t="s">
        <v>51</v>
      </c>
      <c r="B64" s="16"/>
      <c r="C64" s="16">
        <f>C60</f>
        <v>27</v>
      </c>
      <c r="D64" s="17">
        <f>TM!B270</f>
        <v>0</v>
      </c>
      <c r="E64" s="18">
        <f>TM!C270</f>
        <v>0</v>
      </c>
      <c r="F64" s="18">
        <f>TM!D270</f>
        <v>0</v>
      </c>
      <c r="G64" s="18">
        <f>TM!E270</f>
        <v>0</v>
      </c>
      <c r="H64" s="18">
        <f>TM!F270</f>
        <v>0</v>
      </c>
      <c r="I64" s="18">
        <f>TM!G270</f>
        <v>0</v>
      </c>
      <c r="J64" s="19">
        <f t="shared" si="6"/>
        <v>0</v>
      </c>
      <c r="L64" s="17">
        <f>Test!B270</f>
        <v>0</v>
      </c>
      <c r="M64" s="18">
        <f>Test!C270</f>
        <v>0</v>
      </c>
      <c r="N64" s="18">
        <f>Test!D270</f>
        <v>0</v>
      </c>
      <c r="O64" s="18">
        <f>Test!E270</f>
        <v>0</v>
      </c>
      <c r="P64" s="18">
        <f>Test!F270</f>
        <v>0</v>
      </c>
      <c r="Q64" s="18">
        <f>Test!G270</f>
        <v>0</v>
      </c>
      <c r="R64" s="19">
        <f t="shared" si="1"/>
        <v>0</v>
      </c>
      <c r="S64" s="18" t="e">
        <f>P64/H64</f>
        <v>#DIV/0!</v>
      </c>
      <c r="T64" s="18" t="e">
        <f t="shared" si="7"/>
        <v>#DIV/0!</v>
      </c>
      <c r="U64" s="60"/>
      <c r="V64" s="43"/>
      <c r="W64" s="26"/>
      <c r="X64" s="55"/>
      <c r="Y64" s="43"/>
      <c r="Z64" s="26"/>
      <c r="AA64" s="55"/>
      <c r="AB64" s="20"/>
      <c r="AC64" s="17">
        <f>BMS!B270</f>
        <v>0</v>
      </c>
      <c r="AD64" s="18">
        <f>BMS!C270</f>
        <v>0</v>
      </c>
      <c r="AE64" s="18">
        <f>BMS!D270</f>
        <v>0</v>
      </c>
      <c r="AF64" s="18">
        <f>BMS!E270</f>
        <v>0</v>
      </c>
      <c r="AG64" s="18">
        <f>BMS!F270</f>
        <v>0</v>
      </c>
      <c r="AH64" s="18">
        <f>BMS!G270</f>
        <v>0</v>
      </c>
      <c r="AI64" s="19">
        <f t="shared" si="3"/>
        <v>0</v>
      </c>
      <c r="AJ64" s="18" t="e">
        <f t="shared" si="4"/>
        <v>#DIV/0!</v>
      </c>
      <c r="AK64" s="18" t="e">
        <f t="shared" si="5"/>
        <v>#DIV/0!</v>
      </c>
      <c r="AL64" s="20"/>
      <c r="AM64" s="43"/>
      <c r="AN64" s="26"/>
      <c r="AO64" s="55"/>
      <c r="AP64" s="43"/>
      <c r="AQ64" s="26"/>
      <c r="AR64" s="55"/>
    </row>
    <row r="65" spans="1:44" x14ac:dyDescent="0.2">
      <c r="A65" s="16"/>
      <c r="B65" s="16"/>
      <c r="C65" s="16">
        <f>C61</f>
        <v>32</v>
      </c>
      <c r="D65" s="17">
        <f>TM!B271</f>
        <v>0</v>
      </c>
      <c r="E65" s="18">
        <f>TM!C271</f>
        <v>0</v>
      </c>
      <c r="F65" s="18">
        <f>TM!D271</f>
        <v>0</v>
      </c>
      <c r="G65" s="18">
        <f>TM!E271</f>
        <v>0</v>
      </c>
      <c r="H65" s="18">
        <f>TM!F271</f>
        <v>0</v>
      </c>
      <c r="I65" s="18">
        <f>TM!G271</f>
        <v>0</v>
      </c>
      <c r="J65" s="19">
        <f t="shared" si="6"/>
        <v>0</v>
      </c>
      <c r="L65" s="17">
        <f>Test!B271</f>
        <v>0</v>
      </c>
      <c r="M65" s="18">
        <f>Test!C271</f>
        <v>0</v>
      </c>
      <c r="N65" s="18">
        <f>Test!D271</f>
        <v>0</v>
      </c>
      <c r="O65" s="18">
        <f>Test!E271</f>
        <v>0</v>
      </c>
      <c r="P65" s="18">
        <f>Test!F271</f>
        <v>0</v>
      </c>
      <c r="Q65" s="18">
        <f>Test!G271</f>
        <v>0</v>
      </c>
      <c r="R65" s="19">
        <f t="shared" si="1"/>
        <v>0</v>
      </c>
      <c r="S65" s="18" t="e">
        <f>P65/H65</f>
        <v>#DIV/0!</v>
      </c>
      <c r="T65" s="18" t="e">
        <f t="shared" si="7"/>
        <v>#DIV/0!</v>
      </c>
      <c r="U65" s="60"/>
      <c r="V65" s="43"/>
      <c r="W65" s="26"/>
      <c r="X65" s="55"/>
      <c r="Y65" s="43"/>
      <c r="Z65" s="26"/>
      <c r="AA65" s="55"/>
      <c r="AB65" s="20"/>
      <c r="AC65" s="17">
        <f>BMS!B271</f>
        <v>0</v>
      </c>
      <c r="AD65" s="18">
        <f>BMS!C271</f>
        <v>0</v>
      </c>
      <c r="AE65" s="18">
        <f>BMS!D271</f>
        <v>0</v>
      </c>
      <c r="AF65" s="18">
        <f>BMS!E271</f>
        <v>0</v>
      </c>
      <c r="AG65" s="18">
        <f>BMS!F271</f>
        <v>0</v>
      </c>
      <c r="AH65" s="18">
        <f>BMS!G271</f>
        <v>0</v>
      </c>
      <c r="AI65" s="19">
        <f t="shared" si="3"/>
        <v>0</v>
      </c>
      <c r="AJ65" s="18" t="e">
        <f t="shared" si="4"/>
        <v>#DIV/0!</v>
      </c>
      <c r="AK65" s="18" t="e">
        <f t="shared" si="5"/>
        <v>#DIV/0!</v>
      </c>
      <c r="AL65" s="20"/>
      <c r="AM65" s="43"/>
      <c r="AN65" s="26"/>
      <c r="AO65" s="55"/>
      <c r="AP65" s="43"/>
      <c r="AQ65" s="26"/>
      <c r="AR65" s="55"/>
    </row>
    <row r="66" spans="1:44" ht="12.75" thickBot="1" x14ac:dyDescent="0.25">
      <c r="A66" s="16"/>
      <c r="B66" s="21"/>
      <c r="C66" s="21">
        <f>C62</f>
        <v>37</v>
      </c>
      <c r="D66" s="22">
        <f>TM!B272</f>
        <v>0</v>
      </c>
      <c r="E66" s="23">
        <f>TM!C272</f>
        <v>0</v>
      </c>
      <c r="F66" s="23">
        <f>TM!D272</f>
        <v>0</v>
      </c>
      <c r="G66" s="23">
        <f>TM!E272</f>
        <v>0</v>
      </c>
      <c r="H66" s="23">
        <f>TM!F272</f>
        <v>0</v>
      </c>
      <c r="I66" s="23">
        <f>TM!G272</f>
        <v>0</v>
      </c>
      <c r="J66" s="24">
        <f t="shared" si="6"/>
        <v>0</v>
      </c>
      <c r="L66" s="22">
        <f>Test!B272</f>
        <v>0</v>
      </c>
      <c r="M66" s="23">
        <f>Test!C272</f>
        <v>0</v>
      </c>
      <c r="N66" s="23">
        <f>Test!D272</f>
        <v>0</v>
      </c>
      <c r="O66" s="23">
        <f>Test!E272</f>
        <v>0</v>
      </c>
      <c r="P66" s="23">
        <f>Test!F272</f>
        <v>0</v>
      </c>
      <c r="Q66" s="23">
        <f>Test!G272</f>
        <v>0</v>
      </c>
      <c r="R66" s="24">
        <f t="shared" si="1"/>
        <v>0</v>
      </c>
      <c r="S66" s="18" t="e">
        <f>P66/H66</f>
        <v>#DIV/0!</v>
      </c>
      <c r="T66" s="18" t="e">
        <f t="shared" si="7"/>
        <v>#DIV/0!</v>
      </c>
      <c r="U66" s="60"/>
      <c r="V66" s="44"/>
      <c r="W66" s="56"/>
      <c r="X66" s="57"/>
      <c r="Y66" s="44"/>
      <c r="Z66" s="56"/>
      <c r="AA66" s="57"/>
      <c r="AB66" s="20"/>
      <c r="AC66" s="22">
        <f>BMS!B272</f>
        <v>0</v>
      </c>
      <c r="AD66" s="23">
        <f>BMS!C272</f>
        <v>0</v>
      </c>
      <c r="AE66" s="23">
        <f>BMS!D272</f>
        <v>0</v>
      </c>
      <c r="AF66" s="23">
        <f>BMS!E272</f>
        <v>0</v>
      </c>
      <c r="AG66" s="23">
        <f>BMS!F272</f>
        <v>0</v>
      </c>
      <c r="AH66" s="23">
        <f>BMS!G272</f>
        <v>0</v>
      </c>
      <c r="AI66" s="24">
        <f t="shared" si="3"/>
        <v>0</v>
      </c>
      <c r="AJ66" s="18" t="e">
        <f t="shared" si="4"/>
        <v>#DIV/0!</v>
      </c>
      <c r="AK66" s="18" t="e">
        <f t="shared" si="5"/>
        <v>#DIV/0!</v>
      </c>
      <c r="AL66" s="20"/>
      <c r="AM66" s="44"/>
      <c r="AN66" s="56"/>
      <c r="AO66" s="57"/>
      <c r="AP66" s="44"/>
      <c r="AQ66" s="56"/>
      <c r="AR66" s="57"/>
    </row>
    <row r="67" spans="1:44" x14ac:dyDescent="0.2">
      <c r="A67" s="16"/>
      <c r="B67" s="11" t="s">
        <v>59</v>
      </c>
      <c r="C67" s="11">
        <v>22</v>
      </c>
      <c r="D67" s="12">
        <f>TM!B273</f>
        <v>0</v>
      </c>
      <c r="E67" s="13">
        <f>TM!C273</f>
        <v>0</v>
      </c>
      <c r="F67" s="13">
        <f>TM!D273</f>
        <v>0</v>
      </c>
      <c r="G67" s="13">
        <f>TM!E273</f>
        <v>0</v>
      </c>
      <c r="H67" s="13">
        <f>TM!F273</f>
        <v>0</v>
      </c>
      <c r="I67" s="13">
        <f>TM!G273</f>
        <v>0</v>
      </c>
      <c r="J67" s="14">
        <f t="shared" si="6"/>
        <v>0</v>
      </c>
      <c r="L67" s="12">
        <f>Test!B273</f>
        <v>0</v>
      </c>
      <c r="M67" s="13">
        <f>Test!C273</f>
        <v>0</v>
      </c>
      <c r="N67" s="13">
        <f>Test!D273</f>
        <v>0</v>
      </c>
      <c r="O67" s="13">
        <f>Test!E273</f>
        <v>0</v>
      </c>
      <c r="P67" s="13">
        <f>Test!F273</f>
        <v>0</v>
      </c>
      <c r="Q67" s="13">
        <f>Test!G273</f>
        <v>0</v>
      </c>
      <c r="R67" s="14">
        <f t="shared" si="1"/>
        <v>0</v>
      </c>
      <c r="S67" s="18" t="e">
        <f t="shared" si="7"/>
        <v>#DIV/0!</v>
      </c>
      <c r="T67" s="18" t="e">
        <f t="shared" si="7"/>
        <v>#DIV/0!</v>
      </c>
      <c r="U67" s="60"/>
      <c r="V67" s="42" t="e">
        <f>bdrate($D67:$D70,E67:E70,$L67:$L70,M67:M70)</f>
        <v>#VALUE!</v>
      </c>
      <c r="W67" s="47" t="e">
        <f>bdrate($D67:$D70,F67:F70,$L67:$L70,N67:N70)</f>
        <v>#VALUE!</v>
      </c>
      <c r="X67" s="47" t="e">
        <f>bdrate($D67:$D70,G67:G70,$L67:$L70,O67:O70)</f>
        <v>#VALUE!</v>
      </c>
      <c r="Y67" s="45" t="e">
        <f>bdrateOld($D67:$D70,E67:E70,$L67:$L70,M67:M70)</f>
        <v>#VALUE!</v>
      </c>
      <c r="Z67" s="49" t="e">
        <f>bdrateOld($D67:$D70,F67:F70,$L67:$L70,N67:N70)</f>
        <v>#VALUE!</v>
      </c>
      <c r="AA67" s="50" t="e">
        <f>bdrateOld($D67:$D70,G67:G70,$L67:$L70,O67:O70)</f>
        <v>#VALUE!</v>
      </c>
      <c r="AB67" s="20"/>
      <c r="AC67" s="12">
        <f>BMS!B273</f>
        <v>0</v>
      </c>
      <c r="AD67" s="13">
        <f>BMS!C273</f>
        <v>0</v>
      </c>
      <c r="AE67" s="13">
        <f>BMS!D273</f>
        <v>0</v>
      </c>
      <c r="AF67" s="13">
        <f>BMS!E273</f>
        <v>0</v>
      </c>
      <c r="AG67" s="13">
        <f>BMS!F273</f>
        <v>0</v>
      </c>
      <c r="AH67" s="13">
        <f>BMS!G273</f>
        <v>0</v>
      </c>
      <c r="AI67" s="14">
        <f t="shared" si="3"/>
        <v>0</v>
      </c>
      <c r="AJ67" s="18" t="e">
        <f t="shared" si="4"/>
        <v>#DIV/0!</v>
      </c>
      <c r="AK67" s="18" t="e">
        <f t="shared" si="5"/>
        <v>#DIV/0!</v>
      </c>
      <c r="AL67" s="20"/>
      <c r="AM67" s="42" t="e">
        <f>bdrate($AC67:$AC70,AD67:AD70,$L67:$L70, M67:M70)</f>
        <v>#VALUE!</v>
      </c>
      <c r="AN67" s="47" t="e">
        <f>bdrate($AC67:$AC70,AE67:AE70,$L67:$L70, N67:N70)</f>
        <v>#VALUE!</v>
      </c>
      <c r="AO67" s="48" t="e">
        <f>bdrate($AC67:$AC70,AF67:AF70,$L67:$L70, O67:O70)</f>
        <v>#VALUE!</v>
      </c>
      <c r="AP67" s="42" t="e">
        <f>bdrateOld($AC67:$AC70,AD67:AD70,$L67:$L70, M67:M70)</f>
        <v>#VALUE!</v>
      </c>
      <c r="AQ67" s="47" t="e">
        <f>bdrateOld($AC67:$AC70,AE67:AE70,$L67:$L70, N67:N70)</f>
        <v>#VALUE!</v>
      </c>
      <c r="AR67" s="48" t="e">
        <f>bdrateOld($AC67:$AC70,AF67:AF70,$L67:$L70, O67:O70)</f>
        <v>#VALUE!</v>
      </c>
    </row>
    <row r="68" spans="1:44" x14ac:dyDescent="0.2">
      <c r="A68" s="16"/>
      <c r="B68" s="16"/>
      <c r="C68" s="16">
        <v>27</v>
      </c>
      <c r="D68" s="17">
        <f>TM!B274</f>
        <v>0</v>
      </c>
      <c r="E68" s="18">
        <f>TM!C274</f>
        <v>0</v>
      </c>
      <c r="F68" s="18">
        <f>TM!D274</f>
        <v>0</v>
      </c>
      <c r="G68" s="18">
        <f>TM!E274</f>
        <v>0</v>
      </c>
      <c r="H68" s="18">
        <f>TM!F274</f>
        <v>0</v>
      </c>
      <c r="I68" s="18">
        <f>TM!G274</f>
        <v>0</v>
      </c>
      <c r="J68" s="19">
        <f t="shared" si="6"/>
        <v>0</v>
      </c>
      <c r="L68" s="17">
        <f>Test!B274</f>
        <v>0</v>
      </c>
      <c r="M68" s="18">
        <f>Test!C274</f>
        <v>0</v>
      </c>
      <c r="N68" s="18">
        <f>Test!D274</f>
        <v>0</v>
      </c>
      <c r="O68" s="18">
        <f>Test!E274</f>
        <v>0</v>
      </c>
      <c r="P68" s="18">
        <f>Test!F274</f>
        <v>0</v>
      </c>
      <c r="Q68" s="18">
        <f>Test!G274</f>
        <v>0</v>
      </c>
      <c r="R68" s="19">
        <f t="shared" si="1"/>
        <v>0</v>
      </c>
      <c r="S68" s="18" t="e">
        <f t="shared" si="7"/>
        <v>#DIV/0!</v>
      </c>
      <c r="T68" s="18" t="e">
        <f t="shared" si="7"/>
        <v>#DIV/0!</v>
      </c>
      <c r="U68" s="60"/>
      <c r="V68" s="43"/>
      <c r="W68" s="26"/>
      <c r="X68" s="26"/>
      <c r="Y68" s="43"/>
      <c r="Z68" s="26"/>
      <c r="AA68" s="55"/>
      <c r="AB68" s="20"/>
      <c r="AC68" s="17">
        <f>BMS!B274</f>
        <v>0</v>
      </c>
      <c r="AD68" s="18">
        <f>BMS!C274</f>
        <v>0</v>
      </c>
      <c r="AE68" s="18">
        <f>BMS!D274</f>
        <v>0</v>
      </c>
      <c r="AF68" s="18">
        <f>BMS!E274</f>
        <v>0</v>
      </c>
      <c r="AG68" s="18">
        <f>BMS!F274</f>
        <v>0</v>
      </c>
      <c r="AH68" s="18">
        <f>BMS!G274</f>
        <v>0</v>
      </c>
      <c r="AI68" s="19">
        <f t="shared" si="3"/>
        <v>0</v>
      </c>
      <c r="AJ68" s="18" t="e">
        <f t="shared" si="4"/>
        <v>#DIV/0!</v>
      </c>
      <c r="AK68" s="18" t="e">
        <f t="shared" si="5"/>
        <v>#DIV/0!</v>
      </c>
      <c r="AL68" s="20"/>
      <c r="AM68" s="43"/>
      <c r="AN68" s="26"/>
      <c r="AO68" s="55"/>
      <c r="AP68" s="43"/>
      <c r="AQ68" s="26"/>
      <c r="AR68" s="55"/>
    </row>
    <row r="69" spans="1:44" x14ac:dyDescent="0.2">
      <c r="A69" s="16"/>
      <c r="B69" s="16"/>
      <c r="C69" s="16">
        <v>32</v>
      </c>
      <c r="D69" s="17">
        <f>TM!B275</f>
        <v>0</v>
      </c>
      <c r="E69" s="18">
        <f>TM!C275</f>
        <v>0</v>
      </c>
      <c r="F69" s="18">
        <f>TM!D275</f>
        <v>0</v>
      </c>
      <c r="G69" s="18">
        <f>TM!E275</f>
        <v>0</v>
      </c>
      <c r="H69" s="18">
        <f>TM!F275</f>
        <v>0</v>
      </c>
      <c r="I69" s="18">
        <f>TM!G275</f>
        <v>0</v>
      </c>
      <c r="J69" s="19">
        <f t="shared" si="6"/>
        <v>0</v>
      </c>
      <c r="L69" s="17">
        <f>Test!B275</f>
        <v>0</v>
      </c>
      <c r="M69" s="18">
        <f>Test!C275</f>
        <v>0</v>
      </c>
      <c r="N69" s="18">
        <f>Test!D275</f>
        <v>0</v>
      </c>
      <c r="O69" s="18">
        <f>Test!E275</f>
        <v>0</v>
      </c>
      <c r="P69" s="18">
        <f>Test!F275</f>
        <v>0</v>
      </c>
      <c r="Q69" s="18">
        <f>Test!G275</f>
        <v>0</v>
      </c>
      <c r="R69" s="19">
        <f t="shared" si="1"/>
        <v>0</v>
      </c>
      <c r="S69" s="18" t="e">
        <f t="shared" si="7"/>
        <v>#DIV/0!</v>
      </c>
      <c r="T69" s="18" t="e">
        <f t="shared" si="7"/>
        <v>#DIV/0!</v>
      </c>
      <c r="U69" s="60"/>
      <c r="V69" s="43"/>
      <c r="W69" s="26"/>
      <c r="X69" s="26"/>
      <c r="Y69" s="43"/>
      <c r="Z69" s="26"/>
      <c r="AA69" s="55"/>
      <c r="AB69" s="20"/>
      <c r="AC69" s="17">
        <f>BMS!B275</f>
        <v>0</v>
      </c>
      <c r="AD69" s="18">
        <f>BMS!C275</f>
        <v>0</v>
      </c>
      <c r="AE69" s="18">
        <f>BMS!D275</f>
        <v>0</v>
      </c>
      <c r="AF69" s="18">
        <f>BMS!E275</f>
        <v>0</v>
      </c>
      <c r="AG69" s="18">
        <f>BMS!F275</f>
        <v>0</v>
      </c>
      <c r="AH69" s="18">
        <f>BMS!G275</f>
        <v>0</v>
      </c>
      <c r="AI69" s="19">
        <f t="shared" si="3"/>
        <v>0</v>
      </c>
      <c r="AJ69" s="18" t="e">
        <f t="shared" si="4"/>
        <v>#DIV/0!</v>
      </c>
      <c r="AK69" s="18" t="e">
        <f t="shared" si="5"/>
        <v>#DIV/0!</v>
      </c>
      <c r="AL69" s="20"/>
      <c r="AM69" s="43"/>
      <c r="AN69" s="26"/>
      <c r="AO69" s="55"/>
      <c r="AP69" s="43"/>
      <c r="AQ69" s="26"/>
      <c r="AR69" s="55"/>
    </row>
    <row r="70" spans="1:44" ht="12.75" thickBot="1" x14ac:dyDescent="0.25">
      <c r="A70" s="16"/>
      <c r="B70" s="21"/>
      <c r="C70" s="21">
        <v>37</v>
      </c>
      <c r="D70" s="22">
        <f>TM!B276</f>
        <v>0</v>
      </c>
      <c r="E70" s="23">
        <f>TM!C276</f>
        <v>0</v>
      </c>
      <c r="F70" s="23">
        <f>TM!D276</f>
        <v>0</v>
      </c>
      <c r="G70" s="23">
        <f>TM!E276</f>
        <v>0</v>
      </c>
      <c r="H70" s="23">
        <f>TM!F276</f>
        <v>0</v>
      </c>
      <c r="I70" s="23">
        <f>TM!G276</f>
        <v>0</v>
      </c>
      <c r="J70" s="24">
        <f t="shared" si="6"/>
        <v>0</v>
      </c>
      <c r="L70" s="22">
        <f>Test!B276</f>
        <v>0</v>
      </c>
      <c r="M70" s="23">
        <f>Test!C276</f>
        <v>0</v>
      </c>
      <c r="N70" s="23">
        <f>Test!D276</f>
        <v>0</v>
      </c>
      <c r="O70" s="23">
        <f>Test!E276</f>
        <v>0</v>
      </c>
      <c r="P70" s="23">
        <f>Test!F276</f>
        <v>0</v>
      </c>
      <c r="Q70" s="23">
        <f>Test!G276</f>
        <v>0</v>
      </c>
      <c r="R70" s="24">
        <f t="shared" si="1"/>
        <v>0</v>
      </c>
      <c r="S70" s="18" t="e">
        <f t="shared" si="7"/>
        <v>#DIV/0!</v>
      </c>
      <c r="T70" s="18" t="e">
        <f t="shared" si="7"/>
        <v>#DIV/0!</v>
      </c>
      <c r="U70" s="60"/>
      <c r="V70" s="44"/>
      <c r="W70" s="56"/>
      <c r="X70" s="56"/>
      <c r="Y70" s="44"/>
      <c r="Z70" s="56"/>
      <c r="AA70" s="57"/>
      <c r="AB70" s="20"/>
      <c r="AC70" s="22">
        <f>BMS!B276</f>
        <v>0</v>
      </c>
      <c r="AD70" s="23">
        <f>BMS!C276</f>
        <v>0</v>
      </c>
      <c r="AE70" s="23">
        <f>BMS!D276</f>
        <v>0</v>
      </c>
      <c r="AF70" s="23">
        <f>BMS!E276</f>
        <v>0</v>
      </c>
      <c r="AG70" s="23">
        <f>BMS!F276</f>
        <v>0</v>
      </c>
      <c r="AH70" s="23">
        <f>BMS!G276</f>
        <v>0</v>
      </c>
      <c r="AI70" s="24">
        <f t="shared" si="3"/>
        <v>0</v>
      </c>
      <c r="AJ70" s="18" t="e">
        <f t="shared" si="4"/>
        <v>#DIV/0!</v>
      </c>
      <c r="AK70" s="18" t="e">
        <f t="shared" si="5"/>
        <v>#DIV/0!</v>
      </c>
      <c r="AL70" s="20"/>
      <c r="AM70" s="44"/>
      <c r="AN70" s="56"/>
      <c r="AO70" s="57"/>
      <c r="AP70" s="44"/>
      <c r="AQ70" s="56"/>
      <c r="AR70" s="57"/>
    </row>
    <row r="71" spans="1:44" x14ac:dyDescent="0.2">
      <c r="A71" s="16"/>
      <c r="B71" s="11" t="s">
        <v>60</v>
      </c>
      <c r="C71" s="11">
        <v>22</v>
      </c>
      <c r="D71" s="12">
        <f>TM!B277</f>
        <v>0</v>
      </c>
      <c r="E71" s="13">
        <f>TM!C277</f>
        <v>0</v>
      </c>
      <c r="F71" s="13">
        <f>TM!D277</f>
        <v>0</v>
      </c>
      <c r="G71" s="13">
        <f>TM!E277</f>
        <v>0</v>
      </c>
      <c r="H71" s="13">
        <f>TM!F277</f>
        <v>0</v>
      </c>
      <c r="I71" s="13">
        <f>TM!G277</f>
        <v>0</v>
      </c>
      <c r="J71" s="14">
        <f t="shared" si="6"/>
        <v>0</v>
      </c>
      <c r="L71" s="12">
        <f>Test!B277</f>
        <v>0</v>
      </c>
      <c r="M71" s="13">
        <f>Test!C277</f>
        <v>0</v>
      </c>
      <c r="N71" s="13">
        <f>Test!D277</f>
        <v>0</v>
      </c>
      <c r="O71" s="13">
        <f>Test!E277</f>
        <v>0</v>
      </c>
      <c r="P71" s="13">
        <f>Test!F277</f>
        <v>0</v>
      </c>
      <c r="Q71" s="13">
        <f>Test!G277</f>
        <v>0</v>
      </c>
      <c r="R71" s="14">
        <f t="shared" si="1"/>
        <v>0</v>
      </c>
      <c r="S71" s="18" t="e">
        <f t="shared" ref="S71:T86" si="8">P71/H71</f>
        <v>#DIV/0!</v>
      </c>
      <c r="T71" s="18" t="e">
        <f t="shared" si="8"/>
        <v>#DIV/0!</v>
      </c>
      <c r="U71" s="60"/>
      <c r="V71" s="42" t="e">
        <f>bdrate($D71:$D74,E71:E74,$L71:$L74,M71:M74)</f>
        <v>#VALUE!</v>
      </c>
      <c r="W71" s="47" t="e">
        <f>bdrate($D71:$D74,F71:F74,$L71:$L74,N71:N74)</f>
        <v>#VALUE!</v>
      </c>
      <c r="X71" s="47" t="e">
        <f>bdrate($D71:$D74,G71:G74,$L71:$L74,O71:O74)</f>
        <v>#VALUE!</v>
      </c>
      <c r="Y71" s="45" t="e">
        <f>bdrateOld($D71:$D74,E71:E74,$L71:$L74,M71:M74)</f>
        <v>#VALUE!</v>
      </c>
      <c r="Z71" s="49" t="e">
        <f>bdrateOld($D71:$D74,F71:F74,$L71:$L74,N71:N74)</f>
        <v>#VALUE!</v>
      </c>
      <c r="AA71" s="50" t="e">
        <f>bdrateOld($D71:$D74,G71:G74,$L71:$L74,O71:O74)</f>
        <v>#VALUE!</v>
      </c>
      <c r="AB71" s="20"/>
      <c r="AC71" s="12">
        <f>BMS!B277</f>
        <v>0</v>
      </c>
      <c r="AD71" s="13">
        <f>BMS!C277</f>
        <v>0</v>
      </c>
      <c r="AE71" s="13">
        <f>BMS!D277</f>
        <v>0</v>
      </c>
      <c r="AF71" s="13">
        <f>BMS!E277</f>
        <v>0</v>
      </c>
      <c r="AG71" s="13">
        <f>BMS!F277</f>
        <v>0</v>
      </c>
      <c r="AH71" s="13">
        <f>BMS!G277</f>
        <v>0</v>
      </c>
      <c r="AI71" s="14">
        <f t="shared" si="3"/>
        <v>0</v>
      </c>
      <c r="AJ71" s="18" t="e">
        <f t="shared" si="4"/>
        <v>#DIV/0!</v>
      </c>
      <c r="AK71" s="18" t="e">
        <f t="shared" si="5"/>
        <v>#DIV/0!</v>
      </c>
      <c r="AL71" s="20"/>
      <c r="AM71" s="42" t="e">
        <f>bdrate($AC71:$AC74,AD71:AD74,$L71:$L74, M71:M74)</f>
        <v>#VALUE!</v>
      </c>
      <c r="AN71" s="47" t="e">
        <f>bdrate($AC71:$AC74,AE71:AE74,$L71:$L74, N71:N74)</f>
        <v>#VALUE!</v>
      </c>
      <c r="AO71" s="48" t="e">
        <f>bdrate($AC71:$AC74,AF71:AF74,$L71:$L74, O71:O74)</f>
        <v>#VALUE!</v>
      </c>
      <c r="AP71" s="42" t="e">
        <f>bdrateOld($AC71:$AC74,AD71:AD74,$L71:$L74, M71:M74)</f>
        <v>#VALUE!</v>
      </c>
      <c r="AQ71" s="47" t="e">
        <f>bdrateOld($AC71:$AC74,AE71:AE74,$L71:$L74, N71:N74)</f>
        <v>#VALUE!</v>
      </c>
      <c r="AR71" s="48" t="e">
        <f>bdrateOld($AC71:$AC74,AF71:AF74,$L71:$L74, O71:O74)</f>
        <v>#VALUE!</v>
      </c>
    </row>
    <row r="72" spans="1:44" x14ac:dyDescent="0.2">
      <c r="A72" s="16"/>
      <c r="B72" s="16"/>
      <c r="C72" s="16">
        <v>27</v>
      </c>
      <c r="D72" s="17">
        <f>TM!B278</f>
        <v>0</v>
      </c>
      <c r="E72" s="18">
        <f>TM!C278</f>
        <v>0</v>
      </c>
      <c r="F72" s="18">
        <f>TM!D278</f>
        <v>0</v>
      </c>
      <c r="G72" s="18">
        <f>TM!E278</f>
        <v>0</v>
      </c>
      <c r="H72" s="18">
        <f>TM!F278</f>
        <v>0</v>
      </c>
      <c r="I72" s="18">
        <f>TM!G278</f>
        <v>0</v>
      </c>
      <c r="J72" s="19">
        <f t="shared" si="6"/>
        <v>0</v>
      </c>
      <c r="L72" s="17">
        <f>Test!B278</f>
        <v>0</v>
      </c>
      <c r="M72" s="18">
        <f>Test!C278</f>
        <v>0</v>
      </c>
      <c r="N72" s="18">
        <f>Test!D278</f>
        <v>0</v>
      </c>
      <c r="O72" s="18">
        <f>Test!E278</f>
        <v>0</v>
      </c>
      <c r="P72" s="18">
        <f>Test!F278</f>
        <v>0</v>
      </c>
      <c r="Q72" s="18">
        <f>Test!G278</f>
        <v>0</v>
      </c>
      <c r="R72" s="19">
        <f t="shared" si="1"/>
        <v>0</v>
      </c>
      <c r="S72" s="18" t="e">
        <f t="shared" si="8"/>
        <v>#DIV/0!</v>
      </c>
      <c r="T72" s="18" t="e">
        <f t="shared" si="8"/>
        <v>#DIV/0!</v>
      </c>
      <c r="U72" s="60"/>
      <c r="V72" s="43"/>
      <c r="W72" s="26"/>
      <c r="X72" s="26"/>
      <c r="Y72" s="43"/>
      <c r="Z72" s="26"/>
      <c r="AA72" s="55"/>
      <c r="AB72" s="20"/>
      <c r="AC72" s="17">
        <f>BMS!B278</f>
        <v>0</v>
      </c>
      <c r="AD72" s="18">
        <f>BMS!C278</f>
        <v>0</v>
      </c>
      <c r="AE72" s="18">
        <f>BMS!D278</f>
        <v>0</v>
      </c>
      <c r="AF72" s="18">
        <f>BMS!E278</f>
        <v>0</v>
      </c>
      <c r="AG72" s="18">
        <f>BMS!F278</f>
        <v>0</v>
      </c>
      <c r="AH72" s="18">
        <f>BMS!G278</f>
        <v>0</v>
      </c>
      <c r="AI72" s="19">
        <f t="shared" si="3"/>
        <v>0</v>
      </c>
      <c r="AJ72" s="18" t="e">
        <f t="shared" si="4"/>
        <v>#DIV/0!</v>
      </c>
      <c r="AK72" s="18" t="e">
        <f t="shared" si="5"/>
        <v>#DIV/0!</v>
      </c>
      <c r="AL72" s="20"/>
      <c r="AM72" s="43"/>
      <c r="AN72" s="26"/>
      <c r="AO72" s="55"/>
      <c r="AP72" s="43"/>
      <c r="AQ72" s="26"/>
      <c r="AR72" s="55"/>
    </row>
    <row r="73" spans="1:44" x14ac:dyDescent="0.2">
      <c r="A73" s="16"/>
      <c r="B73" s="16"/>
      <c r="C73" s="16">
        <v>32</v>
      </c>
      <c r="D73" s="17">
        <f>TM!B279</f>
        <v>0</v>
      </c>
      <c r="E73" s="18">
        <f>TM!C279</f>
        <v>0</v>
      </c>
      <c r="F73" s="18">
        <f>TM!D279</f>
        <v>0</v>
      </c>
      <c r="G73" s="18">
        <f>TM!E279</f>
        <v>0</v>
      </c>
      <c r="H73" s="18">
        <f>TM!F279</f>
        <v>0</v>
      </c>
      <c r="I73" s="18">
        <f>TM!G279</f>
        <v>0</v>
      </c>
      <c r="J73" s="19">
        <f t="shared" si="6"/>
        <v>0</v>
      </c>
      <c r="L73" s="17">
        <f>Test!B279</f>
        <v>0</v>
      </c>
      <c r="M73" s="18">
        <f>Test!C279</f>
        <v>0</v>
      </c>
      <c r="N73" s="18">
        <f>Test!D279</f>
        <v>0</v>
      </c>
      <c r="O73" s="18">
        <f>Test!E279</f>
        <v>0</v>
      </c>
      <c r="P73" s="18">
        <f>Test!F279</f>
        <v>0</v>
      </c>
      <c r="Q73" s="18">
        <f>Test!G279</f>
        <v>0</v>
      </c>
      <c r="R73" s="19">
        <f t="shared" si="1"/>
        <v>0</v>
      </c>
      <c r="S73" s="18" t="e">
        <f t="shared" si="8"/>
        <v>#DIV/0!</v>
      </c>
      <c r="T73" s="18" t="e">
        <f t="shared" si="8"/>
        <v>#DIV/0!</v>
      </c>
      <c r="U73" s="60"/>
      <c r="V73" s="43"/>
      <c r="W73" s="26"/>
      <c r="X73" s="26"/>
      <c r="Y73" s="43"/>
      <c r="Z73" s="26"/>
      <c r="AA73" s="55"/>
      <c r="AB73" s="20"/>
      <c r="AC73" s="17">
        <f>BMS!B279</f>
        <v>0</v>
      </c>
      <c r="AD73" s="18">
        <f>BMS!C279</f>
        <v>0</v>
      </c>
      <c r="AE73" s="18">
        <f>BMS!D279</f>
        <v>0</v>
      </c>
      <c r="AF73" s="18">
        <f>BMS!E279</f>
        <v>0</v>
      </c>
      <c r="AG73" s="18">
        <f>BMS!F279</f>
        <v>0</v>
      </c>
      <c r="AH73" s="18">
        <f>BMS!G279</f>
        <v>0</v>
      </c>
      <c r="AI73" s="19">
        <f t="shared" si="3"/>
        <v>0</v>
      </c>
      <c r="AJ73" s="18" t="e">
        <f t="shared" si="4"/>
        <v>#DIV/0!</v>
      </c>
      <c r="AK73" s="18" t="e">
        <f t="shared" si="5"/>
        <v>#DIV/0!</v>
      </c>
      <c r="AL73" s="20"/>
      <c r="AM73" s="43"/>
      <c r="AN73" s="26"/>
      <c r="AO73" s="55"/>
      <c r="AP73" s="43"/>
      <c r="AQ73" s="26"/>
      <c r="AR73" s="55"/>
    </row>
    <row r="74" spans="1:44" ht="12.75" thickBot="1" x14ac:dyDescent="0.25">
      <c r="A74" s="16"/>
      <c r="B74" s="21"/>
      <c r="C74" s="21">
        <v>37</v>
      </c>
      <c r="D74" s="22">
        <f>TM!B280</f>
        <v>0</v>
      </c>
      <c r="E74" s="23">
        <f>TM!C280</f>
        <v>0</v>
      </c>
      <c r="F74" s="23">
        <f>TM!D280</f>
        <v>0</v>
      </c>
      <c r="G74" s="23">
        <f>TM!E280</f>
        <v>0</v>
      </c>
      <c r="H74" s="23">
        <f>TM!F280</f>
        <v>0</v>
      </c>
      <c r="I74" s="23">
        <f>TM!G280</f>
        <v>0</v>
      </c>
      <c r="J74" s="24">
        <f t="shared" si="6"/>
        <v>0</v>
      </c>
      <c r="L74" s="22">
        <f>Test!B280</f>
        <v>0</v>
      </c>
      <c r="M74" s="23">
        <f>Test!C280</f>
        <v>0</v>
      </c>
      <c r="N74" s="23">
        <f>Test!D280</f>
        <v>0</v>
      </c>
      <c r="O74" s="23">
        <f>Test!E280</f>
        <v>0</v>
      </c>
      <c r="P74" s="23">
        <f>Test!F280</f>
        <v>0</v>
      </c>
      <c r="Q74" s="23">
        <f>Test!G280</f>
        <v>0</v>
      </c>
      <c r="R74" s="24">
        <f t="shared" si="1"/>
        <v>0</v>
      </c>
      <c r="S74" s="18" t="e">
        <f t="shared" si="8"/>
        <v>#DIV/0!</v>
      </c>
      <c r="T74" s="18" t="e">
        <f t="shared" si="8"/>
        <v>#DIV/0!</v>
      </c>
      <c r="U74" s="60"/>
      <c r="V74" s="44"/>
      <c r="W74" s="56"/>
      <c r="X74" s="56"/>
      <c r="Y74" s="44"/>
      <c r="Z74" s="56"/>
      <c r="AA74" s="57"/>
      <c r="AB74" s="20"/>
      <c r="AC74" s="22">
        <f>BMS!B280</f>
        <v>0</v>
      </c>
      <c r="AD74" s="23">
        <f>BMS!C280</f>
        <v>0</v>
      </c>
      <c r="AE74" s="23">
        <f>BMS!D280</f>
        <v>0</v>
      </c>
      <c r="AF74" s="23">
        <f>BMS!E280</f>
        <v>0</v>
      </c>
      <c r="AG74" s="23">
        <f>BMS!F280</f>
        <v>0</v>
      </c>
      <c r="AH74" s="23">
        <f>BMS!G280</f>
        <v>0</v>
      </c>
      <c r="AI74" s="24">
        <f t="shared" si="3"/>
        <v>0</v>
      </c>
      <c r="AJ74" s="18" t="e">
        <f t="shared" si="4"/>
        <v>#DIV/0!</v>
      </c>
      <c r="AK74" s="18" t="e">
        <f t="shared" si="5"/>
        <v>#DIV/0!</v>
      </c>
      <c r="AL74" s="20"/>
      <c r="AM74" s="44"/>
      <c r="AN74" s="56"/>
      <c r="AO74" s="57"/>
      <c r="AP74" s="44"/>
      <c r="AQ74" s="56"/>
      <c r="AR74" s="57"/>
    </row>
    <row r="75" spans="1:44" x14ac:dyDescent="0.2">
      <c r="A75" s="16"/>
      <c r="B75" s="11" t="s">
        <v>57</v>
      </c>
      <c r="C75" s="11">
        <v>22</v>
      </c>
      <c r="D75" s="12">
        <f>TM!B281</f>
        <v>0</v>
      </c>
      <c r="E75" s="13">
        <f>TM!C281</f>
        <v>0</v>
      </c>
      <c r="F75" s="13">
        <f>TM!D281</f>
        <v>0</v>
      </c>
      <c r="G75" s="13">
        <f>TM!E281</f>
        <v>0</v>
      </c>
      <c r="H75" s="13">
        <f>TM!F281</f>
        <v>0</v>
      </c>
      <c r="I75" s="13">
        <f>TM!G281</f>
        <v>0</v>
      </c>
      <c r="J75" s="14">
        <f t="shared" si="6"/>
        <v>0</v>
      </c>
      <c r="L75" s="12">
        <f>Test!B281</f>
        <v>0</v>
      </c>
      <c r="M75" s="13">
        <f>Test!C281</f>
        <v>0</v>
      </c>
      <c r="N75" s="13">
        <f>Test!D281</f>
        <v>0</v>
      </c>
      <c r="O75" s="13">
        <f>Test!E281</f>
        <v>0</v>
      </c>
      <c r="P75" s="13">
        <f>Test!F281</f>
        <v>0</v>
      </c>
      <c r="Q75" s="13">
        <f>Test!G281</f>
        <v>0</v>
      </c>
      <c r="R75" s="14">
        <f t="shared" si="1"/>
        <v>0</v>
      </c>
      <c r="S75" s="18" t="e">
        <f t="shared" si="8"/>
        <v>#DIV/0!</v>
      </c>
      <c r="T75" s="18" t="e">
        <f t="shared" si="8"/>
        <v>#DIV/0!</v>
      </c>
      <c r="U75" s="60"/>
      <c r="V75" s="42" t="e">
        <f>bdrate($D75:$D78,E75:E78,$L75:$L78,M75:M78)</f>
        <v>#VALUE!</v>
      </c>
      <c r="W75" s="47" t="e">
        <f>bdrate($D75:$D78,F75:F78,$L75:$L78,N75:N78)</f>
        <v>#VALUE!</v>
      </c>
      <c r="X75" s="47" t="e">
        <f>bdrate($D75:$D78,G75:G78,$L75:$L78,O75:O78)</f>
        <v>#VALUE!</v>
      </c>
      <c r="Y75" s="45" t="e">
        <f>bdrateOld($D75:$D78,E75:E78,$L75:$L78,M75:M78)</f>
        <v>#VALUE!</v>
      </c>
      <c r="Z75" s="49" t="e">
        <f>bdrateOld($D75:$D78,F75:F78,$L75:$L78,N75:N78)</f>
        <v>#VALUE!</v>
      </c>
      <c r="AA75" s="50" t="e">
        <f>bdrateOld($D75:$D78,G75:G78,$L75:$L78,O75:O78)</f>
        <v>#VALUE!</v>
      </c>
      <c r="AB75" s="20"/>
      <c r="AC75" s="12">
        <f>BMS!B281</f>
        <v>0</v>
      </c>
      <c r="AD75" s="13">
        <f>BMS!C281</f>
        <v>0</v>
      </c>
      <c r="AE75" s="13">
        <f>BMS!D281</f>
        <v>0</v>
      </c>
      <c r="AF75" s="13">
        <f>BMS!E281</f>
        <v>0</v>
      </c>
      <c r="AG75" s="13">
        <f>BMS!F281</f>
        <v>0</v>
      </c>
      <c r="AH75" s="13">
        <f>BMS!G281</f>
        <v>0</v>
      </c>
      <c r="AI75" s="14">
        <f t="shared" si="3"/>
        <v>0</v>
      </c>
      <c r="AJ75" s="18" t="e">
        <f t="shared" si="4"/>
        <v>#DIV/0!</v>
      </c>
      <c r="AK75" s="18" t="e">
        <f t="shared" si="5"/>
        <v>#DIV/0!</v>
      </c>
      <c r="AL75" s="20"/>
      <c r="AM75" s="42" t="e">
        <f>bdrate($AC75:$AC78,AD75:AD78,$L75:$L78, M75:M78)</f>
        <v>#VALUE!</v>
      </c>
      <c r="AN75" s="47" t="e">
        <f>bdrate($AC75:$AC78,AE75:AE78,$L75:$L78, N75:N78)</f>
        <v>#VALUE!</v>
      </c>
      <c r="AO75" s="48" t="e">
        <f>bdrate($AC75:$AC78,AF75:AF78,$L75:$L78, O75:O78)</f>
        <v>#VALUE!</v>
      </c>
      <c r="AP75" s="42" t="e">
        <f>bdrateOld($AC75:$AC78,AD75:AD78,$L75:$L78, M75:M78)</f>
        <v>#VALUE!</v>
      </c>
      <c r="AQ75" s="47" t="e">
        <f>bdrateOld($AC75:$AC78,AE75:AE78,$L75:$L78, N75:N78)</f>
        <v>#VALUE!</v>
      </c>
      <c r="AR75" s="48" t="e">
        <f>bdrateOld($AC75:$AC78,AF75:AF78,$L75:$L78, O75:O78)</f>
        <v>#VALUE!</v>
      </c>
    </row>
    <row r="76" spans="1:44" x14ac:dyDescent="0.2">
      <c r="A76" s="16"/>
      <c r="B76" s="16"/>
      <c r="C76" s="16">
        <v>27</v>
      </c>
      <c r="D76" s="17">
        <f>TM!B282</f>
        <v>0</v>
      </c>
      <c r="E76" s="18">
        <f>TM!C282</f>
        <v>0</v>
      </c>
      <c r="F76" s="18">
        <f>TM!D282</f>
        <v>0</v>
      </c>
      <c r="G76" s="18">
        <f>TM!E282</f>
        <v>0</v>
      </c>
      <c r="H76" s="18">
        <f>TM!F282</f>
        <v>0</v>
      </c>
      <c r="I76" s="18">
        <f>TM!G282</f>
        <v>0</v>
      </c>
      <c r="J76" s="19">
        <f t="shared" si="6"/>
        <v>0</v>
      </c>
      <c r="L76" s="17">
        <f>Test!B282</f>
        <v>0</v>
      </c>
      <c r="M76" s="18">
        <f>Test!C282</f>
        <v>0</v>
      </c>
      <c r="N76" s="18">
        <f>Test!D282</f>
        <v>0</v>
      </c>
      <c r="O76" s="18">
        <f>Test!E282</f>
        <v>0</v>
      </c>
      <c r="P76" s="18">
        <f>Test!F282</f>
        <v>0</v>
      </c>
      <c r="Q76" s="18">
        <f>Test!G282</f>
        <v>0</v>
      </c>
      <c r="R76" s="19">
        <f t="shared" si="1"/>
        <v>0</v>
      </c>
      <c r="S76" s="18" t="e">
        <f t="shared" si="8"/>
        <v>#DIV/0!</v>
      </c>
      <c r="T76" s="18" t="e">
        <f t="shared" si="8"/>
        <v>#DIV/0!</v>
      </c>
      <c r="U76" s="60"/>
      <c r="V76" s="43"/>
      <c r="W76" s="26"/>
      <c r="X76" s="26"/>
      <c r="Y76" s="43"/>
      <c r="Z76" s="26"/>
      <c r="AA76" s="55"/>
      <c r="AB76" s="20"/>
      <c r="AC76" s="17">
        <f>BMS!B282</f>
        <v>0</v>
      </c>
      <c r="AD76" s="18">
        <f>BMS!C282</f>
        <v>0</v>
      </c>
      <c r="AE76" s="18">
        <f>BMS!D282</f>
        <v>0</v>
      </c>
      <c r="AF76" s="18">
        <f>BMS!E282</f>
        <v>0</v>
      </c>
      <c r="AG76" s="18">
        <f>BMS!F282</f>
        <v>0</v>
      </c>
      <c r="AH76" s="18">
        <f>BMS!G282</f>
        <v>0</v>
      </c>
      <c r="AI76" s="19">
        <f t="shared" si="3"/>
        <v>0</v>
      </c>
      <c r="AJ76" s="18" t="e">
        <f t="shared" ref="AJ76:AJ106" si="9">R76/AI76</f>
        <v>#DIV/0!</v>
      </c>
      <c r="AK76" s="18" t="e">
        <f t="shared" ref="AK76:AK106" si="10">Q76/AH76</f>
        <v>#DIV/0!</v>
      </c>
      <c r="AL76" s="20"/>
      <c r="AM76" s="43"/>
      <c r="AN76" s="26"/>
      <c r="AO76" s="55"/>
      <c r="AP76" s="43"/>
      <c r="AQ76" s="26"/>
      <c r="AR76" s="55"/>
    </row>
    <row r="77" spans="1:44" x14ac:dyDescent="0.2">
      <c r="A77" s="16"/>
      <c r="B77" s="16"/>
      <c r="C77" s="16">
        <v>32</v>
      </c>
      <c r="D77" s="17">
        <f>TM!B283</f>
        <v>0</v>
      </c>
      <c r="E77" s="18">
        <f>TM!C283</f>
        <v>0</v>
      </c>
      <c r="F77" s="18">
        <f>TM!D283</f>
        <v>0</v>
      </c>
      <c r="G77" s="18">
        <f>TM!E283</f>
        <v>0</v>
      </c>
      <c r="H77" s="18">
        <f>TM!F283</f>
        <v>0</v>
      </c>
      <c r="I77" s="18">
        <f>TM!G283</f>
        <v>0</v>
      </c>
      <c r="J77" s="19">
        <f t="shared" si="6"/>
        <v>0</v>
      </c>
      <c r="L77" s="17">
        <f>Test!B283</f>
        <v>0</v>
      </c>
      <c r="M77" s="18">
        <f>Test!C283</f>
        <v>0</v>
      </c>
      <c r="N77" s="18">
        <f>Test!D283</f>
        <v>0</v>
      </c>
      <c r="O77" s="18">
        <f>Test!E283</f>
        <v>0</v>
      </c>
      <c r="P77" s="18">
        <f>Test!F283</f>
        <v>0</v>
      </c>
      <c r="Q77" s="18">
        <f>Test!G283</f>
        <v>0</v>
      </c>
      <c r="R77" s="19">
        <f t="shared" si="1"/>
        <v>0</v>
      </c>
      <c r="S77" s="18" t="e">
        <f t="shared" si="8"/>
        <v>#DIV/0!</v>
      </c>
      <c r="T77" s="18" t="e">
        <f t="shared" si="8"/>
        <v>#DIV/0!</v>
      </c>
      <c r="U77" s="60"/>
      <c r="V77" s="43"/>
      <c r="W77" s="26"/>
      <c r="X77" s="26"/>
      <c r="Y77" s="43"/>
      <c r="Z77" s="26"/>
      <c r="AA77" s="55"/>
      <c r="AB77" s="20"/>
      <c r="AC77" s="17">
        <f>BMS!B283</f>
        <v>0</v>
      </c>
      <c r="AD77" s="18">
        <f>BMS!C283</f>
        <v>0</v>
      </c>
      <c r="AE77" s="18">
        <f>BMS!D283</f>
        <v>0</v>
      </c>
      <c r="AF77" s="18">
        <f>BMS!E283</f>
        <v>0</v>
      </c>
      <c r="AG77" s="18">
        <f>BMS!F283</f>
        <v>0</v>
      </c>
      <c r="AH77" s="18">
        <f>BMS!G283</f>
        <v>0</v>
      </c>
      <c r="AI77" s="19">
        <f t="shared" si="3"/>
        <v>0</v>
      </c>
      <c r="AJ77" s="18" t="e">
        <f t="shared" si="9"/>
        <v>#DIV/0!</v>
      </c>
      <c r="AK77" s="18" t="e">
        <f t="shared" si="10"/>
        <v>#DIV/0!</v>
      </c>
      <c r="AL77" s="20"/>
      <c r="AM77" s="43"/>
      <c r="AN77" s="26"/>
      <c r="AO77" s="55"/>
      <c r="AP77" s="43"/>
      <c r="AQ77" s="26"/>
      <c r="AR77" s="55"/>
    </row>
    <row r="78" spans="1:44" ht="12.75" thickBot="1" x14ac:dyDescent="0.25">
      <c r="A78" s="21"/>
      <c r="B78" s="21"/>
      <c r="C78" s="21">
        <v>37</v>
      </c>
      <c r="D78" s="22">
        <f>TM!B284</f>
        <v>0</v>
      </c>
      <c r="E78" s="23">
        <f>TM!C284</f>
        <v>0</v>
      </c>
      <c r="F78" s="23">
        <f>TM!D284</f>
        <v>0</v>
      </c>
      <c r="G78" s="23">
        <f>TM!E284</f>
        <v>0</v>
      </c>
      <c r="H78" s="23">
        <f>TM!F284</f>
        <v>0</v>
      </c>
      <c r="I78" s="23">
        <f>TM!G284</f>
        <v>0</v>
      </c>
      <c r="J78" s="24">
        <f t="shared" si="6"/>
        <v>0</v>
      </c>
      <c r="L78" s="22">
        <f>Test!B284</f>
        <v>0</v>
      </c>
      <c r="M78" s="23">
        <f>Test!C284</f>
        <v>0</v>
      </c>
      <c r="N78" s="23">
        <f>Test!D284</f>
        <v>0</v>
      </c>
      <c r="O78" s="23">
        <f>Test!E284</f>
        <v>0</v>
      </c>
      <c r="P78" s="23">
        <f>Test!F284</f>
        <v>0</v>
      </c>
      <c r="Q78" s="23">
        <f>Test!G284</f>
        <v>0</v>
      </c>
      <c r="R78" s="24">
        <f t="shared" si="1"/>
        <v>0</v>
      </c>
      <c r="S78" s="23" t="e">
        <f t="shared" si="8"/>
        <v>#DIV/0!</v>
      </c>
      <c r="T78" s="23" t="e">
        <f t="shared" si="8"/>
        <v>#DIV/0!</v>
      </c>
      <c r="U78" s="61"/>
      <c r="V78" s="44"/>
      <c r="W78" s="56"/>
      <c r="X78" s="56"/>
      <c r="Y78" s="44"/>
      <c r="Z78" s="56"/>
      <c r="AA78" s="57"/>
      <c r="AB78" s="25"/>
      <c r="AC78" s="22">
        <f>BMS!B284</f>
        <v>0</v>
      </c>
      <c r="AD78" s="23">
        <f>BMS!C284</f>
        <v>0</v>
      </c>
      <c r="AE78" s="23">
        <f>BMS!D284</f>
        <v>0</v>
      </c>
      <c r="AF78" s="23">
        <f>BMS!E284</f>
        <v>0</v>
      </c>
      <c r="AG78" s="23">
        <f>BMS!F284</f>
        <v>0</v>
      </c>
      <c r="AH78" s="23">
        <f>BMS!G284</f>
        <v>0</v>
      </c>
      <c r="AI78" s="24">
        <f t="shared" si="3"/>
        <v>0</v>
      </c>
      <c r="AJ78" s="23" t="e">
        <f t="shared" si="9"/>
        <v>#DIV/0!</v>
      </c>
      <c r="AK78" s="23" t="e">
        <f t="shared" si="10"/>
        <v>#DIV/0!</v>
      </c>
      <c r="AL78" s="25"/>
      <c r="AM78" s="44"/>
      <c r="AN78" s="56"/>
      <c r="AO78" s="57"/>
      <c r="AP78" s="44"/>
      <c r="AQ78" s="56"/>
      <c r="AR78" s="57"/>
    </row>
    <row r="79" spans="1:44" x14ac:dyDescent="0.2">
      <c r="A79" s="11" t="s">
        <v>52</v>
      </c>
      <c r="B79" s="11" t="s">
        <v>61</v>
      </c>
      <c r="C79" s="11">
        <v>22</v>
      </c>
      <c r="D79" s="12">
        <f>TM!B285</f>
        <v>0</v>
      </c>
      <c r="E79" s="13">
        <f>TM!C285</f>
        <v>0</v>
      </c>
      <c r="F79" s="13">
        <f>TM!D285</f>
        <v>0</v>
      </c>
      <c r="G79" s="13">
        <f>TM!E285</f>
        <v>0</v>
      </c>
      <c r="H79" s="13">
        <f>TM!F285</f>
        <v>0</v>
      </c>
      <c r="I79" s="13">
        <f>TM!G285</f>
        <v>0</v>
      </c>
      <c r="J79" s="14">
        <f t="shared" si="6"/>
        <v>0</v>
      </c>
      <c r="L79" s="12">
        <f>Test!B285</f>
        <v>0</v>
      </c>
      <c r="M79" s="13">
        <f>Test!C285</f>
        <v>0</v>
      </c>
      <c r="N79" s="13">
        <f>Test!D285</f>
        <v>0</v>
      </c>
      <c r="O79" s="13">
        <f>Test!E285</f>
        <v>0</v>
      </c>
      <c r="P79" s="13">
        <f>Test!F285</f>
        <v>0</v>
      </c>
      <c r="Q79" s="13">
        <f>Test!G285</f>
        <v>0</v>
      </c>
      <c r="R79" s="14">
        <f t="shared" si="1"/>
        <v>0</v>
      </c>
      <c r="S79" s="13" t="e">
        <f t="shared" si="8"/>
        <v>#DIV/0!</v>
      </c>
      <c r="T79" s="13" t="e">
        <f t="shared" si="8"/>
        <v>#DIV/0!</v>
      </c>
      <c r="U79" s="59"/>
      <c r="V79" s="42" t="e">
        <f>bdrate($D79:$D82,E79:E82,$L79:$L82,M79:M82)</f>
        <v>#VALUE!</v>
      </c>
      <c r="W79" s="47" t="e">
        <f>bdrate($D79:$D82,F79:F82,$L79:$L82,N79:N82)</f>
        <v>#VALUE!</v>
      </c>
      <c r="X79" s="48" t="e">
        <f>bdrate($D79:$D82,G79:G82,$L79:$L82,O79:O82)</f>
        <v>#VALUE!</v>
      </c>
      <c r="Y79" s="42" t="e">
        <f>bdrateOld($D79:$D82,E79:E82,$L79:$L82,M79:M82)</f>
        <v>#VALUE!</v>
      </c>
      <c r="Z79" s="47" t="e">
        <f>bdrateOld($D79:$D82,F79:F82,$L79:$L82,N79:N82)</f>
        <v>#VALUE!</v>
      </c>
      <c r="AA79" s="48" t="e">
        <f>bdrateOld($D79:$D82,G79:G82,$L79:$L82,O79:O82)</f>
        <v>#VALUE!</v>
      </c>
      <c r="AB79" s="54"/>
      <c r="AC79" s="12">
        <f>BMS!B285</f>
        <v>0</v>
      </c>
      <c r="AD79" s="13">
        <f>BMS!C285</f>
        <v>0</v>
      </c>
      <c r="AE79" s="13">
        <f>BMS!D285</f>
        <v>0</v>
      </c>
      <c r="AF79" s="13">
        <f>BMS!E285</f>
        <v>0</v>
      </c>
      <c r="AG79" s="13">
        <f>BMS!F285</f>
        <v>0</v>
      </c>
      <c r="AH79" s="13">
        <f>BMS!G285</f>
        <v>0</v>
      </c>
      <c r="AI79" s="14">
        <f t="shared" si="3"/>
        <v>0</v>
      </c>
      <c r="AJ79" s="13" t="e">
        <f t="shared" si="9"/>
        <v>#DIV/0!</v>
      </c>
      <c r="AK79" s="13" t="e">
        <f t="shared" si="10"/>
        <v>#DIV/0!</v>
      </c>
      <c r="AL79" s="54"/>
      <c r="AM79" s="42" t="e">
        <f>bdrate($AC79:$AC82,AD79:AD82,$L79:$L82, M79:M82)</f>
        <v>#VALUE!</v>
      </c>
      <c r="AN79" s="47" t="e">
        <f>bdrate($AC79:$AC82,AE79:AE82,$L79:$L82, N79:N82)</f>
        <v>#VALUE!</v>
      </c>
      <c r="AO79" s="48" t="e">
        <f>bdrate($AC79:$AC82,AF79:AF82,$L79:$L82, O79:O82)</f>
        <v>#VALUE!</v>
      </c>
      <c r="AP79" s="42" t="e">
        <f>bdrateOld($AC79:$AC82,AD79:AD82,$L79:$L82, M79:M82)</f>
        <v>#VALUE!</v>
      </c>
      <c r="AQ79" s="47" t="e">
        <f>bdrateOld($AC79:$AC82,AE79:AE82,$L79:$L82, N79:N82)</f>
        <v>#VALUE!</v>
      </c>
      <c r="AR79" s="48" t="e">
        <f>bdrateOld($AC79:$AC82,AF79:AF82,$L79:$L82, O79:O82)</f>
        <v>#VALUE!</v>
      </c>
    </row>
    <row r="80" spans="1:44" x14ac:dyDescent="0.2">
      <c r="A80" s="16" t="s">
        <v>53</v>
      </c>
      <c r="B80" s="16"/>
      <c r="C80" s="16">
        <v>27</v>
      </c>
      <c r="D80" s="17">
        <f>TM!B286</f>
        <v>0</v>
      </c>
      <c r="E80" s="18">
        <f>TM!C286</f>
        <v>0</v>
      </c>
      <c r="F80" s="18">
        <f>TM!D286</f>
        <v>0</v>
      </c>
      <c r="G80" s="18">
        <f>TM!E286</f>
        <v>0</v>
      </c>
      <c r="H80" s="18">
        <f>TM!F286</f>
        <v>0</v>
      </c>
      <c r="I80" s="18">
        <f>TM!G286</f>
        <v>0</v>
      </c>
      <c r="J80" s="19">
        <f t="shared" si="6"/>
        <v>0</v>
      </c>
      <c r="L80" s="17">
        <f>Test!B286</f>
        <v>0</v>
      </c>
      <c r="M80" s="18">
        <f>Test!C286</f>
        <v>0</v>
      </c>
      <c r="N80" s="18">
        <f>Test!D286</f>
        <v>0</v>
      </c>
      <c r="O80" s="18">
        <f>Test!E286</f>
        <v>0</v>
      </c>
      <c r="P80" s="18">
        <f>Test!F286</f>
        <v>0</v>
      </c>
      <c r="Q80" s="18">
        <f>Test!G286</f>
        <v>0</v>
      </c>
      <c r="R80" s="19">
        <f t="shared" ref="R80:R106" si="11">P80/3600</f>
        <v>0</v>
      </c>
      <c r="S80" s="18" t="e">
        <f t="shared" si="8"/>
        <v>#DIV/0!</v>
      </c>
      <c r="T80" s="18" t="e">
        <f t="shared" si="8"/>
        <v>#DIV/0!</v>
      </c>
      <c r="U80" s="60"/>
      <c r="V80" s="43"/>
      <c r="W80" s="26"/>
      <c r="X80" s="55"/>
      <c r="Y80" s="43"/>
      <c r="Z80" s="26"/>
      <c r="AA80" s="55"/>
      <c r="AB80" s="20"/>
      <c r="AC80" s="17">
        <f>BMS!B286</f>
        <v>0</v>
      </c>
      <c r="AD80" s="18">
        <f>BMS!C286</f>
        <v>0</v>
      </c>
      <c r="AE80" s="18">
        <f>BMS!D286</f>
        <v>0</v>
      </c>
      <c r="AF80" s="18">
        <f>BMS!E286</f>
        <v>0</v>
      </c>
      <c r="AG80" s="18">
        <f>BMS!F286</f>
        <v>0</v>
      </c>
      <c r="AH80" s="18">
        <f>BMS!G286</f>
        <v>0</v>
      </c>
      <c r="AI80" s="19">
        <f t="shared" ref="AI80:AI106" si="12">AG80/3600</f>
        <v>0</v>
      </c>
      <c r="AJ80" s="18" t="e">
        <f t="shared" si="9"/>
        <v>#DIV/0!</v>
      </c>
      <c r="AK80" s="18" t="e">
        <f t="shared" si="10"/>
        <v>#DIV/0!</v>
      </c>
      <c r="AL80" s="20"/>
      <c r="AM80" s="43"/>
      <c r="AN80" s="26"/>
      <c r="AO80" s="55"/>
      <c r="AP80" s="43"/>
      <c r="AQ80" s="26"/>
      <c r="AR80" s="55"/>
    </row>
    <row r="81" spans="1:44" x14ac:dyDescent="0.2">
      <c r="A81" s="16"/>
      <c r="B81" s="16"/>
      <c r="C81" s="16">
        <v>32</v>
      </c>
      <c r="D81" s="17">
        <f>TM!B287</f>
        <v>0</v>
      </c>
      <c r="E81" s="18">
        <f>TM!C287</f>
        <v>0</v>
      </c>
      <c r="F81" s="18">
        <f>TM!D287</f>
        <v>0</v>
      </c>
      <c r="G81" s="18">
        <f>TM!E287</f>
        <v>0</v>
      </c>
      <c r="H81" s="18">
        <f>TM!F287</f>
        <v>0</v>
      </c>
      <c r="I81" s="18">
        <f>TM!G287</f>
        <v>0</v>
      </c>
      <c r="J81" s="19">
        <f t="shared" si="6"/>
        <v>0</v>
      </c>
      <c r="L81" s="17">
        <f>Test!B287</f>
        <v>0</v>
      </c>
      <c r="M81" s="18">
        <f>Test!C287</f>
        <v>0</v>
      </c>
      <c r="N81" s="18">
        <f>Test!D287</f>
        <v>0</v>
      </c>
      <c r="O81" s="18">
        <f>Test!E287</f>
        <v>0</v>
      </c>
      <c r="P81" s="18">
        <f>Test!F287</f>
        <v>0</v>
      </c>
      <c r="Q81" s="18">
        <f>Test!G287</f>
        <v>0</v>
      </c>
      <c r="R81" s="19">
        <f t="shared" si="11"/>
        <v>0</v>
      </c>
      <c r="S81" s="18" t="e">
        <f t="shared" si="8"/>
        <v>#DIV/0!</v>
      </c>
      <c r="T81" s="18" t="e">
        <f t="shared" si="8"/>
        <v>#DIV/0!</v>
      </c>
      <c r="U81" s="60"/>
      <c r="V81" s="43"/>
      <c r="W81" s="26"/>
      <c r="X81" s="55"/>
      <c r="Y81" s="43"/>
      <c r="Z81" s="26"/>
      <c r="AA81" s="55"/>
      <c r="AB81" s="20"/>
      <c r="AC81" s="17">
        <f>BMS!B287</f>
        <v>0</v>
      </c>
      <c r="AD81" s="18">
        <f>BMS!C287</f>
        <v>0</v>
      </c>
      <c r="AE81" s="18">
        <f>BMS!D287</f>
        <v>0</v>
      </c>
      <c r="AF81" s="18">
        <f>BMS!E287</f>
        <v>0</v>
      </c>
      <c r="AG81" s="18">
        <f>BMS!F287</f>
        <v>0</v>
      </c>
      <c r="AH81" s="18">
        <f>BMS!G287</f>
        <v>0</v>
      </c>
      <c r="AI81" s="19">
        <f t="shared" si="12"/>
        <v>0</v>
      </c>
      <c r="AJ81" s="18" t="e">
        <f t="shared" si="9"/>
        <v>#DIV/0!</v>
      </c>
      <c r="AK81" s="18" t="e">
        <f t="shared" si="10"/>
        <v>#DIV/0!</v>
      </c>
      <c r="AL81" s="20"/>
      <c r="AM81" s="43"/>
      <c r="AN81" s="26"/>
      <c r="AO81" s="55"/>
      <c r="AP81" s="43"/>
      <c r="AQ81" s="26"/>
      <c r="AR81" s="55"/>
    </row>
    <row r="82" spans="1:44" ht="12.75" thickBot="1" x14ac:dyDescent="0.25">
      <c r="A82" s="16"/>
      <c r="B82" s="21"/>
      <c r="C82" s="21">
        <v>37</v>
      </c>
      <c r="D82" s="22">
        <f>TM!B288</f>
        <v>0</v>
      </c>
      <c r="E82" s="23">
        <f>TM!C288</f>
        <v>0</v>
      </c>
      <c r="F82" s="23">
        <f>TM!D288</f>
        <v>0</v>
      </c>
      <c r="G82" s="23">
        <f>TM!E288</f>
        <v>0</v>
      </c>
      <c r="H82" s="23">
        <f>TM!F288</f>
        <v>0</v>
      </c>
      <c r="I82" s="23">
        <f>TM!G288</f>
        <v>0</v>
      </c>
      <c r="J82" s="24">
        <f t="shared" si="6"/>
        <v>0</v>
      </c>
      <c r="L82" s="22">
        <f>Test!B288</f>
        <v>0</v>
      </c>
      <c r="M82" s="23">
        <f>Test!C288</f>
        <v>0</v>
      </c>
      <c r="N82" s="23">
        <f>Test!D288</f>
        <v>0</v>
      </c>
      <c r="O82" s="23">
        <f>Test!E288</f>
        <v>0</v>
      </c>
      <c r="P82" s="23">
        <f>Test!F288</f>
        <v>0</v>
      </c>
      <c r="Q82" s="23">
        <f>Test!G288</f>
        <v>0</v>
      </c>
      <c r="R82" s="24">
        <f t="shared" si="11"/>
        <v>0</v>
      </c>
      <c r="S82" s="18" t="e">
        <f t="shared" si="8"/>
        <v>#DIV/0!</v>
      </c>
      <c r="T82" s="18" t="e">
        <f t="shared" si="8"/>
        <v>#DIV/0!</v>
      </c>
      <c r="U82" s="60"/>
      <c r="V82" s="44"/>
      <c r="W82" s="56"/>
      <c r="X82" s="57"/>
      <c r="Y82" s="44"/>
      <c r="Z82" s="56"/>
      <c r="AA82" s="57"/>
      <c r="AB82" s="20"/>
      <c r="AC82" s="22">
        <f>BMS!B288</f>
        <v>0</v>
      </c>
      <c r="AD82" s="23">
        <f>BMS!C288</f>
        <v>0</v>
      </c>
      <c r="AE82" s="23">
        <f>BMS!D288</f>
        <v>0</v>
      </c>
      <c r="AF82" s="23">
        <f>BMS!E288</f>
        <v>0</v>
      </c>
      <c r="AG82" s="23">
        <f>BMS!F288</f>
        <v>0</v>
      </c>
      <c r="AH82" s="23">
        <f>BMS!G288</f>
        <v>0</v>
      </c>
      <c r="AI82" s="24">
        <f t="shared" si="12"/>
        <v>0</v>
      </c>
      <c r="AJ82" s="18" t="e">
        <f t="shared" si="9"/>
        <v>#DIV/0!</v>
      </c>
      <c r="AK82" s="18" t="e">
        <f t="shared" si="10"/>
        <v>#DIV/0!</v>
      </c>
      <c r="AL82" s="20"/>
      <c r="AM82" s="44"/>
      <c r="AN82" s="56"/>
      <c r="AO82" s="57"/>
      <c r="AP82" s="44"/>
      <c r="AQ82" s="56"/>
      <c r="AR82" s="57"/>
    </row>
    <row r="83" spans="1:44" x14ac:dyDescent="0.2">
      <c r="A83" s="16"/>
      <c r="B83" s="11" t="s">
        <v>62</v>
      </c>
      <c r="C83" s="11">
        <v>22</v>
      </c>
      <c r="D83" s="12">
        <f>TM!B289</f>
        <v>0</v>
      </c>
      <c r="E83" s="13">
        <f>TM!C289</f>
        <v>0</v>
      </c>
      <c r="F83" s="13">
        <f>TM!D289</f>
        <v>0</v>
      </c>
      <c r="G83" s="13">
        <f>TM!E289</f>
        <v>0</v>
      </c>
      <c r="H83" s="13">
        <f>TM!F289</f>
        <v>0</v>
      </c>
      <c r="I83" s="13">
        <f>TM!G289</f>
        <v>0</v>
      </c>
      <c r="J83" s="14">
        <f t="shared" si="6"/>
        <v>0</v>
      </c>
      <c r="L83" s="12">
        <f>Test!B289</f>
        <v>0</v>
      </c>
      <c r="M83" s="13">
        <f>Test!C289</f>
        <v>0</v>
      </c>
      <c r="N83" s="13">
        <f>Test!D289</f>
        <v>0</v>
      </c>
      <c r="O83" s="13">
        <f>Test!E289</f>
        <v>0</v>
      </c>
      <c r="P83" s="13">
        <f>Test!F289</f>
        <v>0</v>
      </c>
      <c r="Q83" s="13">
        <f>Test!G289</f>
        <v>0</v>
      </c>
      <c r="R83" s="14">
        <f t="shared" si="11"/>
        <v>0</v>
      </c>
      <c r="S83" s="18" t="e">
        <f t="shared" si="8"/>
        <v>#DIV/0!</v>
      </c>
      <c r="T83" s="18" t="e">
        <f t="shared" si="8"/>
        <v>#DIV/0!</v>
      </c>
      <c r="U83" s="60"/>
      <c r="V83" s="42" t="e">
        <f>bdrate($D83:$D86,E83:E86,$L83:$L86,M83:M86)</f>
        <v>#VALUE!</v>
      </c>
      <c r="W83" s="47" t="e">
        <f>bdrate($D83:$D86,F83:F86,$L83:$L86,N83:N86)</f>
        <v>#VALUE!</v>
      </c>
      <c r="X83" s="47" t="e">
        <f>bdrate($D83:$D86,G83:G86,$L83:$L86,O83:O86)</f>
        <v>#VALUE!</v>
      </c>
      <c r="Y83" s="45" t="e">
        <f>bdrateOld($D83:$D86,E83:E86,$L83:$L86,M83:M86)</f>
        <v>#VALUE!</v>
      </c>
      <c r="Z83" s="49" t="e">
        <f>bdrateOld($D83:$D86,F83:F86,$L83:$L86,N83:N86)</f>
        <v>#VALUE!</v>
      </c>
      <c r="AA83" s="50" t="e">
        <f>bdrateOld($D83:$D86,G83:G86,$L83:$L86,O83:O86)</f>
        <v>#VALUE!</v>
      </c>
      <c r="AB83" s="20"/>
      <c r="AC83" s="12">
        <f>BMS!B289</f>
        <v>0</v>
      </c>
      <c r="AD83" s="13">
        <f>BMS!C289</f>
        <v>0</v>
      </c>
      <c r="AE83" s="13">
        <f>BMS!D289</f>
        <v>0</v>
      </c>
      <c r="AF83" s="13">
        <f>BMS!E289</f>
        <v>0</v>
      </c>
      <c r="AG83" s="13">
        <f>BMS!F289</f>
        <v>0</v>
      </c>
      <c r="AH83" s="13">
        <f>BMS!G289</f>
        <v>0</v>
      </c>
      <c r="AI83" s="14">
        <f t="shared" si="12"/>
        <v>0</v>
      </c>
      <c r="AJ83" s="18" t="e">
        <f t="shared" si="9"/>
        <v>#DIV/0!</v>
      </c>
      <c r="AK83" s="18" t="e">
        <f t="shared" si="10"/>
        <v>#DIV/0!</v>
      </c>
      <c r="AL83" s="20"/>
      <c r="AM83" s="42" t="e">
        <f>bdrate($AC83:$AC86,AD83:AD86,$L83:$L86, M83:M86)</f>
        <v>#VALUE!</v>
      </c>
      <c r="AN83" s="47" t="e">
        <f>bdrate($AC83:$AC86,AE83:AE86,$L83:$L86, N83:N86)</f>
        <v>#VALUE!</v>
      </c>
      <c r="AO83" s="48" t="e">
        <f>bdrate($AC83:$AC86,AF83:AF86,$L83:$L86, O83:O86)</f>
        <v>#VALUE!</v>
      </c>
      <c r="AP83" s="42" t="e">
        <f>bdrateOld($AC83:$AC86,AD83:AD86,$L83:$L86, M83:M86)</f>
        <v>#VALUE!</v>
      </c>
      <c r="AQ83" s="47" t="e">
        <f>bdrateOld($AC83:$AC86,AE83:AE86,$L83:$L86, N83:N86)</f>
        <v>#VALUE!</v>
      </c>
      <c r="AR83" s="48" t="e">
        <f>bdrateOld($AC83:$AC86,AF83:AF86,$L83:$L86, O83:O86)</f>
        <v>#VALUE!</v>
      </c>
    </row>
    <row r="84" spans="1:44" x14ac:dyDescent="0.2">
      <c r="A84" s="16"/>
      <c r="B84" s="16"/>
      <c r="C84" s="16">
        <v>27</v>
      </c>
      <c r="D84" s="17">
        <f>TM!B290</f>
        <v>0</v>
      </c>
      <c r="E84" s="18">
        <f>TM!C290</f>
        <v>0</v>
      </c>
      <c r="F84" s="18">
        <f>TM!D290</f>
        <v>0</v>
      </c>
      <c r="G84" s="18">
        <f>TM!E290</f>
        <v>0</v>
      </c>
      <c r="H84" s="18">
        <f>TM!F290</f>
        <v>0</v>
      </c>
      <c r="I84" s="18">
        <f>TM!G290</f>
        <v>0</v>
      </c>
      <c r="J84" s="19">
        <f t="shared" si="6"/>
        <v>0</v>
      </c>
      <c r="L84" s="17">
        <f>Test!B290</f>
        <v>0</v>
      </c>
      <c r="M84" s="18">
        <f>Test!C290</f>
        <v>0</v>
      </c>
      <c r="N84" s="18">
        <f>Test!D290</f>
        <v>0</v>
      </c>
      <c r="O84" s="18">
        <f>Test!E290</f>
        <v>0</v>
      </c>
      <c r="P84" s="18">
        <f>Test!F290</f>
        <v>0</v>
      </c>
      <c r="Q84" s="18">
        <f>Test!G290</f>
        <v>0</v>
      </c>
      <c r="R84" s="19">
        <f t="shared" si="11"/>
        <v>0</v>
      </c>
      <c r="S84" s="18" t="e">
        <f t="shared" si="8"/>
        <v>#DIV/0!</v>
      </c>
      <c r="T84" s="18" t="e">
        <f t="shared" si="8"/>
        <v>#DIV/0!</v>
      </c>
      <c r="U84" s="60"/>
      <c r="V84" s="43"/>
      <c r="W84" s="26"/>
      <c r="X84" s="26"/>
      <c r="Y84" s="43"/>
      <c r="Z84" s="26"/>
      <c r="AA84" s="55"/>
      <c r="AB84" s="20"/>
      <c r="AC84" s="17">
        <f>BMS!B290</f>
        <v>0</v>
      </c>
      <c r="AD84" s="18">
        <f>BMS!C290</f>
        <v>0</v>
      </c>
      <c r="AE84" s="18">
        <f>BMS!D290</f>
        <v>0</v>
      </c>
      <c r="AF84" s="18">
        <f>BMS!E290</f>
        <v>0</v>
      </c>
      <c r="AG84" s="18">
        <f>BMS!F290</f>
        <v>0</v>
      </c>
      <c r="AH84" s="18">
        <f>BMS!G290</f>
        <v>0</v>
      </c>
      <c r="AI84" s="19">
        <f t="shared" si="12"/>
        <v>0</v>
      </c>
      <c r="AJ84" s="18" t="e">
        <f t="shared" si="9"/>
        <v>#DIV/0!</v>
      </c>
      <c r="AK84" s="18" t="e">
        <f t="shared" si="10"/>
        <v>#DIV/0!</v>
      </c>
      <c r="AL84" s="20"/>
      <c r="AM84" s="43"/>
      <c r="AN84" s="26"/>
      <c r="AO84" s="55"/>
      <c r="AP84" s="43"/>
      <c r="AQ84" s="26"/>
      <c r="AR84" s="55"/>
    </row>
    <row r="85" spans="1:44" x14ac:dyDescent="0.2">
      <c r="A85" s="16"/>
      <c r="B85" s="16"/>
      <c r="C85" s="16">
        <v>32</v>
      </c>
      <c r="D85" s="17">
        <f>TM!B291</f>
        <v>0</v>
      </c>
      <c r="E85" s="18">
        <f>TM!C291</f>
        <v>0</v>
      </c>
      <c r="F85" s="18">
        <f>TM!D291</f>
        <v>0</v>
      </c>
      <c r="G85" s="18">
        <f>TM!E291</f>
        <v>0</v>
      </c>
      <c r="H85" s="18">
        <f>TM!F291</f>
        <v>0</v>
      </c>
      <c r="I85" s="18">
        <f>TM!G291</f>
        <v>0</v>
      </c>
      <c r="J85" s="19">
        <f t="shared" si="6"/>
        <v>0</v>
      </c>
      <c r="L85" s="17">
        <f>Test!B291</f>
        <v>0</v>
      </c>
      <c r="M85" s="18">
        <f>Test!C291</f>
        <v>0</v>
      </c>
      <c r="N85" s="18">
        <f>Test!D291</f>
        <v>0</v>
      </c>
      <c r="O85" s="18">
        <f>Test!E291</f>
        <v>0</v>
      </c>
      <c r="P85" s="18">
        <f>Test!F291</f>
        <v>0</v>
      </c>
      <c r="Q85" s="18">
        <f>Test!G291</f>
        <v>0</v>
      </c>
      <c r="R85" s="19">
        <f t="shared" si="11"/>
        <v>0</v>
      </c>
      <c r="S85" s="18" t="e">
        <f t="shared" si="8"/>
        <v>#DIV/0!</v>
      </c>
      <c r="T85" s="18" t="e">
        <f t="shared" si="8"/>
        <v>#DIV/0!</v>
      </c>
      <c r="U85" s="60"/>
      <c r="V85" s="43"/>
      <c r="W85" s="26"/>
      <c r="X85" s="26"/>
      <c r="Y85" s="43"/>
      <c r="Z85" s="26"/>
      <c r="AA85" s="55"/>
      <c r="AB85" s="20"/>
      <c r="AC85" s="17">
        <f>BMS!B291</f>
        <v>0</v>
      </c>
      <c r="AD85" s="18">
        <f>BMS!C291</f>
        <v>0</v>
      </c>
      <c r="AE85" s="18">
        <f>BMS!D291</f>
        <v>0</v>
      </c>
      <c r="AF85" s="18">
        <f>BMS!E291</f>
        <v>0</v>
      </c>
      <c r="AG85" s="18">
        <f>BMS!F291</f>
        <v>0</v>
      </c>
      <c r="AH85" s="18">
        <f>BMS!G291</f>
        <v>0</v>
      </c>
      <c r="AI85" s="19">
        <f t="shared" si="12"/>
        <v>0</v>
      </c>
      <c r="AJ85" s="18" t="e">
        <f t="shared" si="9"/>
        <v>#DIV/0!</v>
      </c>
      <c r="AK85" s="18" t="e">
        <f t="shared" si="10"/>
        <v>#DIV/0!</v>
      </c>
      <c r="AL85" s="20"/>
      <c r="AM85" s="43"/>
      <c r="AN85" s="26"/>
      <c r="AO85" s="55"/>
      <c r="AP85" s="43"/>
      <c r="AQ85" s="26"/>
      <c r="AR85" s="55"/>
    </row>
    <row r="86" spans="1:44" ht="12.75" thickBot="1" x14ac:dyDescent="0.25">
      <c r="A86" s="16"/>
      <c r="B86" s="21"/>
      <c r="C86" s="21">
        <v>37</v>
      </c>
      <c r="D86" s="22">
        <f>TM!B292</f>
        <v>0</v>
      </c>
      <c r="E86" s="23">
        <f>TM!C292</f>
        <v>0</v>
      </c>
      <c r="F86" s="23">
        <f>TM!D292</f>
        <v>0</v>
      </c>
      <c r="G86" s="23">
        <f>TM!E292</f>
        <v>0</v>
      </c>
      <c r="H86" s="23">
        <f>TM!F292</f>
        <v>0</v>
      </c>
      <c r="I86" s="23">
        <f>TM!G292</f>
        <v>0</v>
      </c>
      <c r="J86" s="24">
        <f t="shared" si="6"/>
        <v>0</v>
      </c>
      <c r="L86" s="22">
        <f>Test!B292</f>
        <v>0</v>
      </c>
      <c r="M86" s="23">
        <f>Test!C292</f>
        <v>0</v>
      </c>
      <c r="N86" s="23">
        <f>Test!D292</f>
        <v>0</v>
      </c>
      <c r="O86" s="23">
        <f>Test!E292</f>
        <v>0</v>
      </c>
      <c r="P86" s="23">
        <f>Test!F292</f>
        <v>0</v>
      </c>
      <c r="Q86" s="23">
        <f>Test!G292</f>
        <v>0</v>
      </c>
      <c r="R86" s="24">
        <f t="shared" si="11"/>
        <v>0</v>
      </c>
      <c r="S86" s="18" t="e">
        <f t="shared" si="8"/>
        <v>#DIV/0!</v>
      </c>
      <c r="T86" s="18" t="e">
        <f t="shared" si="8"/>
        <v>#DIV/0!</v>
      </c>
      <c r="U86" s="60"/>
      <c r="V86" s="44"/>
      <c r="W86" s="56"/>
      <c r="X86" s="56"/>
      <c r="Y86" s="44"/>
      <c r="Z86" s="56"/>
      <c r="AA86" s="57"/>
      <c r="AB86" s="20"/>
      <c r="AC86" s="22">
        <f>BMS!B292</f>
        <v>0</v>
      </c>
      <c r="AD86" s="23">
        <f>BMS!C292</f>
        <v>0</v>
      </c>
      <c r="AE86" s="23">
        <f>BMS!D292</f>
        <v>0</v>
      </c>
      <c r="AF86" s="23">
        <f>BMS!E292</f>
        <v>0</v>
      </c>
      <c r="AG86" s="23">
        <f>BMS!F292</f>
        <v>0</v>
      </c>
      <c r="AH86" s="23">
        <f>BMS!G292</f>
        <v>0</v>
      </c>
      <c r="AI86" s="24">
        <f t="shared" si="12"/>
        <v>0</v>
      </c>
      <c r="AJ86" s="18" t="e">
        <f t="shared" si="9"/>
        <v>#DIV/0!</v>
      </c>
      <c r="AK86" s="18" t="e">
        <f t="shared" si="10"/>
        <v>#DIV/0!</v>
      </c>
      <c r="AL86" s="20"/>
      <c r="AM86" s="44"/>
      <c r="AN86" s="56"/>
      <c r="AO86" s="57"/>
      <c r="AP86" s="44"/>
      <c r="AQ86" s="56"/>
      <c r="AR86" s="57"/>
    </row>
    <row r="87" spans="1:44" x14ac:dyDescent="0.2">
      <c r="A87" s="16"/>
      <c r="B87" s="11" t="s">
        <v>63</v>
      </c>
      <c r="C87" s="11">
        <v>22</v>
      </c>
      <c r="D87" s="12">
        <f>TM!B293</f>
        <v>0</v>
      </c>
      <c r="E87" s="13">
        <f>TM!C293</f>
        <v>0</v>
      </c>
      <c r="F87" s="13">
        <f>TM!D293</f>
        <v>0</v>
      </c>
      <c r="G87" s="13">
        <f>TM!E293</f>
        <v>0</v>
      </c>
      <c r="H87" s="13">
        <f>TM!F293</f>
        <v>0</v>
      </c>
      <c r="I87" s="13">
        <f>TM!G293</f>
        <v>0</v>
      </c>
      <c r="J87" s="14">
        <f t="shared" si="6"/>
        <v>0</v>
      </c>
      <c r="L87" s="12">
        <f>Test!B293</f>
        <v>0</v>
      </c>
      <c r="M87" s="13">
        <f>Test!C293</f>
        <v>0</v>
      </c>
      <c r="N87" s="13">
        <f>Test!D293</f>
        <v>0</v>
      </c>
      <c r="O87" s="13">
        <f>Test!E293</f>
        <v>0</v>
      </c>
      <c r="P87" s="13">
        <f>Test!F293</f>
        <v>0</v>
      </c>
      <c r="Q87" s="13">
        <f>Test!G293</f>
        <v>0</v>
      </c>
      <c r="R87" s="14">
        <f t="shared" si="11"/>
        <v>0</v>
      </c>
      <c r="S87" s="18" t="e">
        <f t="shared" ref="S87:T106" si="13">P87/H87</f>
        <v>#DIV/0!</v>
      </c>
      <c r="T87" s="18" t="e">
        <f t="shared" si="13"/>
        <v>#DIV/0!</v>
      </c>
      <c r="U87" s="60"/>
      <c r="V87" s="42" t="e">
        <f>bdrate($D87:$D90,E87:E90,$L87:$L90,M87:M90)</f>
        <v>#VALUE!</v>
      </c>
      <c r="W87" s="47" t="e">
        <f>bdrate($D87:$D90,F87:F90,$L87:$L90,N87:N90)</f>
        <v>#VALUE!</v>
      </c>
      <c r="X87" s="47" t="e">
        <f>bdrate($D87:$D90,G87:G90,$L87:$L90,O87:O90)</f>
        <v>#VALUE!</v>
      </c>
      <c r="Y87" s="45" t="e">
        <f>bdrateOld($D87:$D90,E87:E90,$L87:$L90,M87:M90)</f>
        <v>#VALUE!</v>
      </c>
      <c r="Z87" s="49" t="e">
        <f>bdrateOld($D87:$D90,F87:F90,$L87:$L90,N87:N90)</f>
        <v>#VALUE!</v>
      </c>
      <c r="AA87" s="50" t="e">
        <f>bdrateOld($D87:$D90,G87:G90,$L87:$L90,O87:O90)</f>
        <v>#VALUE!</v>
      </c>
      <c r="AB87" s="20"/>
      <c r="AC87" s="12">
        <f>BMS!B293</f>
        <v>0</v>
      </c>
      <c r="AD87" s="13">
        <f>BMS!C293</f>
        <v>0</v>
      </c>
      <c r="AE87" s="13">
        <f>BMS!D293</f>
        <v>0</v>
      </c>
      <c r="AF87" s="13">
        <f>BMS!E293</f>
        <v>0</v>
      </c>
      <c r="AG87" s="13">
        <f>BMS!F293</f>
        <v>0</v>
      </c>
      <c r="AH87" s="13">
        <f>BMS!G293</f>
        <v>0</v>
      </c>
      <c r="AI87" s="14">
        <f t="shared" si="12"/>
        <v>0</v>
      </c>
      <c r="AJ87" s="18" t="e">
        <f t="shared" si="9"/>
        <v>#DIV/0!</v>
      </c>
      <c r="AK87" s="18" t="e">
        <f t="shared" si="10"/>
        <v>#DIV/0!</v>
      </c>
      <c r="AL87" s="20"/>
      <c r="AM87" s="42" t="e">
        <f>bdrate($AC87:$AC90,AD87:AD90,$L87:$L90, M87:M90)</f>
        <v>#VALUE!</v>
      </c>
      <c r="AN87" s="47" t="e">
        <f>bdrate($AC87:$AC90,AE87:AE90,$L87:$L90, N87:N90)</f>
        <v>#VALUE!</v>
      </c>
      <c r="AO87" s="48" t="e">
        <f>bdrate($AC87:$AC90,AF87:AF90,$L87:$L90, O87:O90)</f>
        <v>#VALUE!</v>
      </c>
      <c r="AP87" s="42" t="e">
        <f>bdrateOld($AC87:$AC90,AD87:AD90,$L87:$L90, M87:M90)</f>
        <v>#VALUE!</v>
      </c>
      <c r="AQ87" s="47" t="e">
        <f>bdrateOld($AC87:$AC90,AE87:AE90,$L87:$L90, N87:N90)</f>
        <v>#VALUE!</v>
      </c>
      <c r="AR87" s="48" t="e">
        <f>bdrateOld($AC87:$AC90,AF87:AF90,$L87:$L90, O87:O90)</f>
        <v>#VALUE!</v>
      </c>
    </row>
    <row r="88" spans="1:44" x14ac:dyDescent="0.2">
      <c r="A88" s="16"/>
      <c r="B88" s="16"/>
      <c r="C88" s="16">
        <v>27</v>
      </c>
      <c r="D88" s="17">
        <f>TM!B294</f>
        <v>0</v>
      </c>
      <c r="E88" s="18">
        <f>TM!C294</f>
        <v>0</v>
      </c>
      <c r="F88" s="18">
        <f>TM!D294</f>
        <v>0</v>
      </c>
      <c r="G88" s="18">
        <f>TM!E294</f>
        <v>0</v>
      </c>
      <c r="H88" s="18">
        <f>TM!F294</f>
        <v>0</v>
      </c>
      <c r="I88" s="18">
        <f>TM!G294</f>
        <v>0</v>
      </c>
      <c r="J88" s="19">
        <f t="shared" si="6"/>
        <v>0</v>
      </c>
      <c r="L88" s="17">
        <f>Test!B294</f>
        <v>0</v>
      </c>
      <c r="M88" s="18">
        <f>Test!C294</f>
        <v>0</v>
      </c>
      <c r="N88" s="18">
        <f>Test!D294</f>
        <v>0</v>
      </c>
      <c r="O88" s="18">
        <f>Test!E294</f>
        <v>0</v>
      </c>
      <c r="P88" s="18">
        <f>Test!F294</f>
        <v>0</v>
      </c>
      <c r="Q88" s="18">
        <f>Test!G294</f>
        <v>0</v>
      </c>
      <c r="R88" s="19">
        <f t="shared" si="11"/>
        <v>0</v>
      </c>
      <c r="S88" s="18" t="e">
        <f t="shared" si="13"/>
        <v>#DIV/0!</v>
      </c>
      <c r="T88" s="18" t="e">
        <f t="shared" si="13"/>
        <v>#DIV/0!</v>
      </c>
      <c r="U88" s="60"/>
      <c r="V88" s="43"/>
      <c r="W88" s="26"/>
      <c r="X88" s="26"/>
      <c r="Y88" s="43"/>
      <c r="Z88" s="26"/>
      <c r="AA88" s="55"/>
      <c r="AB88" s="20"/>
      <c r="AC88" s="17">
        <f>BMS!B294</f>
        <v>0</v>
      </c>
      <c r="AD88" s="18">
        <f>BMS!C294</f>
        <v>0</v>
      </c>
      <c r="AE88" s="18">
        <f>BMS!D294</f>
        <v>0</v>
      </c>
      <c r="AF88" s="18">
        <f>BMS!E294</f>
        <v>0</v>
      </c>
      <c r="AG88" s="18">
        <f>BMS!F294</f>
        <v>0</v>
      </c>
      <c r="AH88" s="18">
        <f>BMS!G294</f>
        <v>0</v>
      </c>
      <c r="AI88" s="19">
        <f t="shared" si="12"/>
        <v>0</v>
      </c>
      <c r="AJ88" s="18" t="e">
        <f t="shared" si="9"/>
        <v>#DIV/0!</v>
      </c>
      <c r="AK88" s="18" t="e">
        <f t="shared" si="10"/>
        <v>#DIV/0!</v>
      </c>
      <c r="AL88" s="20"/>
      <c r="AM88" s="43"/>
      <c r="AN88" s="26"/>
      <c r="AO88" s="55"/>
      <c r="AP88" s="43"/>
      <c r="AQ88" s="26"/>
      <c r="AR88" s="55"/>
    </row>
    <row r="89" spans="1:44" x14ac:dyDescent="0.2">
      <c r="A89" s="16"/>
      <c r="B89" s="16"/>
      <c r="C89" s="16">
        <v>32</v>
      </c>
      <c r="D89" s="17">
        <f>TM!B295</f>
        <v>0</v>
      </c>
      <c r="E89" s="18">
        <f>TM!C295</f>
        <v>0</v>
      </c>
      <c r="F89" s="18">
        <f>TM!D295</f>
        <v>0</v>
      </c>
      <c r="G89" s="18">
        <f>TM!E295</f>
        <v>0</v>
      </c>
      <c r="H89" s="18">
        <f>TM!F295</f>
        <v>0</v>
      </c>
      <c r="I89" s="18">
        <f>TM!G295</f>
        <v>0</v>
      </c>
      <c r="J89" s="19">
        <f t="shared" si="6"/>
        <v>0</v>
      </c>
      <c r="L89" s="17">
        <f>Test!B295</f>
        <v>0</v>
      </c>
      <c r="M89" s="18">
        <f>Test!C295</f>
        <v>0</v>
      </c>
      <c r="N89" s="18">
        <f>Test!D295</f>
        <v>0</v>
      </c>
      <c r="O89" s="18">
        <f>Test!E295</f>
        <v>0</v>
      </c>
      <c r="P89" s="18">
        <f>Test!F295</f>
        <v>0</v>
      </c>
      <c r="Q89" s="18">
        <f>Test!G295</f>
        <v>0</v>
      </c>
      <c r="R89" s="19">
        <f t="shared" si="11"/>
        <v>0</v>
      </c>
      <c r="S89" s="18" t="e">
        <f t="shared" si="13"/>
        <v>#DIV/0!</v>
      </c>
      <c r="T89" s="18" t="e">
        <f t="shared" si="13"/>
        <v>#DIV/0!</v>
      </c>
      <c r="U89" s="60"/>
      <c r="V89" s="43"/>
      <c r="W89" s="26"/>
      <c r="X89" s="26"/>
      <c r="Y89" s="43"/>
      <c r="Z89" s="26"/>
      <c r="AA89" s="55"/>
      <c r="AB89" s="20"/>
      <c r="AC89" s="17">
        <f>BMS!B295</f>
        <v>0</v>
      </c>
      <c r="AD89" s="18">
        <f>BMS!C295</f>
        <v>0</v>
      </c>
      <c r="AE89" s="18">
        <f>BMS!D295</f>
        <v>0</v>
      </c>
      <c r="AF89" s="18">
        <f>BMS!E295</f>
        <v>0</v>
      </c>
      <c r="AG89" s="18">
        <f>BMS!F295</f>
        <v>0</v>
      </c>
      <c r="AH89" s="18">
        <f>BMS!G295</f>
        <v>0</v>
      </c>
      <c r="AI89" s="19">
        <f t="shared" si="12"/>
        <v>0</v>
      </c>
      <c r="AJ89" s="18" t="e">
        <f t="shared" si="9"/>
        <v>#DIV/0!</v>
      </c>
      <c r="AK89" s="18" t="e">
        <f t="shared" si="10"/>
        <v>#DIV/0!</v>
      </c>
      <c r="AL89" s="20"/>
      <c r="AM89" s="43"/>
      <c r="AN89" s="26"/>
      <c r="AO89" s="55"/>
      <c r="AP89" s="43"/>
      <c r="AQ89" s="26"/>
      <c r="AR89" s="55"/>
    </row>
    <row r="90" spans="1:44" ht="12.75" thickBot="1" x14ac:dyDescent="0.25">
      <c r="A90" s="21"/>
      <c r="B90" s="21"/>
      <c r="C90" s="21">
        <v>37</v>
      </c>
      <c r="D90" s="22">
        <f>TM!B296</f>
        <v>0</v>
      </c>
      <c r="E90" s="23">
        <f>TM!C296</f>
        <v>0</v>
      </c>
      <c r="F90" s="23">
        <f>TM!D296</f>
        <v>0</v>
      </c>
      <c r="G90" s="23">
        <f>TM!E296</f>
        <v>0</v>
      </c>
      <c r="H90" s="23">
        <f>TM!F296</f>
        <v>0</v>
      </c>
      <c r="I90" s="23">
        <f>TM!G296</f>
        <v>0</v>
      </c>
      <c r="J90" s="24">
        <f t="shared" si="6"/>
        <v>0</v>
      </c>
      <c r="L90" s="22">
        <f>Test!B296</f>
        <v>0</v>
      </c>
      <c r="M90" s="23">
        <f>Test!C296</f>
        <v>0</v>
      </c>
      <c r="N90" s="23">
        <f>Test!D296</f>
        <v>0</v>
      </c>
      <c r="O90" s="23">
        <f>Test!E296</f>
        <v>0</v>
      </c>
      <c r="P90" s="23">
        <f>Test!F296</f>
        <v>0</v>
      </c>
      <c r="Q90" s="23">
        <f>Test!G296</f>
        <v>0</v>
      </c>
      <c r="R90" s="24">
        <f t="shared" si="11"/>
        <v>0</v>
      </c>
      <c r="S90" s="18" t="e">
        <f t="shared" si="13"/>
        <v>#DIV/0!</v>
      </c>
      <c r="T90" s="18" t="e">
        <f t="shared" si="13"/>
        <v>#DIV/0!</v>
      </c>
      <c r="U90" s="60"/>
      <c r="V90" s="44"/>
      <c r="W90" s="56"/>
      <c r="X90" s="56"/>
      <c r="Y90" s="44"/>
      <c r="Z90" s="56"/>
      <c r="AA90" s="57"/>
      <c r="AB90" s="20"/>
      <c r="AC90" s="22">
        <f>BMS!B296</f>
        <v>0</v>
      </c>
      <c r="AD90" s="23">
        <f>BMS!C296</f>
        <v>0</v>
      </c>
      <c r="AE90" s="23">
        <f>BMS!D296</f>
        <v>0</v>
      </c>
      <c r="AF90" s="23">
        <f>BMS!E296</f>
        <v>0</v>
      </c>
      <c r="AG90" s="23">
        <f>BMS!F296</f>
        <v>0</v>
      </c>
      <c r="AH90" s="23">
        <f>BMS!G296</f>
        <v>0</v>
      </c>
      <c r="AI90" s="24">
        <f t="shared" si="12"/>
        <v>0</v>
      </c>
      <c r="AJ90" s="18" t="e">
        <f t="shared" si="9"/>
        <v>#DIV/0!</v>
      </c>
      <c r="AK90" s="18" t="e">
        <f t="shared" si="10"/>
        <v>#DIV/0!</v>
      </c>
      <c r="AL90" s="20"/>
      <c r="AM90" s="44"/>
      <c r="AN90" s="56"/>
      <c r="AO90" s="57"/>
      <c r="AP90" s="44"/>
      <c r="AQ90" s="56"/>
      <c r="AR90" s="57"/>
    </row>
    <row r="91" spans="1:44" x14ac:dyDescent="0.2">
      <c r="A91" s="35" t="s">
        <v>54</v>
      </c>
      <c r="B91" s="35" t="s">
        <v>64</v>
      </c>
      <c r="C91" s="35">
        <v>22</v>
      </c>
      <c r="D91" s="12">
        <f>TM!B297</f>
        <v>0</v>
      </c>
      <c r="E91" s="13">
        <f>TM!C297</f>
        <v>0</v>
      </c>
      <c r="F91" s="13">
        <f>TM!D297</f>
        <v>0</v>
      </c>
      <c r="G91" s="13">
        <f>TM!E297</f>
        <v>0</v>
      </c>
      <c r="H91" s="13">
        <f>TM!F297</f>
        <v>0</v>
      </c>
      <c r="I91" s="13">
        <f>TM!G297</f>
        <v>0</v>
      </c>
      <c r="J91" s="14">
        <f t="shared" si="6"/>
        <v>0</v>
      </c>
      <c r="L91" s="12">
        <f>Test!B297</f>
        <v>0</v>
      </c>
      <c r="M91" s="13">
        <f>Test!C297</f>
        <v>0</v>
      </c>
      <c r="N91" s="13">
        <f>Test!D297</f>
        <v>0</v>
      </c>
      <c r="O91" s="13">
        <f>Test!E297</f>
        <v>0</v>
      </c>
      <c r="P91" s="13">
        <f>Test!F297</f>
        <v>0</v>
      </c>
      <c r="Q91" s="13">
        <f>Test!G297</f>
        <v>0</v>
      </c>
      <c r="R91" s="14">
        <f t="shared" si="11"/>
        <v>0</v>
      </c>
      <c r="S91" s="13" t="e">
        <f t="shared" si="13"/>
        <v>#DIV/0!</v>
      </c>
      <c r="T91" s="13" t="e">
        <f t="shared" si="13"/>
        <v>#DIV/0!</v>
      </c>
      <c r="U91" s="59"/>
      <c r="V91" s="42" t="e">
        <f>bdrate($D91:$D94,E91:E94,$L91:$L94,M91:M94)</f>
        <v>#VALUE!</v>
      </c>
      <c r="W91" s="47" t="e">
        <f>bdrate($D91:$D94,F91:F94,$L91:$L94,N91:N94)</f>
        <v>#VALUE!</v>
      </c>
      <c r="X91" s="48" t="e">
        <f>bdrate($D91:$D94,G91:G94,$L91:$L94,O91:O94)</f>
        <v>#VALUE!</v>
      </c>
      <c r="Y91" s="42" t="e">
        <f>bdrateOld($D91:$D94,E91:E94,$L91:$L94,M91:M94)</f>
        <v>#VALUE!</v>
      </c>
      <c r="Z91" s="47" t="e">
        <f>bdrateOld($D91:$D94,F91:F94,$L91:$L94,N91:N94)</f>
        <v>#VALUE!</v>
      </c>
      <c r="AA91" s="48" t="e">
        <f>bdrateOld($D91:$D94,G91:G94,$L91:$L94,O91:O94)</f>
        <v>#VALUE!</v>
      </c>
      <c r="AB91" s="54"/>
      <c r="AC91" s="12">
        <f>BMS!B297</f>
        <v>0</v>
      </c>
      <c r="AD91" s="13">
        <f>BMS!C297</f>
        <v>0</v>
      </c>
      <c r="AE91" s="13">
        <f>BMS!D297</f>
        <v>0</v>
      </c>
      <c r="AF91" s="13">
        <f>BMS!E297</f>
        <v>0</v>
      </c>
      <c r="AG91" s="13">
        <f>BMS!F297</f>
        <v>0</v>
      </c>
      <c r="AH91" s="13">
        <f>BMS!G297</f>
        <v>0</v>
      </c>
      <c r="AI91" s="14">
        <f t="shared" si="12"/>
        <v>0</v>
      </c>
      <c r="AJ91" s="13" t="e">
        <f t="shared" si="9"/>
        <v>#DIV/0!</v>
      </c>
      <c r="AK91" s="13" t="e">
        <f t="shared" si="10"/>
        <v>#DIV/0!</v>
      </c>
      <c r="AL91" s="54"/>
      <c r="AM91" s="42" t="e">
        <f>bdrate($AC91:$AC94,AD91:AD94,$L91:$L94, M91:M94)</f>
        <v>#VALUE!</v>
      </c>
      <c r="AN91" s="47" t="e">
        <f>bdrate($AC91:$AC94,AE91:AE94,$L91:$L94, N91:N94)</f>
        <v>#VALUE!</v>
      </c>
      <c r="AO91" s="48" t="e">
        <f>bdrate($AC91:$AC94,AF91:AF94,$L91:$L94, O91:O94)</f>
        <v>#VALUE!</v>
      </c>
      <c r="AP91" s="42" t="e">
        <f>bdrateOld($AC91:$AC94,AD91:AD94,$L91:$L94, M91:M94)</f>
        <v>#VALUE!</v>
      </c>
      <c r="AQ91" s="47" t="e">
        <f>bdrateOld($AC91:$AC94,AE91:AE94,$L91:$L94, N91:N94)</f>
        <v>#VALUE!</v>
      </c>
      <c r="AR91" s="48" t="e">
        <f>bdrateOld($AC91:$AC94,AF91:AF94,$L91:$L94, O91:O94)</f>
        <v>#VALUE!</v>
      </c>
    </row>
    <row r="92" spans="1:44" x14ac:dyDescent="0.2">
      <c r="A92" s="36"/>
      <c r="B92" s="36"/>
      <c r="C92" s="36">
        <v>27</v>
      </c>
      <c r="D92" s="17">
        <f>TM!B298</f>
        <v>0</v>
      </c>
      <c r="E92" s="18">
        <f>TM!C298</f>
        <v>0</v>
      </c>
      <c r="F92" s="18">
        <f>TM!D298</f>
        <v>0</v>
      </c>
      <c r="G92" s="18">
        <f>TM!E298</f>
        <v>0</v>
      </c>
      <c r="H92" s="18">
        <f>TM!F298</f>
        <v>0</v>
      </c>
      <c r="I92" s="18">
        <f>TM!G298</f>
        <v>0</v>
      </c>
      <c r="J92" s="19">
        <f t="shared" ref="J92:J106" si="14">H92/3600</f>
        <v>0</v>
      </c>
      <c r="L92" s="17">
        <f>Test!B298</f>
        <v>0</v>
      </c>
      <c r="M92" s="18">
        <f>Test!C298</f>
        <v>0</v>
      </c>
      <c r="N92" s="18">
        <f>Test!D298</f>
        <v>0</v>
      </c>
      <c r="O92" s="18">
        <f>Test!E298</f>
        <v>0</v>
      </c>
      <c r="P92" s="18">
        <f>Test!F298</f>
        <v>0</v>
      </c>
      <c r="Q92" s="18">
        <f>Test!G298</f>
        <v>0</v>
      </c>
      <c r="R92" s="19">
        <f t="shared" si="11"/>
        <v>0</v>
      </c>
      <c r="S92" s="18" t="e">
        <f t="shared" si="13"/>
        <v>#DIV/0!</v>
      </c>
      <c r="T92" s="18" t="e">
        <f t="shared" si="13"/>
        <v>#DIV/0!</v>
      </c>
      <c r="U92" s="60"/>
      <c r="V92" s="43"/>
      <c r="W92" s="26"/>
      <c r="X92" s="55"/>
      <c r="Y92" s="43"/>
      <c r="Z92" s="26"/>
      <c r="AA92" s="55"/>
      <c r="AB92" s="20"/>
      <c r="AC92" s="17">
        <f>BMS!B298</f>
        <v>0</v>
      </c>
      <c r="AD92" s="18">
        <f>BMS!C298</f>
        <v>0</v>
      </c>
      <c r="AE92" s="18">
        <f>BMS!D298</f>
        <v>0</v>
      </c>
      <c r="AF92" s="18">
        <f>BMS!E298</f>
        <v>0</v>
      </c>
      <c r="AG92" s="18">
        <f>BMS!F298</f>
        <v>0</v>
      </c>
      <c r="AH92" s="18">
        <f>BMS!G298</f>
        <v>0</v>
      </c>
      <c r="AI92" s="19">
        <f t="shared" si="12"/>
        <v>0</v>
      </c>
      <c r="AJ92" s="18" t="e">
        <f t="shared" si="9"/>
        <v>#DIV/0!</v>
      </c>
      <c r="AK92" s="18" t="e">
        <f t="shared" si="10"/>
        <v>#DIV/0!</v>
      </c>
      <c r="AL92" s="20"/>
      <c r="AM92" s="43"/>
      <c r="AN92" s="26"/>
      <c r="AO92" s="55"/>
      <c r="AP92" s="43"/>
      <c r="AQ92" s="26"/>
      <c r="AR92" s="55"/>
    </row>
    <row r="93" spans="1:44" x14ac:dyDescent="0.2">
      <c r="A93" s="36"/>
      <c r="B93" s="36"/>
      <c r="C93" s="36">
        <v>32</v>
      </c>
      <c r="D93" s="17">
        <f>TM!B299</f>
        <v>0</v>
      </c>
      <c r="E93" s="18">
        <f>TM!C299</f>
        <v>0</v>
      </c>
      <c r="F93" s="18">
        <f>TM!D299</f>
        <v>0</v>
      </c>
      <c r="G93" s="18">
        <f>TM!E299</f>
        <v>0</v>
      </c>
      <c r="H93" s="18">
        <f>TM!F299</f>
        <v>0</v>
      </c>
      <c r="I93" s="18">
        <f>TM!G299</f>
        <v>0</v>
      </c>
      <c r="J93" s="19">
        <f t="shared" si="14"/>
        <v>0</v>
      </c>
      <c r="L93" s="17">
        <f>Test!B299</f>
        <v>0</v>
      </c>
      <c r="M93" s="18">
        <f>Test!C299</f>
        <v>0</v>
      </c>
      <c r="N93" s="18">
        <f>Test!D299</f>
        <v>0</v>
      </c>
      <c r="O93" s="18">
        <f>Test!E299</f>
        <v>0</v>
      </c>
      <c r="P93" s="18">
        <f>Test!F299</f>
        <v>0</v>
      </c>
      <c r="Q93" s="18">
        <f>Test!G299</f>
        <v>0</v>
      </c>
      <c r="R93" s="19">
        <f t="shared" si="11"/>
        <v>0</v>
      </c>
      <c r="S93" s="18" t="e">
        <f t="shared" si="13"/>
        <v>#DIV/0!</v>
      </c>
      <c r="T93" s="18" t="e">
        <f t="shared" si="13"/>
        <v>#DIV/0!</v>
      </c>
      <c r="U93" s="60"/>
      <c r="V93" s="43"/>
      <c r="W93" s="26"/>
      <c r="X93" s="55"/>
      <c r="Y93" s="43"/>
      <c r="Z93" s="26"/>
      <c r="AA93" s="55"/>
      <c r="AB93" s="20"/>
      <c r="AC93" s="17">
        <f>BMS!B299</f>
        <v>0</v>
      </c>
      <c r="AD93" s="18">
        <f>BMS!C299</f>
        <v>0</v>
      </c>
      <c r="AE93" s="18">
        <f>BMS!D299</f>
        <v>0</v>
      </c>
      <c r="AF93" s="18">
        <f>BMS!E299</f>
        <v>0</v>
      </c>
      <c r="AG93" s="18">
        <f>BMS!F299</f>
        <v>0</v>
      </c>
      <c r="AH93" s="18">
        <f>BMS!G299</f>
        <v>0</v>
      </c>
      <c r="AI93" s="19">
        <f t="shared" si="12"/>
        <v>0</v>
      </c>
      <c r="AJ93" s="18" t="e">
        <f t="shared" si="9"/>
        <v>#DIV/0!</v>
      </c>
      <c r="AK93" s="18" t="e">
        <f t="shared" si="10"/>
        <v>#DIV/0!</v>
      </c>
      <c r="AL93" s="20"/>
      <c r="AM93" s="43"/>
      <c r="AN93" s="26"/>
      <c r="AO93" s="55"/>
      <c r="AP93" s="43"/>
      <c r="AQ93" s="26"/>
      <c r="AR93" s="55"/>
    </row>
    <row r="94" spans="1:44" ht="12.75" thickBot="1" x14ac:dyDescent="0.25">
      <c r="A94" s="36"/>
      <c r="B94" s="37"/>
      <c r="C94" s="37">
        <v>37</v>
      </c>
      <c r="D94" s="22">
        <f>TM!B300</f>
        <v>0</v>
      </c>
      <c r="E94" s="23">
        <f>TM!C300</f>
        <v>0</v>
      </c>
      <c r="F94" s="23">
        <f>TM!D300</f>
        <v>0</v>
      </c>
      <c r="G94" s="23">
        <f>TM!E300</f>
        <v>0</v>
      </c>
      <c r="H94" s="23">
        <f>TM!F300</f>
        <v>0</v>
      </c>
      <c r="I94" s="23">
        <f>TM!G300</f>
        <v>0</v>
      </c>
      <c r="J94" s="24">
        <f t="shared" si="14"/>
        <v>0</v>
      </c>
      <c r="L94" s="22">
        <f>Test!B300</f>
        <v>0</v>
      </c>
      <c r="M94" s="23">
        <f>Test!C300</f>
        <v>0</v>
      </c>
      <c r="N94" s="23">
        <f>Test!D300</f>
        <v>0</v>
      </c>
      <c r="O94" s="23">
        <f>Test!E300</f>
        <v>0</v>
      </c>
      <c r="P94" s="23">
        <f>Test!F300</f>
        <v>0</v>
      </c>
      <c r="Q94" s="23">
        <f>Test!G300</f>
        <v>0</v>
      </c>
      <c r="R94" s="24">
        <f t="shared" si="11"/>
        <v>0</v>
      </c>
      <c r="S94" s="18" t="e">
        <f t="shared" si="13"/>
        <v>#DIV/0!</v>
      </c>
      <c r="T94" s="18" t="e">
        <f t="shared" si="13"/>
        <v>#DIV/0!</v>
      </c>
      <c r="U94" s="60"/>
      <c r="V94" s="44"/>
      <c r="W94" s="56"/>
      <c r="X94" s="57"/>
      <c r="Y94" s="44"/>
      <c r="Z94" s="56"/>
      <c r="AA94" s="57"/>
      <c r="AB94" s="20"/>
      <c r="AC94" s="22">
        <f>BMS!B300</f>
        <v>0</v>
      </c>
      <c r="AD94" s="23">
        <f>BMS!C300</f>
        <v>0</v>
      </c>
      <c r="AE94" s="23">
        <f>BMS!D300</f>
        <v>0</v>
      </c>
      <c r="AF94" s="23">
        <f>BMS!E300</f>
        <v>0</v>
      </c>
      <c r="AG94" s="23">
        <f>BMS!F300</f>
        <v>0</v>
      </c>
      <c r="AH94" s="23">
        <f>BMS!G300</f>
        <v>0</v>
      </c>
      <c r="AI94" s="24">
        <f t="shared" si="12"/>
        <v>0</v>
      </c>
      <c r="AJ94" s="18" t="e">
        <f t="shared" si="9"/>
        <v>#DIV/0!</v>
      </c>
      <c r="AK94" s="18" t="e">
        <f t="shared" si="10"/>
        <v>#DIV/0!</v>
      </c>
      <c r="AL94" s="20"/>
      <c r="AM94" s="44"/>
      <c r="AN94" s="56"/>
      <c r="AO94" s="57"/>
      <c r="AP94" s="44"/>
      <c r="AQ94" s="56"/>
      <c r="AR94" s="57"/>
    </row>
    <row r="95" spans="1:44" x14ac:dyDescent="0.2">
      <c r="A95" s="36"/>
      <c r="B95" s="35" t="s">
        <v>65</v>
      </c>
      <c r="C95" s="35">
        <v>22</v>
      </c>
      <c r="D95" s="12">
        <f>TM!B301</f>
        <v>0</v>
      </c>
      <c r="E95" s="13">
        <f>TM!C301</f>
        <v>0</v>
      </c>
      <c r="F95" s="13">
        <f>TM!D301</f>
        <v>0</v>
      </c>
      <c r="G95" s="13">
        <f>TM!E301</f>
        <v>0</v>
      </c>
      <c r="H95" s="13">
        <f>TM!F301</f>
        <v>0</v>
      </c>
      <c r="I95" s="13">
        <f>TM!G301</f>
        <v>0</v>
      </c>
      <c r="J95" s="14">
        <f t="shared" si="14"/>
        <v>0</v>
      </c>
      <c r="L95" s="12">
        <f>Test!B301</f>
        <v>0</v>
      </c>
      <c r="M95" s="13">
        <f>Test!C301</f>
        <v>0</v>
      </c>
      <c r="N95" s="13">
        <f>Test!D301</f>
        <v>0</v>
      </c>
      <c r="O95" s="13">
        <f>Test!E301</f>
        <v>0</v>
      </c>
      <c r="P95" s="13">
        <f>Test!F301</f>
        <v>0</v>
      </c>
      <c r="Q95" s="13">
        <f>Test!G301</f>
        <v>0</v>
      </c>
      <c r="R95" s="14">
        <f t="shared" si="11"/>
        <v>0</v>
      </c>
      <c r="S95" s="18" t="e">
        <f t="shared" si="13"/>
        <v>#DIV/0!</v>
      </c>
      <c r="T95" s="18" t="e">
        <f t="shared" si="13"/>
        <v>#DIV/0!</v>
      </c>
      <c r="U95" s="60"/>
      <c r="V95" s="42" t="e">
        <f>bdrate($D95:$D98,E95:E98,$L95:$L98,M95:M98)</f>
        <v>#VALUE!</v>
      </c>
      <c r="W95" s="47" t="e">
        <f>bdrate($D95:$D98,F95:F98,$L95:$L98,N95:N98)</f>
        <v>#VALUE!</v>
      </c>
      <c r="X95" s="47" t="e">
        <f>bdrate($D95:$D98,G95:G98,$L95:$L98,O95:O98)</f>
        <v>#VALUE!</v>
      </c>
      <c r="Y95" s="45" t="e">
        <f>bdrateOld($D95:$D98,E95:E98,$L95:$L98,M95:M98)</f>
        <v>#VALUE!</v>
      </c>
      <c r="Z95" s="49" t="e">
        <f>bdrateOld($D95:$D98,F95:F98,$L95:$L98,N95:N98)</f>
        <v>#VALUE!</v>
      </c>
      <c r="AA95" s="50" t="e">
        <f>bdrateOld($D95:$D98,G95:G98,$L95:$L98,O95:O98)</f>
        <v>#VALUE!</v>
      </c>
      <c r="AB95" s="20"/>
      <c r="AC95" s="12">
        <f>BMS!B301</f>
        <v>0</v>
      </c>
      <c r="AD95" s="13">
        <f>BMS!C301</f>
        <v>0</v>
      </c>
      <c r="AE95" s="13">
        <f>BMS!D301</f>
        <v>0</v>
      </c>
      <c r="AF95" s="13">
        <f>BMS!E301</f>
        <v>0</v>
      </c>
      <c r="AG95" s="13">
        <f>BMS!F301</f>
        <v>0</v>
      </c>
      <c r="AH95" s="13">
        <f>BMS!G301</f>
        <v>0</v>
      </c>
      <c r="AI95" s="14">
        <f t="shared" si="12"/>
        <v>0</v>
      </c>
      <c r="AJ95" s="18" t="e">
        <f t="shared" si="9"/>
        <v>#DIV/0!</v>
      </c>
      <c r="AK95" s="18" t="e">
        <f t="shared" si="10"/>
        <v>#DIV/0!</v>
      </c>
      <c r="AL95" s="20"/>
      <c r="AM95" s="42" t="e">
        <f>bdrate($AC95:$AC98,AD95:AD98,$L95:$L98, M95:M98)</f>
        <v>#VALUE!</v>
      </c>
      <c r="AN95" s="47" t="e">
        <f>bdrate($AC95:$AC98,AE95:AE98,$L95:$L98, N95:N98)</f>
        <v>#VALUE!</v>
      </c>
      <c r="AO95" s="48" t="e">
        <f>bdrate($AC95:$AC98,AF95:AF98,$L95:$L98, O95:O98)</f>
        <v>#VALUE!</v>
      </c>
      <c r="AP95" s="42" t="e">
        <f>bdrateOld($AC95:$AC98,AD95:AD98,$L95:$L98, M95:M98)</f>
        <v>#VALUE!</v>
      </c>
      <c r="AQ95" s="47" t="e">
        <f>bdrateOld($AC95:$AC98,AE95:AE98,$L95:$L98, N95:N98)</f>
        <v>#VALUE!</v>
      </c>
      <c r="AR95" s="48" t="e">
        <f>bdrateOld($AC95:$AC98,AF95:AF98,$L95:$L98, O95:O98)</f>
        <v>#VALUE!</v>
      </c>
    </row>
    <row r="96" spans="1:44" x14ac:dyDescent="0.2">
      <c r="A96" s="36"/>
      <c r="B96" s="36"/>
      <c r="C96" s="36">
        <v>27</v>
      </c>
      <c r="D96" s="17">
        <f>TM!B302</f>
        <v>0</v>
      </c>
      <c r="E96" s="18">
        <f>TM!C302</f>
        <v>0</v>
      </c>
      <c r="F96" s="18">
        <f>TM!D302</f>
        <v>0</v>
      </c>
      <c r="G96" s="18">
        <f>TM!E302</f>
        <v>0</v>
      </c>
      <c r="H96" s="18">
        <f>TM!F302</f>
        <v>0</v>
      </c>
      <c r="I96" s="18">
        <f>TM!G302</f>
        <v>0</v>
      </c>
      <c r="J96" s="19">
        <f t="shared" si="14"/>
        <v>0</v>
      </c>
      <c r="L96" s="17">
        <f>Test!B302</f>
        <v>0</v>
      </c>
      <c r="M96" s="18">
        <f>Test!C302</f>
        <v>0</v>
      </c>
      <c r="N96" s="18">
        <f>Test!D302</f>
        <v>0</v>
      </c>
      <c r="O96" s="18">
        <f>Test!E302</f>
        <v>0</v>
      </c>
      <c r="P96" s="18">
        <f>Test!F302</f>
        <v>0</v>
      </c>
      <c r="Q96" s="18">
        <f>Test!G302</f>
        <v>0</v>
      </c>
      <c r="R96" s="19">
        <f t="shared" si="11"/>
        <v>0</v>
      </c>
      <c r="S96" s="18" t="e">
        <f t="shared" si="13"/>
        <v>#DIV/0!</v>
      </c>
      <c r="T96" s="18" t="e">
        <f t="shared" si="13"/>
        <v>#DIV/0!</v>
      </c>
      <c r="U96" s="60"/>
      <c r="V96" s="43"/>
      <c r="W96" s="26"/>
      <c r="X96" s="26"/>
      <c r="Y96" s="43"/>
      <c r="Z96" s="26"/>
      <c r="AA96" s="55"/>
      <c r="AB96" s="20"/>
      <c r="AC96" s="17">
        <f>BMS!B302</f>
        <v>0</v>
      </c>
      <c r="AD96" s="18">
        <f>BMS!C302</f>
        <v>0</v>
      </c>
      <c r="AE96" s="18">
        <f>BMS!D302</f>
        <v>0</v>
      </c>
      <c r="AF96" s="18">
        <f>BMS!E302</f>
        <v>0</v>
      </c>
      <c r="AG96" s="18">
        <f>BMS!F302</f>
        <v>0</v>
      </c>
      <c r="AH96" s="18">
        <f>BMS!G302</f>
        <v>0</v>
      </c>
      <c r="AI96" s="19">
        <f t="shared" si="12"/>
        <v>0</v>
      </c>
      <c r="AJ96" s="18" t="e">
        <f t="shared" si="9"/>
        <v>#DIV/0!</v>
      </c>
      <c r="AK96" s="18" t="e">
        <f t="shared" si="10"/>
        <v>#DIV/0!</v>
      </c>
      <c r="AL96" s="20"/>
      <c r="AM96" s="43"/>
      <c r="AN96" s="26"/>
      <c r="AO96" s="55"/>
      <c r="AP96" s="43"/>
      <c r="AQ96" s="26"/>
      <c r="AR96" s="55"/>
    </row>
    <row r="97" spans="1:44" x14ac:dyDescent="0.2">
      <c r="A97" s="36"/>
      <c r="B97" s="36"/>
      <c r="C97" s="36">
        <v>32</v>
      </c>
      <c r="D97" s="17">
        <f>TM!B303</f>
        <v>0</v>
      </c>
      <c r="E97" s="18">
        <f>TM!C303</f>
        <v>0</v>
      </c>
      <c r="F97" s="18">
        <f>TM!D303</f>
        <v>0</v>
      </c>
      <c r="G97" s="18">
        <f>TM!E303</f>
        <v>0</v>
      </c>
      <c r="H97" s="18">
        <f>TM!F303</f>
        <v>0</v>
      </c>
      <c r="I97" s="18">
        <f>TM!G303</f>
        <v>0</v>
      </c>
      <c r="J97" s="19">
        <f t="shared" si="14"/>
        <v>0</v>
      </c>
      <c r="L97" s="17">
        <f>Test!B303</f>
        <v>0</v>
      </c>
      <c r="M97" s="18">
        <f>Test!C303</f>
        <v>0</v>
      </c>
      <c r="N97" s="18">
        <f>Test!D303</f>
        <v>0</v>
      </c>
      <c r="O97" s="18">
        <f>Test!E303</f>
        <v>0</v>
      </c>
      <c r="P97" s="18">
        <f>Test!F303</f>
        <v>0</v>
      </c>
      <c r="Q97" s="18">
        <f>Test!G303</f>
        <v>0</v>
      </c>
      <c r="R97" s="19">
        <f t="shared" si="11"/>
        <v>0</v>
      </c>
      <c r="S97" s="18" t="e">
        <f t="shared" si="13"/>
        <v>#DIV/0!</v>
      </c>
      <c r="T97" s="18" t="e">
        <f t="shared" si="13"/>
        <v>#DIV/0!</v>
      </c>
      <c r="U97" s="60"/>
      <c r="V97" s="43"/>
      <c r="W97" s="26"/>
      <c r="X97" s="26"/>
      <c r="Y97" s="43"/>
      <c r="Z97" s="26"/>
      <c r="AA97" s="55"/>
      <c r="AB97" s="20"/>
      <c r="AC97" s="17">
        <f>BMS!B303</f>
        <v>0</v>
      </c>
      <c r="AD97" s="18">
        <f>BMS!C303</f>
        <v>0</v>
      </c>
      <c r="AE97" s="18">
        <f>BMS!D303</f>
        <v>0</v>
      </c>
      <c r="AF97" s="18">
        <f>BMS!E303</f>
        <v>0</v>
      </c>
      <c r="AG97" s="18">
        <f>BMS!F303</f>
        <v>0</v>
      </c>
      <c r="AH97" s="18">
        <f>BMS!G303</f>
        <v>0</v>
      </c>
      <c r="AI97" s="19">
        <f t="shared" si="12"/>
        <v>0</v>
      </c>
      <c r="AJ97" s="18" t="e">
        <f t="shared" si="9"/>
        <v>#DIV/0!</v>
      </c>
      <c r="AK97" s="18" t="e">
        <f t="shared" si="10"/>
        <v>#DIV/0!</v>
      </c>
      <c r="AL97" s="20"/>
      <c r="AM97" s="43"/>
      <c r="AN97" s="26"/>
      <c r="AO97" s="55"/>
      <c r="AP97" s="43"/>
      <c r="AQ97" s="26"/>
      <c r="AR97" s="55"/>
    </row>
    <row r="98" spans="1:44" ht="12.75" thickBot="1" x14ac:dyDescent="0.25">
      <c r="A98" s="36"/>
      <c r="B98" s="37"/>
      <c r="C98" s="37">
        <v>37</v>
      </c>
      <c r="D98" s="22">
        <f>TM!B304</f>
        <v>0</v>
      </c>
      <c r="E98" s="23">
        <f>TM!C304</f>
        <v>0</v>
      </c>
      <c r="F98" s="23">
        <f>TM!D304</f>
        <v>0</v>
      </c>
      <c r="G98" s="23">
        <f>TM!E304</f>
        <v>0</v>
      </c>
      <c r="H98" s="23">
        <f>TM!F304</f>
        <v>0</v>
      </c>
      <c r="I98" s="23">
        <f>TM!G304</f>
        <v>0</v>
      </c>
      <c r="J98" s="24">
        <f t="shared" si="14"/>
        <v>0</v>
      </c>
      <c r="L98" s="22">
        <f>Test!B304</f>
        <v>0</v>
      </c>
      <c r="M98" s="23">
        <f>Test!C304</f>
        <v>0</v>
      </c>
      <c r="N98" s="23">
        <f>Test!D304</f>
        <v>0</v>
      </c>
      <c r="O98" s="23">
        <f>Test!E304</f>
        <v>0</v>
      </c>
      <c r="P98" s="23">
        <f>Test!F304</f>
        <v>0</v>
      </c>
      <c r="Q98" s="23">
        <f>Test!G304</f>
        <v>0</v>
      </c>
      <c r="R98" s="24">
        <f t="shared" si="11"/>
        <v>0</v>
      </c>
      <c r="S98" s="18" t="e">
        <f t="shared" si="13"/>
        <v>#DIV/0!</v>
      </c>
      <c r="T98" s="18" t="e">
        <f t="shared" si="13"/>
        <v>#DIV/0!</v>
      </c>
      <c r="U98" s="60"/>
      <c r="V98" s="44"/>
      <c r="W98" s="56"/>
      <c r="X98" s="56"/>
      <c r="Y98" s="44"/>
      <c r="Z98" s="56"/>
      <c r="AA98" s="57"/>
      <c r="AB98" s="20"/>
      <c r="AC98" s="22">
        <f>BMS!B304</f>
        <v>0</v>
      </c>
      <c r="AD98" s="23">
        <f>BMS!C304</f>
        <v>0</v>
      </c>
      <c r="AE98" s="23">
        <f>BMS!D304</f>
        <v>0</v>
      </c>
      <c r="AF98" s="23">
        <f>BMS!E304</f>
        <v>0</v>
      </c>
      <c r="AG98" s="23">
        <f>BMS!F304</f>
        <v>0</v>
      </c>
      <c r="AH98" s="23">
        <f>BMS!G304</f>
        <v>0</v>
      </c>
      <c r="AI98" s="24">
        <f t="shared" si="12"/>
        <v>0</v>
      </c>
      <c r="AJ98" s="18" t="e">
        <f t="shared" si="9"/>
        <v>#DIV/0!</v>
      </c>
      <c r="AK98" s="18" t="e">
        <f t="shared" si="10"/>
        <v>#DIV/0!</v>
      </c>
      <c r="AL98" s="20"/>
      <c r="AM98" s="44"/>
      <c r="AN98" s="56"/>
      <c r="AO98" s="57"/>
      <c r="AP98" s="44"/>
      <c r="AQ98" s="56"/>
      <c r="AR98" s="57"/>
    </row>
    <row r="99" spans="1:44" x14ac:dyDescent="0.2">
      <c r="A99" s="36"/>
      <c r="B99" s="35" t="s">
        <v>66</v>
      </c>
      <c r="C99" s="35">
        <v>22</v>
      </c>
      <c r="D99" s="12">
        <f>TM!B305</f>
        <v>0</v>
      </c>
      <c r="E99" s="13">
        <f>TM!C305</f>
        <v>0</v>
      </c>
      <c r="F99" s="13">
        <f>TM!D305</f>
        <v>0</v>
      </c>
      <c r="G99" s="13">
        <f>TM!E305</f>
        <v>0</v>
      </c>
      <c r="H99" s="13">
        <f>TM!F305</f>
        <v>0</v>
      </c>
      <c r="I99" s="13">
        <f>TM!G305</f>
        <v>0</v>
      </c>
      <c r="J99" s="14">
        <f t="shared" si="14"/>
        <v>0</v>
      </c>
      <c r="L99" s="12">
        <f>Test!B305</f>
        <v>0</v>
      </c>
      <c r="M99" s="13">
        <f>Test!C305</f>
        <v>0</v>
      </c>
      <c r="N99" s="13">
        <f>Test!D305</f>
        <v>0</v>
      </c>
      <c r="O99" s="13">
        <f>Test!E305</f>
        <v>0</v>
      </c>
      <c r="P99" s="13">
        <f>Test!F305</f>
        <v>0</v>
      </c>
      <c r="Q99" s="13">
        <f>Test!G305</f>
        <v>0</v>
      </c>
      <c r="R99" s="14">
        <f t="shared" si="11"/>
        <v>0</v>
      </c>
      <c r="S99" s="18" t="e">
        <f t="shared" si="13"/>
        <v>#DIV/0!</v>
      </c>
      <c r="T99" s="18" t="e">
        <f t="shared" si="13"/>
        <v>#DIV/0!</v>
      </c>
      <c r="U99" s="60"/>
      <c r="V99" s="42" t="e">
        <f>bdrate($D99:$D102,E99:E102,$L99:$L102,M99:M102)</f>
        <v>#VALUE!</v>
      </c>
      <c r="W99" s="47" t="e">
        <f>bdrate($D99:$D102,F99:F102,$L99:$L102,N99:N102)</f>
        <v>#VALUE!</v>
      </c>
      <c r="X99" s="47" t="e">
        <f>bdrate($D99:$D102,G99:G102,$L99:$L102,O99:O102)</f>
        <v>#VALUE!</v>
      </c>
      <c r="Y99" s="45" t="e">
        <f>bdrateOld($D99:$D102,E99:E102,$L99:$L102,M99:M102)</f>
        <v>#VALUE!</v>
      </c>
      <c r="Z99" s="49" t="e">
        <f>bdrateOld($D99:$D102,F99:F102,$L99:$L102,N99:N102)</f>
        <v>#VALUE!</v>
      </c>
      <c r="AA99" s="50" t="e">
        <f>bdrateOld($D99:$D102,G99:G102,$L99:$L102,O99:O102)</f>
        <v>#VALUE!</v>
      </c>
      <c r="AB99" s="20"/>
      <c r="AC99" s="12">
        <f>BMS!B305</f>
        <v>0</v>
      </c>
      <c r="AD99" s="13">
        <f>BMS!C305</f>
        <v>0</v>
      </c>
      <c r="AE99" s="13">
        <f>BMS!D305</f>
        <v>0</v>
      </c>
      <c r="AF99" s="13">
        <f>BMS!E305</f>
        <v>0</v>
      </c>
      <c r="AG99" s="13">
        <f>BMS!F305</f>
        <v>0</v>
      </c>
      <c r="AH99" s="13">
        <f>BMS!G305</f>
        <v>0</v>
      </c>
      <c r="AI99" s="14">
        <f t="shared" si="12"/>
        <v>0</v>
      </c>
      <c r="AJ99" s="18" t="e">
        <f t="shared" si="9"/>
        <v>#DIV/0!</v>
      </c>
      <c r="AK99" s="18" t="e">
        <f t="shared" si="10"/>
        <v>#DIV/0!</v>
      </c>
      <c r="AL99" s="20"/>
      <c r="AM99" s="42" t="e">
        <f>bdrate($AC99:$AC102,AD99:AD102,$L99:$L102, M99:M102)</f>
        <v>#VALUE!</v>
      </c>
      <c r="AN99" s="47" t="e">
        <f>bdrate($AC99:$AC102,AE99:AE102,$L99:$L102, N99:N102)</f>
        <v>#VALUE!</v>
      </c>
      <c r="AO99" s="48" t="e">
        <f>bdrate($AC99:$AC102,AF99:AF102,$L99:$L102, O99:O102)</f>
        <v>#VALUE!</v>
      </c>
      <c r="AP99" s="42" t="e">
        <f>bdrateOld($AC99:$AC102,AD99:AD102,$L99:$L102, M99:M102)</f>
        <v>#VALUE!</v>
      </c>
      <c r="AQ99" s="47" t="e">
        <f>bdrateOld($AC99:$AC102,AE99:AE102,$L99:$L102, N99:N102)</f>
        <v>#VALUE!</v>
      </c>
      <c r="AR99" s="48" t="e">
        <f>bdrateOld($AC99:$AC102,AF99:AF102,$L99:$L102, O99:O102)</f>
        <v>#VALUE!</v>
      </c>
    </row>
    <row r="100" spans="1:44" x14ac:dyDescent="0.2">
      <c r="A100" s="36"/>
      <c r="B100" s="36"/>
      <c r="C100" s="36">
        <v>27</v>
      </c>
      <c r="D100" s="17">
        <f>TM!B306</f>
        <v>0</v>
      </c>
      <c r="E100" s="18">
        <f>TM!C306</f>
        <v>0</v>
      </c>
      <c r="F100" s="18">
        <f>TM!D306</f>
        <v>0</v>
      </c>
      <c r="G100" s="18">
        <f>TM!E306</f>
        <v>0</v>
      </c>
      <c r="H100" s="18">
        <f>TM!F306</f>
        <v>0</v>
      </c>
      <c r="I100" s="18">
        <f>TM!G306</f>
        <v>0</v>
      </c>
      <c r="J100" s="19">
        <f t="shared" si="14"/>
        <v>0</v>
      </c>
      <c r="L100" s="17">
        <f>Test!B306</f>
        <v>0</v>
      </c>
      <c r="M100" s="18">
        <f>Test!C306</f>
        <v>0</v>
      </c>
      <c r="N100" s="18">
        <f>Test!D306</f>
        <v>0</v>
      </c>
      <c r="O100" s="18">
        <f>Test!E306</f>
        <v>0</v>
      </c>
      <c r="P100" s="18">
        <f>Test!F306</f>
        <v>0</v>
      </c>
      <c r="Q100" s="18">
        <f>Test!G306</f>
        <v>0</v>
      </c>
      <c r="R100" s="19">
        <f t="shared" si="11"/>
        <v>0</v>
      </c>
      <c r="S100" s="18" t="e">
        <f t="shared" si="13"/>
        <v>#DIV/0!</v>
      </c>
      <c r="T100" s="18" t="e">
        <f t="shared" si="13"/>
        <v>#DIV/0!</v>
      </c>
      <c r="U100" s="60"/>
      <c r="V100" s="43"/>
      <c r="W100" s="26"/>
      <c r="X100" s="26"/>
      <c r="Y100" s="43"/>
      <c r="Z100" s="26"/>
      <c r="AA100" s="55"/>
      <c r="AB100" s="20"/>
      <c r="AC100" s="17">
        <f>BMS!B306</f>
        <v>0</v>
      </c>
      <c r="AD100" s="18">
        <f>BMS!C306</f>
        <v>0</v>
      </c>
      <c r="AE100" s="18">
        <f>BMS!D306</f>
        <v>0</v>
      </c>
      <c r="AF100" s="18">
        <f>BMS!E306</f>
        <v>0</v>
      </c>
      <c r="AG100" s="18">
        <f>BMS!F306</f>
        <v>0</v>
      </c>
      <c r="AH100" s="18">
        <f>BMS!G306</f>
        <v>0</v>
      </c>
      <c r="AI100" s="19">
        <f t="shared" si="12"/>
        <v>0</v>
      </c>
      <c r="AJ100" s="18" t="e">
        <f t="shared" si="9"/>
        <v>#DIV/0!</v>
      </c>
      <c r="AK100" s="18" t="e">
        <f t="shared" si="10"/>
        <v>#DIV/0!</v>
      </c>
      <c r="AL100" s="20"/>
      <c r="AM100" s="43"/>
      <c r="AN100" s="26"/>
      <c r="AO100" s="55"/>
      <c r="AP100" s="43"/>
      <c r="AQ100" s="26"/>
      <c r="AR100" s="55"/>
    </row>
    <row r="101" spans="1:44" x14ac:dyDescent="0.2">
      <c r="A101" s="36"/>
      <c r="B101" s="36"/>
      <c r="C101" s="36">
        <v>32</v>
      </c>
      <c r="D101" s="17">
        <f>TM!B307</f>
        <v>0</v>
      </c>
      <c r="E101" s="18">
        <f>TM!C307</f>
        <v>0</v>
      </c>
      <c r="F101" s="18">
        <f>TM!D307</f>
        <v>0</v>
      </c>
      <c r="G101" s="18">
        <f>TM!E307</f>
        <v>0</v>
      </c>
      <c r="H101" s="18">
        <f>TM!F307</f>
        <v>0</v>
      </c>
      <c r="I101" s="18">
        <f>TM!G307</f>
        <v>0</v>
      </c>
      <c r="J101" s="19">
        <f t="shared" si="14"/>
        <v>0</v>
      </c>
      <c r="L101" s="17">
        <f>Test!B307</f>
        <v>0</v>
      </c>
      <c r="M101" s="18">
        <f>Test!C307</f>
        <v>0</v>
      </c>
      <c r="N101" s="18">
        <f>Test!D307</f>
        <v>0</v>
      </c>
      <c r="O101" s="18">
        <f>Test!E307</f>
        <v>0</v>
      </c>
      <c r="P101" s="18">
        <f>Test!F307</f>
        <v>0</v>
      </c>
      <c r="Q101" s="18">
        <f>Test!G307</f>
        <v>0</v>
      </c>
      <c r="R101" s="19">
        <f t="shared" si="11"/>
        <v>0</v>
      </c>
      <c r="S101" s="18" t="e">
        <f t="shared" si="13"/>
        <v>#DIV/0!</v>
      </c>
      <c r="T101" s="18" t="e">
        <f t="shared" si="13"/>
        <v>#DIV/0!</v>
      </c>
      <c r="U101" s="60"/>
      <c r="V101" s="43"/>
      <c r="W101" s="26"/>
      <c r="X101" s="26"/>
      <c r="Y101" s="43"/>
      <c r="Z101" s="26"/>
      <c r="AA101" s="55"/>
      <c r="AB101" s="20"/>
      <c r="AC101" s="17">
        <f>BMS!B307</f>
        <v>0</v>
      </c>
      <c r="AD101" s="18">
        <f>BMS!C307</f>
        <v>0</v>
      </c>
      <c r="AE101" s="18">
        <f>BMS!D307</f>
        <v>0</v>
      </c>
      <c r="AF101" s="18">
        <f>BMS!E307</f>
        <v>0</v>
      </c>
      <c r="AG101" s="18">
        <f>BMS!F307</f>
        <v>0</v>
      </c>
      <c r="AH101" s="18">
        <f>BMS!G307</f>
        <v>0</v>
      </c>
      <c r="AI101" s="19">
        <f t="shared" si="12"/>
        <v>0</v>
      </c>
      <c r="AJ101" s="18" t="e">
        <f t="shared" si="9"/>
        <v>#DIV/0!</v>
      </c>
      <c r="AK101" s="18" t="e">
        <f t="shared" si="10"/>
        <v>#DIV/0!</v>
      </c>
      <c r="AL101" s="20"/>
      <c r="AM101" s="43"/>
      <c r="AN101" s="26"/>
      <c r="AO101" s="55"/>
      <c r="AP101" s="43"/>
      <c r="AQ101" s="26"/>
      <c r="AR101" s="55"/>
    </row>
    <row r="102" spans="1:44" ht="12.75" thickBot="1" x14ac:dyDescent="0.25">
      <c r="A102" s="36"/>
      <c r="B102" s="37"/>
      <c r="C102" s="37">
        <v>37</v>
      </c>
      <c r="D102" s="22">
        <f>TM!B308</f>
        <v>0</v>
      </c>
      <c r="E102" s="23">
        <f>TM!C308</f>
        <v>0</v>
      </c>
      <c r="F102" s="23">
        <f>TM!D308</f>
        <v>0</v>
      </c>
      <c r="G102" s="23">
        <f>TM!E308</f>
        <v>0</v>
      </c>
      <c r="H102" s="23">
        <f>TM!F308</f>
        <v>0</v>
      </c>
      <c r="I102" s="23">
        <f>TM!G308</f>
        <v>0</v>
      </c>
      <c r="J102" s="24">
        <f t="shared" si="14"/>
        <v>0</v>
      </c>
      <c r="L102" s="22">
        <f>Test!B308</f>
        <v>0</v>
      </c>
      <c r="M102" s="23">
        <f>Test!C308</f>
        <v>0</v>
      </c>
      <c r="N102" s="23">
        <f>Test!D308</f>
        <v>0</v>
      </c>
      <c r="O102" s="23">
        <f>Test!E308</f>
        <v>0</v>
      </c>
      <c r="P102" s="23">
        <f>Test!F308</f>
        <v>0</v>
      </c>
      <c r="Q102" s="23">
        <f>Test!G308</f>
        <v>0</v>
      </c>
      <c r="R102" s="24">
        <f t="shared" si="11"/>
        <v>0</v>
      </c>
      <c r="S102" s="18" t="e">
        <f t="shared" si="13"/>
        <v>#DIV/0!</v>
      </c>
      <c r="T102" s="18" t="e">
        <f t="shared" si="13"/>
        <v>#DIV/0!</v>
      </c>
      <c r="U102" s="60"/>
      <c r="V102" s="44"/>
      <c r="W102" s="56"/>
      <c r="X102" s="56"/>
      <c r="Y102" s="44"/>
      <c r="Z102" s="56"/>
      <c r="AA102" s="57"/>
      <c r="AB102" s="20"/>
      <c r="AC102" s="22">
        <f>BMS!B308</f>
        <v>0</v>
      </c>
      <c r="AD102" s="23">
        <f>BMS!C308</f>
        <v>0</v>
      </c>
      <c r="AE102" s="23">
        <f>BMS!D308</f>
        <v>0</v>
      </c>
      <c r="AF102" s="23">
        <f>BMS!E308</f>
        <v>0</v>
      </c>
      <c r="AG102" s="23">
        <f>BMS!F308</f>
        <v>0</v>
      </c>
      <c r="AH102" s="23">
        <f>BMS!G308</f>
        <v>0</v>
      </c>
      <c r="AI102" s="24">
        <f t="shared" si="12"/>
        <v>0</v>
      </c>
      <c r="AJ102" s="18" t="e">
        <f t="shared" si="9"/>
        <v>#DIV/0!</v>
      </c>
      <c r="AK102" s="18" t="e">
        <f t="shared" si="10"/>
        <v>#DIV/0!</v>
      </c>
      <c r="AL102" s="20"/>
      <c r="AM102" s="44"/>
      <c r="AN102" s="56"/>
      <c r="AO102" s="57"/>
      <c r="AP102" s="44"/>
      <c r="AQ102" s="56"/>
      <c r="AR102" s="57"/>
    </row>
    <row r="103" spans="1:44" x14ac:dyDescent="0.2">
      <c r="A103" s="36"/>
      <c r="B103" s="35" t="s">
        <v>67</v>
      </c>
      <c r="C103" s="35">
        <v>22</v>
      </c>
      <c r="D103" s="12">
        <f>TM!B309</f>
        <v>0</v>
      </c>
      <c r="E103" s="13">
        <f>TM!C309</f>
        <v>0</v>
      </c>
      <c r="F103" s="13">
        <f>TM!D309</f>
        <v>0</v>
      </c>
      <c r="G103" s="13">
        <f>TM!E309</f>
        <v>0</v>
      </c>
      <c r="H103" s="13">
        <f>TM!F309</f>
        <v>0</v>
      </c>
      <c r="I103" s="13">
        <f>TM!G309</f>
        <v>0</v>
      </c>
      <c r="J103" s="14">
        <f t="shared" si="14"/>
        <v>0</v>
      </c>
      <c r="L103" s="12">
        <f>Test!B309</f>
        <v>0</v>
      </c>
      <c r="M103" s="13">
        <f>Test!C309</f>
        <v>0</v>
      </c>
      <c r="N103" s="13">
        <f>Test!D309</f>
        <v>0</v>
      </c>
      <c r="O103" s="13">
        <f>Test!E309</f>
        <v>0</v>
      </c>
      <c r="P103" s="13">
        <f>Test!F309</f>
        <v>0</v>
      </c>
      <c r="Q103" s="13">
        <f>Test!G309</f>
        <v>0</v>
      </c>
      <c r="R103" s="14">
        <f t="shared" si="11"/>
        <v>0</v>
      </c>
      <c r="S103" s="18" t="e">
        <f t="shared" si="13"/>
        <v>#DIV/0!</v>
      </c>
      <c r="T103" s="18" t="e">
        <f t="shared" si="13"/>
        <v>#DIV/0!</v>
      </c>
      <c r="U103" s="60"/>
      <c r="V103" s="42" t="e">
        <f>bdrate($D103:$D106,E103:E106,$L103:$L106,M103:M106)</f>
        <v>#VALUE!</v>
      </c>
      <c r="W103" s="47" t="e">
        <f>bdrate($D103:$D106,F103:F106,$L103:$L106,N103:N106)</f>
        <v>#VALUE!</v>
      </c>
      <c r="X103" s="47" t="e">
        <f>bdrate($D103:$D106,G103:G106,$L103:$L106,O103:O106)</f>
        <v>#VALUE!</v>
      </c>
      <c r="Y103" s="45" t="e">
        <f>bdrateOld($D103:$D106,E103:E106,$L103:$L106,M103:M106)</f>
        <v>#VALUE!</v>
      </c>
      <c r="Z103" s="49" t="e">
        <f>bdrateOld($D103:$D106,F103:F106,$L103:$L106,N103:N106)</f>
        <v>#VALUE!</v>
      </c>
      <c r="AA103" s="50" t="e">
        <f>bdrateOld($D103:$D106,G103:G106,$L103:$L106,O103:O106)</f>
        <v>#VALUE!</v>
      </c>
      <c r="AB103" s="20"/>
      <c r="AC103" s="12">
        <f>BMS!B309</f>
        <v>0</v>
      </c>
      <c r="AD103" s="13">
        <f>BMS!C309</f>
        <v>0</v>
      </c>
      <c r="AE103" s="13">
        <f>BMS!D309</f>
        <v>0</v>
      </c>
      <c r="AF103" s="13">
        <f>BMS!E309</f>
        <v>0</v>
      </c>
      <c r="AG103" s="13">
        <f>BMS!F309</f>
        <v>0</v>
      </c>
      <c r="AH103" s="13">
        <f>BMS!G309</f>
        <v>0</v>
      </c>
      <c r="AI103" s="14">
        <f t="shared" si="12"/>
        <v>0</v>
      </c>
      <c r="AJ103" s="18" t="e">
        <f t="shared" si="9"/>
        <v>#DIV/0!</v>
      </c>
      <c r="AK103" s="18" t="e">
        <f t="shared" si="10"/>
        <v>#DIV/0!</v>
      </c>
      <c r="AL103" s="20"/>
      <c r="AM103" s="42" t="e">
        <f>bdrate($AC103:$AC106,AD103:AD106,$L103:$L106, M103:M106)</f>
        <v>#VALUE!</v>
      </c>
      <c r="AN103" s="47" t="e">
        <f>bdrate($AC103:$AC106,AE103:AE106,$L103:$L106, N103:N106)</f>
        <v>#VALUE!</v>
      </c>
      <c r="AO103" s="48" t="e">
        <f>bdrate($AC103:$AC106,AF103:AF106,$L103:$L106, O103:O106)</f>
        <v>#VALUE!</v>
      </c>
      <c r="AP103" s="42" t="e">
        <f>bdrateOld($AC103:$AC106,AD103:AD106,$L103:$L106, M103:M106)</f>
        <v>#VALUE!</v>
      </c>
      <c r="AQ103" s="47" t="e">
        <f>bdrateOld($AC103:$AC106,AE103:AE106,$L103:$L106, N103:N106)</f>
        <v>#VALUE!</v>
      </c>
      <c r="AR103" s="48" t="e">
        <f>bdrateOld($AC103:$AC106,AF103:AF106,$L103:$L106, O103:O106)</f>
        <v>#VALUE!</v>
      </c>
    </row>
    <row r="104" spans="1:44" x14ac:dyDescent="0.2">
      <c r="A104" s="36"/>
      <c r="B104" s="36"/>
      <c r="C104" s="36">
        <v>27</v>
      </c>
      <c r="D104" s="17">
        <f>TM!B310</f>
        <v>0</v>
      </c>
      <c r="E104" s="18">
        <f>TM!C310</f>
        <v>0</v>
      </c>
      <c r="F104" s="18">
        <f>TM!D310</f>
        <v>0</v>
      </c>
      <c r="G104" s="18">
        <f>TM!E310</f>
        <v>0</v>
      </c>
      <c r="H104" s="18">
        <f>TM!F310</f>
        <v>0</v>
      </c>
      <c r="I104" s="18">
        <f>TM!G310</f>
        <v>0</v>
      </c>
      <c r="J104" s="19">
        <f t="shared" si="14"/>
        <v>0</v>
      </c>
      <c r="L104" s="17">
        <f>Test!B310</f>
        <v>0</v>
      </c>
      <c r="M104" s="18">
        <f>Test!C310</f>
        <v>0</v>
      </c>
      <c r="N104" s="18">
        <f>Test!D310</f>
        <v>0</v>
      </c>
      <c r="O104" s="18">
        <f>Test!E310</f>
        <v>0</v>
      </c>
      <c r="P104" s="18">
        <f>Test!F310</f>
        <v>0</v>
      </c>
      <c r="Q104" s="18">
        <f>Test!G310</f>
        <v>0</v>
      </c>
      <c r="R104" s="19">
        <f t="shared" si="11"/>
        <v>0</v>
      </c>
      <c r="S104" s="18" t="e">
        <f t="shared" si="13"/>
        <v>#DIV/0!</v>
      </c>
      <c r="T104" s="18" t="e">
        <f t="shared" si="13"/>
        <v>#DIV/0!</v>
      </c>
      <c r="U104" s="60"/>
      <c r="V104" s="43"/>
      <c r="W104" s="26"/>
      <c r="X104" s="26"/>
      <c r="Y104" s="43"/>
      <c r="Z104" s="26"/>
      <c r="AA104" s="55"/>
      <c r="AB104" s="20"/>
      <c r="AC104" s="17">
        <f>BMS!B310</f>
        <v>0</v>
      </c>
      <c r="AD104" s="18">
        <f>BMS!C310</f>
        <v>0</v>
      </c>
      <c r="AE104" s="18">
        <f>BMS!D310</f>
        <v>0</v>
      </c>
      <c r="AF104" s="18">
        <f>BMS!E310</f>
        <v>0</v>
      </c>
      <c r="AG104" s="18">
        <f>BMS!F310</f>
        <v>0</v>
      </c>
      <c r="AH104" s="18">
        <f>BMS!G310</f>
        <v>0</v>
      </c>
      <c r="AI104" s="19">
        <f t="shared" si="12"/>
        <v>0</v>
      </c>
      <c r="AJ104" s="18" t="e">
        <f t="shared" si="9"/>
        <v>#DIV/0!</v>
      </c>
      <c r="AK104" s="18" t="e">
        <f t="shared" si="10"/>
        <v>#DIV/0!</v>
      </c>
      <c r="AL104" s="20"/>
      <c r="AM104" s="43"/>
      <c r="AN104" s="26"/>
      <c r="AO104" s="55"/>
      <c r="AP104" s="43"/>
      <c r="AQ104" s="26"/>
      <c r="AR104" s="55"/>
    </row>
    <row r="105" spans="1:44" x14ac:dyDescent="0.2">
      <c r="A105" s="36"/>
      <c r="B105" s="36"/>
      <c r="C105" s="36">
        <v>32</v>
      </c>
      <c r="D105" s="17">
        <f>TM!B311</f>
        <v>0</v>
      </c>
      <c r="E105" s="18">
        <f>TM!C311</f>
        <v>0</v>
      </c>
      <c r="F105" s="18">
        <f>TM!D311</f>
        <v>0</v>
      </c>
      <c r="G105" s="18">
        <f>TM!E311</f>
        <v>0</v>
      </c>
      <c r="H105" s="18">
        <f>TM!F311</f>
        <v>0</v>
      </c>
      <c r="I105" s="18">
        <f>TM!G311</f>
        <v>0</v>
      </c>
      <c r="J105" s="19">
        <f t="shared" si="14"/>
        <v>0</v>
      </c>
      <c r="L105" s="17">
        <f>Test!B311</f>
        <v>0</v>
      </c>
      <c r="M105" s="18">
        <f>Test!C311</f>
        <v>0</v>
      </c>
      <c r="N105" s="18">
        <f>Test!D311</f>
        <v>0</v>
      </c>
      <c r="O105" s="18">
        <f>Test!E311</f>
        <v>0</v>
      </c>
      <c r="P105" s="18">
        <f>Test!F311</f>
        <v>0</v>
      </c>
      <c r="Q105" s="18">
        <f>Test!G311</f>
        <v>0</v>
      </c>
      <c r="R105" s="19">
        <f t="shared" si="11"/>
        <v>0</v>
      </c>
      <c r="S105" s="18" t="e">
        <f t="shared" si="13"/>
        <v>#DIV/0!</v>
      </c>
      <c r="T105" s="18" t="e">
        <f t="shared" si="13"/>
        <v>#DIV/0!</v>
      </c>
      <c r="U105" s="60"/>
      <c r="V105" s="43"/>
      <c r="W105" s="26"/>
      <c r="X105" s="26"/>
      <c r="Y105" s="43"/>
      <c r="Z105" s="26"/>
      <c r="AA105" s="55"/>
      <c r="AB105" s="20"/>
      <c r="AC105" s="17">
        <f>BMS!B311</f>
        <v>0</v>
      </c>
      <c r="AD105" s="18">
        <f>BMS!C311</f>
        <v>0</v>
      </c>
      <c r="AE105" s="18">
        <f>BMS!D311</f>
        <v>0</v>
      </c>
      <c r="AF105" s="18">
        <f>BMS!E311</f>
        <v>0</v>
      </c>
      <c r="AG105" s="18">
        <f>BMS!F311</f>
        <v>0</v>
      </c>
      <c r="AH105" s="18">
        <f>BMS!G311</f>
        <v>0</v>
      </c>
      <c r="AI105" s="19">
        <f t="shared" si="12"/>
        <v>0</v>
      </c>
      <c r="AJ105" s="18" t="e">
        <f t="shared" si="9"/>
        <v>#DIV/0!</v>
      </c>
      <c r="AK105" s="18" t="e">
        <f t="shared" si="10"/>
        <v>#DIV/0!</v>
      </c>
      <c r="AL105" s="20"/>
      <c r="AM105" s="43"/>
      <c r="AN105" s="26"/>
      <c r="AO105" s="55"/>
      <c r="AP105" s="43"/>
      <c r="AQ105" s="26"/>
      <c r="AR105" s="55"/>
    </row>
    <row r="106" spans="1:44" ht="12.75" thickBot="1" x14ac:dyDescent="0.25">
      <c r="A106" s="37"/>
      <c r="B106" s="37"/>
      <c r="C106" s="37">
        <v>37</v>
      </c>
      <c r="D106" s="22">
        <f>TM!B312</f>
        <v>0</v>
      </c>
      <c r="E106" s="23">
        <f>TM!C312</f>
        <v>0</v>
      </c>
      <c r="F106" s="23">
        <f>TM!D312</f>
        <v>0</v>
      </c>
      <c r="G106" s="23">
        <f>TM!E312</f>
        <v>0</v>
      </c>
      <c r="H106" s="23">
        <f>TM!F312</f>
        <v>0</v>
      </c>
      <c r="I106" s="23">
        <f>TM!G312</f>
        <v>0</v>
      </c>
      <c r="J106" s="24">
        <f t="shared" si="14"/>
        <v>0</v>
      </c>
      <c r="L106" s="22">
        <f>Test!B312</f>
        <v>0</v>
      </c>
      <c r="M106" s="23">
        <f>Test!C312</f>
        <v>0</v>
      </c>
      <c r="N106" s="23">
        <f>Test!D312</f>
        <v>0</v>
      </c>
      <c r="O106" s="23">
        <f>Test!E312</f>
        <v>0</v>
      </c>
      <c r="P106" s="23">
        <f>Test!F312</f>
        <v>0</v>
      </c>
      <c r="Q106" s="23">
        <f>Test!G312</f>
        <v>0</v>
      </c>
      <c r="R106" s="24">
        <f t="shared" si="11"/>
        <v>0</v>
      </c>
      <c r="S106" s="23" t="e">
        <f t="shared" si="13"/>
        <v>#DIV/0!</v>
      </c>
      <c r="T106" s="23" t="e">
        <f t="shared" si="13"/>
        <v>#DIV/0!</v>
      </c>
      <c r="U106" s="61"/>
      <c r="V106" s="44"/>
      <c r="W106" s="56"/>
      <c r="X106" s="56"/>
      <c r="Y106" s="44"/>
      <c r="Z106" s="56"/>
      <c r="AA106" s="57"/>
      <c r="AB106" s="25"/>
      <c r="AC106" s="22">
        <f>BMS!B312</f>
        <v>0</v>
      </c>
      <c r="AD106" s="23">
        <f>BMS!C312</f>
        <v>0</v>
      </c>
      <c r="AE106" s="23">
        <f>BMS!D312</f>
        <v>0</v>
      </c>
      <c r="AF106" s="23">
        <f>BMS!E312</f>
        <v>0</v>
      </c>
      <c r="AG106" s="23">
        <f>BMS!F312</f>
        <v>0</v>
      </c>
      <c r="AH106" s="23">
        <f>BMS!G312</f>
        <v>0</v>
      </c>
      <c r="AI106" s="24">
        <f t="shared" si="12"/>
        <v>0</v>
      </c>
      <c r="AJ106" s="23" t="e">
        <f t="shared" si="9"/>
        <v>#DIV/0!</v>
      </c>
      <c r="AK106" s="23" t="e">
        <f t="shared" si="10"/>
        <v>#DIV/0!</v>
      </c>
      <c r="AL106" s="25"/>
      <c r="AM106" s="44"/>
      <c r="AN106" s="56"/>
      <c r="AO106" s="57"/>
      <c r="AP106" s="44"/>
      <c r="AQ106" s="56"/>
      <c r="AR106" s="57"/>
    </row>
    <row r="107" spans="1:44" x14ac:dyDescent="0.2">
      <c r="B107" s="1" t="s">
        <v>75</v>
      </c>
      <c r="I107" s="15"/>
      <c r="J107" s="15"/>
      <c r="Q107" s="15"/>
      <c r="R107" s="15"/>
      <c r="S107" s="15"/>
      <c r="T107" s="15"/>
      <c r="V107" s="42"/>
      <c r="W107" s="47"/>
      <c r="X107" s="47"/>
      <c r="Y107" s="42"/>
      <c r="Z107" s="47"/>
      <c r="AA107" s="48"/>
      <c r="AH107" s="15"/>
      <c r="AI107" s="15"/>
      <c r="AJ107" s="15"/>
      <c r="AK107" s="15"/>
      <c r="AM107" s="42"/>
      <c r="AN107" s="47"/>
      <c r="AO107" s="47"/>
      <c r="AP107" s="42"/>
      <c r="AQ107" s="47"/>
      <c r="AR107" s="48"/>
    </row>
    <row r="108" spans="1:44" x14ac:dyDescent="0.2">
      <c r="B108" s="1" t="s">
        <v>76</v>
      </c>
      <c r="I108" s="15"/>
      <c r="J108" s="15"/>
      <c r="Q108" s="15"/>
      <c r="R108" s="15"/>
      <c r="S108" s="15"/>
      <c r="T108" s="15"/>
      <c r="V108" s="45"/>
      <c r="W108" s="49"/>
      <c r="X108" s="49"/>
      <c r="Y108" s="45"/>
      <c r="Z108" s="49"/>
      <c r="AA108" s="50"/>
      <c r="AH108" s="15"/>
      <c r="AI108" s="15"/>
      <c r="AJ108" s="15"/>
      <c r="AK108" s="15"/>
      <c r="AM108" s="45"/>
      <c r="AN108" s="49"/>
      <c r="AO108" s="49"/>
      <c r="AP108" s="45"/>
      <c r="AQ108" s="49"/>
      <c r="AR108" s="50"/>
    </row>
    <row r="109" spans="1:44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15">GEOMEAN(S27:S46)</f>
        <v>#DIV/0!</v>
      </c>
      <c r="T109" s="15" t="e">
        <f t="shared" si="15"/>
        <v>#DIV/0!</v>
      </c>
      <c r="V109" s="45" t="e">
        <f>AVERAGE(V27:V46)</f>
        <v>#VALUE!</v>
      </c>
      <c r="W109" s="49" t="e">
        <f t="shared" ref="W109:AA109" si="16">AVERAGE(W27:W46)</f>
        <v>#VALUE!</v>
      </c>
      <c r="X109" s="49" t="e">
        <f t="shared" si="16"/>
        <v>#VALUE!</v>
      </c>
      <c r="Y109" s="45" t="e">
        <f t="shared" si="16"/>
        <v>#VALUE!</v>
      </c>
      <c r="Z109" s="49" t="e">
        <f t="shared" si="16"/>
        <v>#VALUE!</v>
      </c>
      <c r="AA109" s="50" t="e">
        <f t="shared" si="16"/>
        <v>#VALUE!</v>
      </c>
      <c r="AH109" s="15" t="e">
        <f>GEOMEAN(AH27:AH46)</f>
        <v>#NUM!</v>
      </c>
      <c r="AI109" s="15" t="e">
        <f>GEOMEAN(AI27:AI46)</f>
        <v>#NUM!</v>
      </c>
      <c r="AJ109" s="15" t="e">
        <f t="shared" ref="AJ109:AK109" si="17">GEOMEAN(AJ27:AJ46)</f>
        <v>#DIV/0!</v>
      </c>
      <c r="AK109" s="15" t="e">
        <f t="shared" si="17"/>
        <v>#DIV/0!</v>
      </c>
      <c r="AM109" s="45" t="e">
        <f>AVERAGE(AM27:AM46)</f>
        <v>#VALUE!</v>
      </c>
      <c r="AN109" s="49" t="e">
        <f t="shared" ref="AN109:AR109" si="18">AVERAGE(AN27:AN46)</f>
        <v>#VALUE!</v>
      </c>
      <c r="AO109" s="49" t="e">
        <f t="shared" si="18"/>
        <v>#VALUE!</v>
      </c>
      <c r="AP109" s="45" t="e">
        <f t="shared" si="18"/>
        <v>#VALUE!</v>
      </c>
      <c r="AQ109" s="49" t="e">
        <f t="shared" si="18"/>
        <v>#VALUE!</v>
      </c>
      <c r="AR109" s="50" t="e">
        <f t="shared" si="18"/>
        <v>#VALUE!</v>
      </c>
    </row>
    <row r="110" spans="1:44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9">GEOMEAN(S47:S62)</f>
        <v>#DIV/0!</v>
      </c>
      <c r="T110" s="15" t="e">
        <f t="shared" si="19"/>
        <v>#DIV/0!</v>
      </c>
      <c r="V110" s="45" t="e">
        <f>AVERAGE(V47:V62)</f>
        <v>#VALUE!</v>
      </c>
      <c r="W110" s="49" t="e">
        <f t="shared" ref="W110:AA110" si="20">AVERAGE(W47:W62)</f>
        <v>#VALUE!</v>
      </c>
      <c r="X110" s="49" t="e">
        <f t="shared" si="20"/>
        <v>#VALUE!</v>
      </c>
      <c r="Y110" s="45" t="e">
        <f t="shared" si="20"/>
        <v>#VALUE!</v>
      </c>
      <c r="Z110" s="49" t="e">
        <f t="shared" si="20"/>
        <v>#VALUE!</v>
      </c>
      <c r="AA110" s="50" t="e">
        <f t="shared" si="20"/>
        <v>#VALUE!</v>
      </c>
      <c r="AH110" s="15" t="e">
        <f>GEOMEAN(AH47:AH62)</f>
        <v>#NUM!</v>
      </c>
      <c r="AI110" s="15" t="e">
        <f>GEOMEAN(AI47:AI62)</f>
        <v>#NUM!</v>
      </c>
      <c r="AJ110" s="15" t="e">
        <f t="shared" ref="AJ110:AK110" si="21">GEOMEAN(AJ47:AJ62)</f>
        <v>#DIV/0!</v>
      </c>
      <c r="AK110" s="15" t="e">
        <f t="shared" si="21"/>
        <v>#DIV/0!</v>
      </c>
      <c r="AM110" s="45" t="e">
        <f>AVERAGE(AM47:AM62)</f>
        <v>#VALUE!</v>
      </c>
      <c r="AN110" s="49" t="e">
        <f t="shared" ref="AN110:AR110" si="22">AVERAGE(AN47:AN62)</f>
        <v>#VALUE!</v>
      </c>
      <c r="AO110" s="49" t="e">
        <f t="shared" si="22"/>
        <v>#VALUE!</v>
      </c>
      <c r="AP110" s="45" t="e">
        <f t="shared" si="22"/>
        <v>#VALUE!</v>
      </c>
      <c r="AQ110" s="49" t="e">
        <f t="shared" si="22"/>
        <v>#VALUE!</v>
      </c>
      <c r="AR110" s="50" t="e">
        <f t="shared" si="22"/>
        <v>#VALUE!</v>
      </c>
    </row>
    <row r="111" spans="1:44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23">GEOMEAN(S63:S78)</f>
        <v>#DIV/0!</v>
      </c>
      <c r="T111" s="15" t="e">
        <f t="shared" si="23"/>
        <v>#DIV/0!</v>
      </c>
      <c r="V111" s="45" t="e">
        <f>AVERAGE(V63:V78)</f>
        <v>#VALUE!</v>
      </c>
      <c r="W111" s="49" t="e">
        <f t="shared" ref="W111:AA111" si="24">AVERAGE(W63:W78)</f>
        <v>#VALUE!</v>
      </c>
      <c r="X111" s="49" t="e">
        <f t="shared" si="24"/>
        <v>#VALUE!</v>
      </c>
      <c r="Y111" s="45" t="e">
        <f t="shared" si="24"/>
        <v>#VALUE!</v>
      </c>
      <c r="Z111" s="49" t="e">
        <f t="shared" si="24"/>
        <v>#VALUE!</v>
      </c>
      <c r="AA111" s="50" t="e">
        <f t="shared" si="24"/>
        <v>#VALUE!</v>
      </c>
      <c r="AH111" s="15" t="e">
        <f>GEOMEAN(AH63:AH78)</f>
        <v>#NUM!</v>
      </c>
      <c r="AI111" s="15" t="e">
        <f>GEOMEAN(AI63:AI78)</f>
        <v>#NUM!</v>
      </c>
      <c r="AJ111" s="15" t="e">
        <f t="shared" ref="AJ111:AK111" si="25">GEOMEAN(AJ63:AJ78)</f>
        <v>#DIV/0!</v>
      </c>
      <c r="AK111" s="15" t="e">
        <f t="shared" si="25"/>
        <v>#DIV/0!</v>
      </c>
      <c r="AM111" s="45" t="e">
        <f>AVERAGE(AM63:AM78)</f>
        <v>#VALUE!</v>
      </c>
      <c r="AN111" s="49" t="e">
        <f t="shared" ref="AN111:AR111" si="26">AVERAGE(AN63:AN78)</f>
        <v>#VALUE!</v>
      </c>
      <c r="AO111" s="49" t="e">
        <f t="shared" si="26"/>
        <v>#VALUE!</v>
      </c>
      <c r="AP111" s="45" t="e">
        <f t="shared" si="26"/>
        <v>#VALUE!</v>
      </c>
      <c r="AQ111" s="49" t="e">
        <f t="shared" si="26"/>
        <v>#VALUE!</v>
      </c>
      <c r="AR111" s="50" t="e">
        <f t="shared" si="26"/>
        <v>#VALUE!</v>
      </c>
    </row>
    <row r="112" spans="1:44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27">GEOMEAN(S79:S90)</f>
        <v>#DIV/0!</v>
      </c>
      <c r="T112" s="15" t="e">
        <f t="shared" si="27"/>
        <v>#DIV/0!</v>
      </c>
      <c r="V112" s="45" t="e">
        <f>AVERAGE(V79:V88)</f>
        <v>#VALUE!</v>
      </c>
      <c r="W112" s="49" t="e">
        <f t="shared" ref="W112:AA112" si="28">AVERAGE(W79:W88)</f>
        <v>#VALUE!</v>
      </c>
      <c r="X112" s="49" t="e">
        <f t="shared" si="28"/>
        <v>#VALUE!</v>
      </c>
      <c r="Y112" s="45" t="e">
        <f t="shared" si="28"/>
        <v>#VALUE!</v>
      </c>
      <c r="Z112" s="49" t="e">
        <f t="shared" si="28"/>
        <v>#VALUE!</v>
      </c>
      <c r="AA112" s="50" t="e">
        <f t="shared" si="28"/>
        <v>#VALUE!</v>
      </c>
      <c r="AH112" s="15" t="e">
        <f>GEOMEAN(AH79:AH90)</f>
        <v>#NUM!</v>
      </c>
      <c r="AI112" s="15" t="e">
        <f>GEOMEAN(AI79:AI90)</f>
        <v>#NUM!</v>
      </c>
      <c r="AJ112" s="15" t="e">
        <f t="shared" ref="AJ112:AK112" si="29">GEOMEAN(AJ79:AJ90)</f>
        <v>#DIV/0!</v>
      </c>
      <c r="AK112" s="15" t="e">
        <f t="shared" si="29"/>
        <v>#DIV/0!</v>
      </c>
      <c r="AM112" s="45" t="e">
        <f>AVERAGE(AM79:AM88)</f>
        <v>#VALUE!</v>
      </c>
      <c r="AN112" s="49" t="e">
        <f t="shared" ref="AN112:AR112" si="30">AVERAGE(AN79:AN88)</f>
        <v>#VALUE!</v>
      </c>
      <c r="AO112" s="49" t="e">
        <f t="shared" si="30"/>
        <v>#VALUE!</v>
      </c>
      <c r="AP112" s="45" t="e">
        <f t="shared" si="30"/>
        <v>#VALUE!</v>
      </c>
      <c r="AQ112" s="49" t="e">
        <f t="shared" si="30"/>
        <v>#VALUE!</v>
      </c>
      <c r="AR112" s="50" t="e">
        <f t="shared" si="30"/>
        <v>#VALUE!</v>
      </c>
    </row>
    <row r="113" spans="1:44" ht="12.75" thickBot="1" x14ac:dyDescent="0.25">
      <c r="B113" s="1" t="s">
        <v>46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1">GEOMEAN(S91:S106)</f>
        <v>#DIV/0!</v>
      </c>
      <c r="T113" s="15" t="e">
        <f t="shared" si="31"/>
        <v>#DIV/0!</v>
      </c>
      <c r="V113" s="45" t="e">
        <f>AVERAGE(V91:V106)</f>
        <v>#VALUE!</v>
      </c>
      <c r="W113" s="49" t="e">
        <f t="shared" ref="W113:AA113" si="32">AVERAGE(W91:W106)</f>
        <v>#VALUE!</v>
      </c>
      <c r="X113" s="49" t="e">
        <f t="shared" si="32"/>
        <v>#VALUE!</v>
      </c>
      <c r="Y113" s="45" t="e">
        <f t="shared" si="32"/>
        <v>#VALUE!</v>
      </c>
      <c r="Z113" s="49" t="e">
        <f t="shared" si="32"/>
        <v>#VALUE!</v>
      </c>
      <c r="AA113" s="50" t="e">
        <f t="shared" si="32"/>
        <v>#VALUE!</v>
      </c>
      <c r="AH113" s="15" t="e">
        <f>GEOMEAN(AH91:AH106)</f>
        <v>#NUM!</v>
      </c>
      <c r="AI113" s="15" t="e">
        <f>GEOMEAN(AI91:AI106)</f>
        <v>#NUM!</v>
      </c>
      <c r="AJ113" s="15" t="e">
        <f t="shared" ref="AJ113:AK113" si="33">GEOMEAN(AJ91:AJ106)</f>
        <v>#DIV/0!</v>
      </c>
      <c r="AK113" s="15" t="e">
        <f t="shared" si="33"/>
        <v>#DIV/0!</v>
      </c>
      <c r="AM113" s="45" t="e">
        <f>AVERAGE(AM91:AM106)</f>
        <v>#VALUE!</v>
      </c>
      <c r="AN113" s="49" t="e">
        <f t="shared" ref="AN113:AR113" si="34">AVERAGE(AN91:AN106)</f>
        <v>#VALUE!</v>
      </c>
      <c r="AO113" s="49" t="e">
        <f t="shared" si="34"/>
        <v>#VALUE!</v>
      </c>
      <c r="AP113" s="45" t="e">
        <f t="shared" si="34"/>
        <v>#VALUE!</v>
      </c>
      <c r="AQ113" s="49" t="e">
        <f t="shared" si="34"/>
        <v>#VALUE!</v>
      </c>
      <c r="AR113" s="50" t="e">
        <f t="shared" si="34"/>
        <v>#VALUE!</v>
      </c>
    </row>
    <row r="114" spans="1:44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2" t="e">
        <f>GEOMEAN(I3:I62,I79:I90)</f>
        <v>#NUM!</v>
      </c>
      <c r="J114" s="62" t="e">
        <f>GEOMEAN(J3:J62,J79:J90)</f>
        <v>#NUM!</v>
      </c>
      <c r="K114" s="4"/>
      <c r="L114" s="4"/>
      <c r="M114" s="4"/>
      <c r="N114" s="4"/>
      <c r="O114" s="4"/>
      <c r="P114" s="4"/>
      <c r="Q114" s="62" t="e">
        <f>GEOMEAN(Q3:Q62,Q79:Q90)</f>
        <v>#NUM!</v>
      </c>
      <c r="R114" s="62" t="e">
        <f t="shared" ref="R114:T114" si="35">GEOMEAN(R3:R62,R79:R90)</f>
        <v>#NUM!</v>
      </c>
      <c r="S114" s="62" t="e">
        <f t="shared" si="35"/>
        <v>#DIV/0!</v>
      </c>
      <c r="T114" s="62" t="e">
        <f t="shared" si="35"/>
        <v>#DIV/0!</v>
      </c>
      <c r="U114" s="4"/>
      <c r="V114" s="46" t="e">
        <f>AVERAGE(V3:V62,V79:V90)</f>
        <v>#VALUE!</v>
      </c>
      <c r="W114" s="51" t="e">
        <f t="shared" ref="W114:AA114" si="36">AVERAGE(W3:W62,W79:W90)</f>
        <v>#VALUE!</v>
      </c>
      <c r="X114" s="51" t="e">
        <f t="shared" si="36"/>
        <v>#VALUE!</v>
      </c>
      <c r="Y114" s="46" t="e">
        <f t="shared" si="36"/>
        <v>#VALUE!</v>
      </c>
      <c r="Z114" s="51" t="e">
        <f t="shared" si="36"/>
        <v>#VALUE!</v>
      </c>
      <c r="AA114" s="52" t="e">
        <f t="shared" si="36"/>
        <v>#VALUE!</v>
      </c>
      <c r="AC114" s="4"/>
      <c r="AD114" s="4"/>
      <c r="AE114" s="4"/>
      <c r="AF114" s="4"/>
      <c r="AG114" s="4"/>
      <c r="AH114" s="62" t="e">
        <f>GEOMEAN(AH3:AH62,AH79:AH90)</f>
        <v>#NUM!</v>
      </c>
      <c r="AI114" s="62" t="e">
        <f t="shared" ref="AI114:AK114" si="37">GEOMEAN(AI3:AI62,AI79:AI90)</f>
        <v>#NUM!</v>
      </c>
      <c r="AJ114" s="62" t="e">
        <f t="shared" si="37"/>
        <v>#DIV/0!</v>
      </c>
      <c r="AK114" s="62" t="e">
        <f t="shared" si="37"/>
        <v>#DIV/0!</v>
      </c>
      <c r="AM114" s="46" t="e">
        <f>AVERAGE(AM3:AM62,AM79:AM90)</f>
        <v>#VALUE!</v>
      </c>
      <c r="AN114" s="51" t="e">
        <f t="shared" ref="AN114:AR114" si="38">AVERAGE(AN3:AN62,AN79:AN90)</f>
        <v>#VALUE!</v>
      </c>
      <c r="AO114" s="51" t="e">
        <f t="shared" si="38"/>
        <v>#VALUE!</v>
      </c>
      <c r="AP114" s="46" t="e">
        <f t="shared" si="38"/>
        <v>#VALUE!</v>
      </c>
      <c r="AQ114" s="51" t="e">
        <f t="shared" si="38"/>
        <v>#VALUE!</v>
      </c>
      <c r="AR114" s="52" t="e">
        <f t="shared" si="38"/>
        <v>#VALUE!</v>
      </c>
    </row>
    <row r="115" spans="1:44" x14ac:dyDescent="0.2">
      <c r="B115" s="1" t="s">
        <v>9</v>
      </c>
      <c r="I115" s="27" t="e">
        <f>GEOMEAN(I3:I106)</f>
        <v>#NUM!</v>
      </c>
      <c r="J115" s="27" t="e">
        <f>GEOMEAN(J3:J106)</f>
        <v>#NUM!</v>
      </c>
      <c r="Q115" s="27" t="e">
        <f>GEOMEAN(Q3:Q106)</f>
        <v>#NUM!</v>
      </c>
      <c r="R115" s="27" t="e">
        <f>GEOMEAN(R3:R106)</f>
        <v>#NUM!</v>
      </c>
      <c r="S115" s="27"/>
      <c r="T115" s="27"/>
      <c r="AH115" s="27" t="e">
        <f>GEOMEAN(AH3:AH106)</f>
        <v>#NUM!</v>
      </c>
      <c r="AI115" s="27" t="e">
        <f>GEOMEAN(AI3:AI106)</f>
        <v>#NUM!</v>
      </c>
      <c r="AJ115" s="27"/>
      <c r="AK115" s="27"/>
    </row>
    <row r="116" spans="1:44" x14ac:dyDescent="0.2">
      <c r="B116" s="1" t="s">
        <v>10</v>
      </c>
      <c r="Q116" s="28" t="e">
        <f>Q115/I115</f>
        <v>#NUM!</v>
      </c>
      <c r="R116" s="28" t="e">
        <f>R115/J115</f>
        <v>#NUM!</v>
      </c>
      <c r="S116" s="28"/>
      <c r="T116" s="28"/>
      <c r="AJ116" s="28"/>
      <c r="AK116" s="28"/>
    </row>
    <row r="117" spans="1:44" x14ac:dyDescent="0.2">
      <c r="B117" s="1" t="s">
        <v>11</v>
      </c>
      <c r="I117" s="27"/>
      <c r="J117" s="27"/>
      <c r="Q117" s="27"/>
      <c r="R117" s="27"/>
      <c r="S117" s="27"/>
      <c r="T117" s="27"/>
      <c r="AH117" s="27">
        <f>SUM(AH3:AH106)/3600</f>
        <v>0</v>
      </c>
      <c r="AI117" s="27">
        <f>SUM(AI3:AI106)</f>
        <v>0</v>
      </c>
      <c r="AJ117" s="27"/>
      <c r="AK117" s="27"/>
    </row>
  </sheetData>
  <mergeCells count="7">
    <mergeCell ref="AP1:AR1"/>
    <mergeCell ref="AM1:AO1"/>
    <mergeCell ref="D1:J1"/>
    <mergeCell ref="L1:R1"/>
    <mergeCell ref="V1:X1"/>
    <mergeCell ref="Y1:AA1"/>
    <mergeCell ref="AC1:AI1"/>
  </mergeCells>
  <conditionalFormatting sqref="AA7">
    <cfRule type="cellIs" dxfId="1019" priority="533" operator="greaterThan">
      <formula>0.03</formula>
    </cfRule>
    <cfRule type="cellIs" dxfId="1018" priority="534" stopIfTrue="1" operator="lessThan">
      <formula>-0.03</formula>
    </cfRule>
  </conditionalFormatting>
  <conditionalFormatting sqref="AM7:AO10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Z11">
    <cfRule type="cellIs" dxfId="1015" priority="529" operator="greaterThan">
      <formula>0.03</formula>
    </cfRule>
    <cfRule type="cellIs" dxfId="1014" priority="530" stopIfTrue="1" operator="lessThan">
      <formula>-0.03</formula>
    </cfRule>
  </conditionalFormatting>
  <conditionalFormatting sqref="AQ7">
    <cfRule type="cellIs" dxfId="1013" priority="497" operator="greaterThan">
      <formula>0.03</formula>
    </cfRule>
    <cfRule type="cellIs" dxfId="1012" priority="498" stopIfTrue="1" operator="lessThan">
      <formula>-0.03</formula>
    </cfRule>
  </conditionalFormatting>
  <conditionalFormatting sqref="AR7">
    <cfRule type="cellIs" dxfId="1011" priority="495" operator="greaterThan">
      <formula>0.03</formula>
    </cfRule>
    <cfRule type="cellIs" dxfId="1010" priority="496" stopIfTrue="1" operator="lessThan">
      <formula>-0.03</formula>
    </cfRule>
  </conditionalFormatting>
  <conditionalFormatting sqref="AP10:AQ10">
    <cfRule type="cellIs" dxfId="1009" priority="493" operator="greaterThan">
      <formula>0.03</formula>
    </cfRule>
    <cfRule type="cellIs" dxfId="1008" priority="494" stopIfTrue="1" operator="lessThan">
      <formula>-0.03</formula>
    </cfRule>
  </conditionalFormatting>
  <conditionalFormatting sqref="AM3:AO6">
    <cfRule type="cellIs" dxfId="1007" priority="511" operator="greaterThan">
      <formula>0.03</formula>
    </cfRule>
    <cfRule type="cellIs" dxfId="1006" priority="512" stopIfTrue="1" operator="lessThan">
      <formula>-0.03</formula>
    </cfRule>
  </conditionalFormatting>
  <conditionalFormatting sqref="Y6:Z6">
    <cfRule type="cellIs" dxfId="1005" priority="519" operator="greaterThan">
      <formula>0.03</formula>
    </cfRule>
    <cfRule type="cellIs" dxfId="1004" priority="520" stopIfTrue="1" operator="lessThan">
      <formula>-0.03</formula>
    </cfRule>
  </conditionalFormatting>
  <conditionalFormatting sqref="Y14:Z14">
    <cfRule type="cellIs" dxfId="1003" priority="515" operator="greaterThan">
      <formula>0.03</formula>
    </cfRule>
    <cfRule type="cellIs" dxfId="1002" priority="516" stopIfTrue="1" operator="lessThan">
      <formula>-0.03</formula>
    </cfRule>
  </conditionalFormatting>
  <conditionalFormatting sqref="AP3">
    <cfRule type="cellIs" dxfId="1001" priority="509" operator="greaterThan">
      <formula>0.03</formula>
    </cfRule>
    <cfRule type="cellIs" dxfId="1000" priority="510" stopIfTrue="1" operator="lessThan">
      <formula>-0.03</formula>
    </cfRule>
  </conditionalFormatting>
  <conditionalFormatting sqref="AP6:AQ6">
    <cfRule type="cellIs" dxfId="999" priority="503" operator="greaterThan">
      <formula>0.03</formula>
    </cfRule>
    <cfRule type="cellIs" dxfId="998" priority="504" stopIfTrue="1" operator="lessThan">
      <formula>-0.03</formula>
    </cfRule>
  </conditionalFormatting>
  <conditionalFormatting sqref="AP7">
    <cfRule type="cellIs" dxfId="997" priority="499" operator="greaterThan">
      <formula>0.03</formula>
    </cfRule>
    <cfRule type="cellIs" dxfId="996" priority="500" stopIfTrue="1" operator="lessThan">
      <formula>-0.03</formula>
    </cfRule>
  </conditionalFormatting>
  <conditionalFormatting sqref="V114:AA114">
    <cfRule type="cellIs" dxfId="995" priority="471" operator="greaterThan">
      <formula>0.03</formula>
    </cfRule>
    <cfRule type="cellIs" dxfId="994" priority="472" stopIfTrue="1" operator="lessThan">
      <formula>-0.03</formula>
    </cfRule>
  </conditionalFormatting>
  <conditionalFormatting sqref="Y23">
    <cfRule type="cellIs" dxfId="993" priority="433" operator="greaterThan">
      <formula>0.03</formula>
    </cfRule>
    <cfRule type="cellIs" dxfId="992" priority="434" stopIfTrue="1" operator="lessThan">
      <formula>-0.03</formula>
    </cfRule>
  </conditionalFormatting>
  <conditionalFormatting sqref="AR3">
    <cfRule type="cellIs" dxfId="991" priority="505" operator="greaterThan">
      <formula>0.03</formula>
    </cfRule>
    <cfRule type="cellIs" dxfId="990" priority="506" stopIfTrue="1" operator="lessThan">
      <formula>-0.03</formula>
    </cfRule>
  </conditionalFormatting>
  <conditionalFormatting sqref="AQ15">
    <cfRule type="cellIs" dxfId="989" priority="409" operator="greaterThan">
      <formula>0.03</formula>
    </cfRule>
    <cfRule type="cellIs" dxfId="988" priority="410" stopIfTrue="1" operator="lessThan">
      <formula>-0.03</formula>
    </cfRule>
  </conditionalFormatting>
  <conditionalFormatting sqref="AP18:AQ18">
    <cfRule type="cellIs" dxfId="987" priority="405" operator="greaterThan">
      <formula>0.03</formula>
    </cfRule>
    <cfRule type="cellIs" dxfId="986" priority="406" stopIfTrue="1" operator="lessThan">
      <formula>-0.03</formula>
    </cfRule>
  </conditionalFormatting>
  <conditionalFormatting sqref="AP19">
    <cfRule type="cellIs" dxfId="985" priority="401" operator="greaterThan">
      <formula>0.03</formula>
    </cfRule>
    <cfRule type="cellIs" dxfId="984" priority="402" stopIfTrue="1" operator="lessThan">
      <formula>-0.03</formula>
    </cfRule>
  </conditionalFormatting>
  <conditionalFormatting sqref="AM19:AO22">
    <cfRule type="cellIs" dxfId="983" priority="403" operator="greaterThan">
      <formula>0.03</formula>
    </cfRule>
    <cfRule type="cellIs" dxfId="982" priority="404" stopIfTrue="1" operator="lessThan">
      <formula>-0.03</formula>
    </cfRule>
  </conditionalFormatting>
  <conditionalFormatting sqref="Z19">
    <cfRule type="cellIs" dxfId="981" priority="437" operator="greaterThan">
      <formula>0.03</formula>
    </cfRule>
    <cfRule type="cellIs" dxfId="980" priority="438" stopIfTrue="1" operator="lessThan">
      <formula>-0.03</formula>
    </cfRule>
  </conditionalFormatting>
  <conditionalFormatting sqref="AA19">
    <cfRule type="cellIs" dxfId="979" priority="435" operator="greaterThan">
      <formula>0.03</formula>
    </cfRule>
    <cfRule type="cellIs" dxfId="978" priority="436" stopIfTrue="1" operator="lessThan">
      <formula>-0.03</formula>
    </cfRule>
  </conditionalFormatting>
  <conditionalFormatting sqref="AP30:AQ30">
    <cfRule type="cellIs" dxfId="977" priority="355" operator="greaterThan">
      <formula>0.03</formula>
    </cfRule>
    <cfRule type="cellIs" dxfId="976" priority="356" stopIfTrue="1" operator="lessThan">
      <formula>-0.03</formula>
    </cfRule>
  </conditionalFormatting>
  <conditionalFormatting sqref="AM111:AR112">
    <cfRule type="cellIs" dxfId="975" priority="457" operator="greaterThan">
      <formula>0.03</formula>
    </cfRule>
    <cfRule type="cellIs" dxfId="974" priority="458" stopIfTrue="1" operator="lessThan">
      <formula>-0.03</formula>
    </cfRule>
  </conditionalFormatting>
  <conditionalFormatting sqref="Z35">
    <cfRule type="cellIs" dxfId="973" priority="343" operator="greaterThan">
      <formula>0.03</formula>
    </cfRule>
    <cfRule type="cellIs" dxfId="972" priority="344" stopIfTrue="1" operator="lessThan">
      <formula>-0.03</formula>
    </cfRule>
  </conditionalFormatting>
  <conditionalFormatting sqref="Y31">
    <cfRule type="cellIs" dxfId="971" priority="351" operator="greaterThan">
      <formula>0.03</formula>
    </cfRule>
    <cfRule type="cellIs" dxfId="970" priority="352" stopIfTrue="1" operator="lessThan">
      <formula>-0.03</formula>
    </cfRule>
  </conditionalFormatting>
  <conditionalFormatting sqref="AQ27">
    <cfRule type="cellIs" dxfId="969" priority="359" operator="greaterThan">
      <formula>0.03</formula>
    </cfRule>
    <cfRule type="cellIs" dxfId="968" priority="360" stopIfTrue="1" operator="lessThan">
      <formula>-0.03</formula>
    </cfRule>
  </conditionalFormatting>
  <conditionalFormatting sqref="AA27">
    <cfRule type="cellIs" dxfId="967" priority="367" operator="greaterThan">
      <formula>0.03</formula>
    </cfRule>
    <cfRule type="cellIs" dxfId="966" priority="368" stopIfTrue="1" operator="lessThan">
      <formula>-0.03</formula>
    </cfRule>
  </conditionalFormatting>
  <conditionalFormatting sqref="AQ31">
    <cfRule type="cellIs" dxfId="965" priority="331" operator="greaterThan">
      <formula>0.03</formula>
    </cfRule>
    <cfRule type="cellIs" dxfId="964" priority="332" stopIfTrue="1" operator="lessThan">
      <formula>-0.03</formula>
    </cfRule>
  </conditionalFormatting>
  <conditionalFormatting sqref="Y30:Z30">
    <cfRule type="cellIs" dxfId="963" priority="365" operator="greaterThan">
      <formula>0.03</formula>
    </cfRule>
    <cfRule type="cellIs" dxfId="962" priority="366" stopIfTrue="1" operator="lessThan">
      <formula>-0.03</formula>
    </cfRule>
  </conditionalFormatting>
  <conditionalFormatting sqref="AM27:AO30">
    <cfRule type="cellIs" dxfId="961" priority="363" operator="greaterThan">
      <formula>0.03</formula>
    </cfRule>
    <cfRule type="cellIs" dxfId="960" priority="364" stopIfTrue="1" operator="lessThan">
      <formula>-0.03</formula>
    </cfRule>
  </conditionalFormatting>
  <conditionalFormatting sqref="AP27">
    <cfRule type="cellIs" dxfId="959" priority="361" operator="greaterThan">
      <formula>0.03</formula>
    </cfRule>
    <cfRule type="cellIs" dxfId="958" priority="362" stopIfTrue="1" operator="lessThan">
      <formula>-0.03</formula>
    </cfRule>
  </conditionalFormatting>
  <conditionalFormatting sqref="AA35">
    <cfRule type="cellIs" dxfId="957" priority="341" operator="greaterThan">
      <formula>0.03</formula>
    </cfRule>
    <cfRule type="cellIs" dxfId="956" priority="342" stopIfTrue="1" operator="lessThan">
      <formula>-0.03</formula>
    </cfRule>
  </conditionalFormatting>
  <conditionalFormatting sqref="Y34:Z34">
    <cfRule type="cellIs" dxfId="955" priority="339" operator="greaterThan">
      <formula>0.03</formula>
    </cfRule>
    <cfRule type="cellIs" dxfId="954" priority="340" stopIfTrue="1" operator="lessThan">
      <formula>-0.03</formula>
    </cfRule>
  </conditionalFormatting>
  <conditionalFormatting sqref="Y38:Z38">
    <cfRule type="cellIs" dxfId="953" priority="337" operator="greaterThan">
      <formula>0.03</formula>
    </cfRule>
    <cfRule type="cellIs" dxfId="952" priority="338" stopIfTrue="1" operator="lessThan">
      <formula>-0.03</formula>
    </cfRule>
  </conditionalFormatting>
  <conditionalFormatting sqref="AR27">
    <cfRule type="cellIs" dxfId="951" priority="357" operator="greaterThan">
      <formula>0.03</formula>
    </cfRule>
    <cfRule type="cellIs" dxfId="950" priority="358" stopIfTrue="1" operator="lessThan">
      <formula>-0.03</formula>
    </cfRule>
  </conditionalFormatting>
  <conditionalFormatting sqref="V31:X38">
    <cfRule type="cellIs" dxfId="949" priority="353" operator="greaterThan">
      <formula>0.03</formula>
    </cfRule>
    <cfRule type="cellIs" dxfId="948" priority="354" stopIfTrue="1" operator="lessThan">
      <formula>-0.03</formula>
    </cfRule>
  </conditionalFormatting>
  <conditionalFormatting sqref="Z31">
    <cfRule type="cellIs" dxfId="947" priority="349" operator="greaterThan">
      <formula>0.03</formula>
    </cfRule>
    <cfRule type="cellIs" dxfId="946" priority="350" stopIfTrue="1" operator="lessThan">
      <formula>-0.03</formula>
    </cfRule>
  </conditionalFormatting>
  <conditionalFormatting sqref="AA31">
    <cfRule type="cellIs" dxfId="945" priority="347" operator="greaterThan">
      <formula>0.03</formula>
    </cfRule>
    <cfRule type="cellIs" dxfId="944" priority="348" stopIfTrue="1" operator="lessThan">
      <formula>-0.03</formula>
    </cfRule>
  </conditionalFormatting>
  <conditionalFormatting sqref="Y35">
    <cfRule type="cellIs" dxfId="943" priority="345" operator="greaterThan">
      <formula>0.03</formula>
    </cfRule>
    <cfRule type="cellIs" dxfId="942" priority="346" stopIfTrue="1" operator="lessThan">
      <formula>-0.03</formula>
    </cfRule>
  </conditionalFormatting>
  <conditionalFormatting sqref="AM31:AO34">
    <cfRule type="cellIs" dxfId="941" priority="335" operator="greaterThan">
      <formula>0.03</formula>
    </cfRule>
    <cfRule type="cellIs" dxfId="940" priority="336" stopIfTrue="1" operator="lessThan">
      <formula>-0.03</formula>
    </cfRule>
  </conditionalFormatting>
  <conditionalFormatting sqref="AP31">
    <cfRule type="cellIs" dxfId="939" priority="333" operator="greaterThan">
      <formula>0.03</formula>
    </cfRule>
    <cfRule type="cellIs" dxfId="938" priority="334" stopIfTrue="1" operator="lessThan">
      <formula>-0.03</formula>
    </cfRule>
  </conditionalFormatting>
  <conditionalFormatting sqref="AR31">
    <cfRule type="cellIs" dxfId="937" priority="329" operator="greaterThan">
      <formula>0.03</formula>
    </cfRule>
    <cfRule type="cellIs" dxfId="936" priority="330" stopIfTrue="1" operator="lessThan">
      <formula>-0.03</formula>
    </cfRule>
  </conditionalFormatting>
  <conditionalFormatting sqref="AP34:AQ34">
    <cfRule type="cellIs" dxfId="935" priority="327" operator="greaterThan">
      <formula>0.03</formula>
    </cfRule>
    <cfRule type="cellIs" dxfId="934" priority="328" stopIfTrue="1" operator="lessThan">
      <formula>-0.03</formula>
    </cfRule>
  </conditionalFormatting>
  <conditionalFormatting sqref="AM35:AO38">
    <cfRule type="cellIs" dxfId="933" priority="325" operator="greaterThan">
      <formula>0.03</formula>
    </cfRule>
    <cfRule type="cellIs" dxfId="932" priority="326" stopIfTrue="1" operator="lessThan">
      <formula>-0.03</formula>
    </cfRule>
  </conditionalFormatting>
  <conditionalFormatting sqref="AP35">
    <cfRule type="cellIs" dxfId="931" priority="323" operator="greaterThan">
      <formula>0.03</formula>
    </cfRule>
    <cfRule type="cellIs" dxfId="930" priority="324" stopIfTrue="1" operator="lessThan">
      <formula>-0.03</formula>
    </cfRule>
  </conditionalFormatting>
  <conditionalFormatting sqref="AQ35">
    <cfRule type="cellIs" dxfId="929" priority="321" operator="greaterThan">
      <formula>0.03</formula>
    </cfRule>
    <cfRule type="cellIs" dxfId="928" priority="322" stopIfTrue="1" operator="lessThan">
      <formula>-0.03</formula>
    </cfRule>
  </conditionalFormatting>
  <conditionalFormatting sqref="AR35">
    <cfRule type="cellIs" dxfId="927" priority="319" operator="greaterThan">
      <formula>0.03</formula>
    </cfRule>
    <cfRule type="cellIs" dxfId="926" priority="320" stopIfTrue="1" operator="lessThan">
      <formula>-0.03</formula>
    </cfRule>
  </conditionalFormatting>
  <conditionalFormatting sqref="AP38:AQ38">
    <cfRule type="cellIs" dxfId="925" priority="317" operator="greaterThan">
      <formula>0.03</formula>
    </cfRule>
    <cfRule type="cellIs" dxfId="924" priority="318" stopIfTrue="1" operator="lessThan">
      <formula>-0.03</formula>
    </cfRule>
  </conditionalFormatting>
  <conditionalFormatting sqref="V39:X46">
    <cfRule type="cellIs" dxfId="923" priority="315" operator="greaterThan">
      <formula>0.03</formula>
    </cfRule>
    <cfRule type="cellIs" dxfId="922" priority="316" stopIfTrue="1" operator="lessThan">
      <formula>-0.03</formula>
    </cfRule>
  </conditionalFormatting>
  <conditionalFormatting sqref="Y39">
    <cfRule type="cellIs" dxfId="921" priority="313" operator="greaterThan">
      <formula>0.03</formula>
    </cfRule>
    <cfRule type="cellIs" dxfId="920" priority="314" stopIfTrue="1" operator="lessThan">
      <formula>-0.03</formula>
    </cfRule>
  </conditionalFormatting>
  <conditionalFormatting sqref="Z39">
    <cfRule type="cellIs" dxfId="919" priority="311" operator="greaterThan">
      <formula>0.03</formula>
    </cfRule>
    <cfRule type="cellIs" dxfId="918" priority="312" stopIfTrue="1" operator="lessThan">
      <formula>-0.03</formula>
    </cfRule>
  </conditionalFormatting>
  <conditionalFormatting sqref="AA39">
    <cfRule type="cellIs" dxfId="917" priority="309" operator="greaterThan">
      <formula>0.03</formula>
    </cfRule>
    <cfRule type="cellIs" dxfId="916" priority="310" stopIfTrue="1" operator="lessThan">
      <formula>-0.03</formula>
    </cfRule>
  </conditionalFormatting>
  <conditionalFormatting sqref="Y43">
    <cfRule type="cellIs" dxfId="915" priority="307" operator="greaterThan">
      <formula>0.03</formula>
    </cfRule>
    <cfRule type="cellIs" dxfId="914" priority="308" stopIfTrue="1" operator="lessThan">
      <formula>-0.03</formula>
    </cfRule>
  </conditionalFormatting>
  <conditionalFormatting sqref="Z43">
    <cfRule type="cellIs" dxfId="913" priority="305" operator="greaterThan">
      <formula>0.03</formula>
    </cfRule>
    <cfRule type="cellIs" dxfId="912" priority="306" stopIfTrue="1" operator="lessThan">
      <formula>-0.03</formula>
    </cfRule>
  </conditionalFormatting>
  <conditionalFormatting sqref="AA43">
    <cfRule type="cellIs" dxfId="911" priority="303" operator="greaterThan">
      <formula>0.03</formula>
    </cfRule>
    <cfRule type="cellIs" dxfId="910" priority="304" stopIfTrue="1" operator="lessThan">
      <formula>-0.03</formula>
    </cfRule>
  </conditionalFormatting>
  <conditionalFormatting sqref="Y42:Z42">
    <cfRule type="cellIs" dxfId="909" priority="301" operator="greaterThan">
      <formula>0.03</formula>
    </cfRule>
    <cfRule type="cellIs" dxfId="908" priority="302" stopIfTrue="1" operator="lessThan">
      <formula>-0.03</formula>
    </cfRule>
  </conditionalFormatting>
  <conditionalFormatting sqref="Y46:Z46">
    <cfRule type="cellIs" dxfId="907" priority="299" operator="greaterThan">
      <formula>0.03</formula>
    </cfRule>
    <cfRule type="cellIs" dxfId="906" priority="300" stopIfTrue="1" operator="lessThan">
      <formula>-0.03</formula>
    </cfRule>
  </conditionalFormatting>
  <conditionalFormatting sqref="AM39:AO42">
    <cfRule type="cellIs" dxfId="905" priority="297" operator="greaterThan">
      <formula>0.03</formula>
    </cfRule>
    <cfRule type="cellIs" dxfId="904" priority="298" stopIfTrue="1" operator="lessThan">
      <formula>-0.03</formula>
    </cfRule>
  </conditionalFormatting>
  <conditionalFormatting sqref="AP39">
    <cfRule type="cellIs" dxfId="903" priority="295" operator="greaterThan">
      <formula>0.03</formula>
    </cfRule>
    <cfRule type="cellIs" dxfId="902" priority="296" stopIfTrue="1" operator="lessThan">
      <formula>-0.03</formula>
    </cfRule>
  </conditionalFormatting>
  <conditionalFormatting sqref="AQ39">
    <cfRule type="cellIs" dxfId="901" priority="293" operator="greaterThan">
      <formula>0.03</formula>
    </cfRule>
    <cfRule type="cellIs" dxfId="900" priority="294" stopIfTrue="1" operator="lessThan">
      <formula>-0.03</formula>
    </cfRule>
  </conditionalFormatting>
  <conditionalFormatting sqref="AR39">
    <cfRule type="cellIs" dxfId="899" priority="291" operator="greaterThan">
      <formula>0.03</formula>
    </cfRule>
    <cfRule type="cellIs" dxfId="898" priority="292" stopIfTrue="1" operator="lessThan">
      <formula>-0.03</formula>
    </cfRule>
  </conditionalFormatting>
  <conditionalFormatting sqref="AP42:AQ42">
    <cfRule type="cellIs" dxfId="897" priority="289" operator="greaterThan">
      <formula>0.03</formula>
    </cfRule>
    <cfRule type="cellIs" dxfId="896" priority="290" stopIfTrue="1" operator="lessThan">
      <formula>-0.03</formula>
    </cfRule>
  </conditionalFormatting>
  <conditionalFormatting sqref="AM43:AO46">
    <cfRule type="cellIs" dxfId="895" priority="287" operator="greaterThan">
      <formula>0.03</formula>
    </cfRule>
    <cfRule type="cellIs" dxfId="894" priority="288" stopIfTrue="1" operator="lessThan">
      <formula>-0.03</formula>
    </cfRule>
  </conditionalFormatting>
  <conditionalFormatting sqref="AP43">
    <cfRule type="cellIs" dxfId="893" priority="285" operator="greaterThan">
      <formula>0.03</formula>
    </cfRule>
    <cfRule type="cellIs" dxfId="892" priority="286" stopIfTrue="1" operator="lessThan">
      <formula>-0.03</formula>
    </cfRule>
  </conditionalFormatting>
  <conditionalFormatting sqref="AQ43">
    <cfRule type="cellIs" dxfId="891" priority="283" operator="greaterThan">
      <formula>0.03</formula>
    </cfRule>
    <cfRule type="cellIs" dxfId="890" priority="284" stopIfTrue="1" operator="lessThan">
      <formula>-0.03</formula>
    </cfRule>
  </conditionalFormatting>
  <conditionalFormatting sqref="AR43">
    <cfRule type="cellIs" dxfId="889" priority="281" operator="greaterThan">
      <formula>0.03</formula>
    </cfRule>
    <cfRule type="cellIs" dxfId="888" priority="282" stopIfTrue="1" operator="lessThan">
      <formula>-0.03</formula>
    </cfRule>
  </conditionalFormatting>
  <conditionalFormatting sqref="AP46:AQ46">
    <cfRule type="cellIs" dxfId="887" priority="279" operator="greaterThan">
      <formula>0.03</formula>
    </cfRule>
    <cfRule type="cellIs" dxfId="886" priority="280" stopIfTrue="1" operator="lessThan">
      <formula>-0.03</formula>
    </cfRule>
  </conditionalFormatting>
  <conditionalFormatting sqref="V47:X62">
    <cfRule type="cellIs" dxfId="885" priority="277" operator="greaterThan">
      <formula>0.03</formula>
    </cfRule>
    <cfRule type="cellIs" dxfId="884" priority="278" stopIfTrue="1" operator="lessThan">
      <formula>-0.03</formula>
    </cfRule>
  </conditionalFormatting>
  <conditionalFormatting sqref="Y47">
    <cfRule type="cellIs" dxfId="883" priority="275" operator="greaterThan">
      <formula>0.03</formula>
    </cfRule>
    <cfRule type="cellIs" dxfId="882" priority="276" stopIfTrue="1" operator="lessThan">
      <formula>-0.03</formula>
    </cfRule>
  </conditionalFormatting>
  <conditionalFormatting sqref="Z47">
    <cfRule type="cellIs" dxfId="881" priority="273" operator="greaterThan">
      <formula>0.03</formula>
    </cfRule>
    <cfRule type="cellIs" dxfId="880" priority="274" stopIfTrue="1" operator="lessThan">
      <formula>-0.03</formula>
    </cfRule>
  </conditionalFormatting>
  <conditionalFormatting sqref="AA47">
    <cfRule type="cellIs" dxfId="879" priority="271" operator="greaterThan">
      <formula>0.03</formula>
    </cfRule>
    <cfRule type="cellIs" dxfId="878" priority="272" stopIfTrue="1" operator="lessThan">
      <formula>-0.03</formula>
    </cfRule>
  </conditionalFormatting>
  <conditionalFormatting sqref="Y51">
    <cfRule type="cellIs" dxfId="877" priority="269" operator="greaterThan">
      <formula>0.03</formula>
    </cfRule>
    <cfRule type="cellIs" dxfId="876" priority="270" stopIfTrue="1" operator="lessThan">
      <formula>-0.03</formula>
    </cfRule>
  </conditionalFormatting>
  <conditionalFormatting sqref="Z51">
    <cfRule type="cellIs" dxfId="875" priority="267" operator="greaterThan">
      <formula>0.03</formula>
    </cfRule>
    <cfRule type="cellIs" dxfId="874" priority="268" stopIfTrue="1" operator="lessThan">
      <formula>-0.03</formula>
    </cfRule>
  </conditionalFormatting>
  <conditionalFormatting sqref="AA51">
    <cfRule type="cellIs" dxfId="873" priority="265" operator="greaterThan">
      <formula>0.03</formula>
    </cfRule>
    <cfRule type="cellIs" dxfId="872" priority="266" stopIfTrue="1" operator="lessThan">
      <formula>-0.03</formula>
    </cfRule>
  </conditionalFormatting>
  <conditionalFormatting sqref="Y55">
    <cfRule type="cellIs" dxfId="871" priority="263" operator="greaterThan">
      <formula>0.03</formula>
    </cfRule>
    <cfRule type="cellIs" dxfId="870" priority="264" stopIfTrue="1" operator="lessThan">
      <formula>-0.03</formula>
    </cfRule>
  </conditionalFormatting>
  <conditionalFormatting sqref="Z55">
    <cfRule type="cellIs" dxfId="869" priority="261" operator="greaterThan">
      <formula>0.03</formula>
    </cfRule>
    <cfRule type="cellIs" dxfId="868" priority="262" stopIfTrue="1" operator="lessThan">
      <formula>-0.03</formula>
    </cfRule>
  </conditionalFormatting>
  <conditionalFormatting sqref="AA55">
    <cfRule type="cellIs" dxfId="867" priority="259" operator="greaterThan">
      <formula>0.03</formula>
    </cfRule>
    <cfRule type="cellIs" dxfId="866" priority="260" stopIfTrue="1" operator="lessThan">
      <formula>-0.03</formula>
    </cfRule>
  </conditionalFormatting>
  <conditionalFormatting sqref="Y59">
    <cfRule type="cellIs" dxfId="865" priority="257" operator="greaterThan">
      <formula>0.03</formula>
    </cfRule>
    <cfRule type="cellIs" dxfId="864" priority="258" stopIfTrue="1" operator="lessThan">
      <formula>-0.03</formula>
    </cfRule>
  </conditionalFormatting>
  <conditionalFormatting sqref="Z59">
    <cfRule type="cellIs" dxfId="863" priority="255" operator="greaterThan">
      <formula>0.03</formula>
    </cfRule>
    <cfRule type="cellIs" dxfId="862" priority="256" stopIfTrue="1" operator="lessThan">
      <formula>-0.03</formula>
    </cfRule>
  </conditionalFormatting>
  <conditionalFormatting sqref="AA59">
    <cfRule type="cellIs" dxfId="861" priority="253" operator="greaterThan">
      <formula>0.03</formula>
    </cfRule>
    <cfRule type="cellIs" dxfId="860" priority="254" stopIfTrue="1" operator="lessThan">
      <formula>-0.03</formula>
    </cfRule>
  </conditionalFormatting>
  <conditionalFormatting sqref="Y50:Z50">
    <cfRule type="cellIs" dxfId="859" priority="251" operator="greaterThan">
      <formula>0.03</formula>
    </cfRule>
    <cfRule type="cellIs" dxfId="858" priority="252" stopIfTrue="1" operator="lessThan">
      <formula>-0.03</formula>
    </cfRule>
  </conditionalFormatting>
  <conditionalFormatting sqref="Y54:Z54">
    <cfRule type="cellIs" dxfId="857" priority="249" operator="greaterThan">
      <formula>0.03</formula>
    </cfRule>
    <cfRule type="cellIs" dxfId="856" priority="250" stopIfTrue="1" operator="lessThan">
      <formula>-0.03</formula>
    </cfRule>
  </conditionalFormatting>
  <conditionalFormatting sqref="Y58:Z58">
    <cfRule type="cellIs" dxfId="855" priority="247" operator="greaterThan">
      <formula>0.03</formula>
    </cfRule>
    <cfRule type="cellIs" dxfId="854" priority="248" stopIfTrue="1" operator="lessThan">
      <formula>-0.03</formula>
    </cfRule>
  </conditionalFormatting>
  <conditionalFormatting sqref="Y62:Z62">
    <cfRule type="cellIs" dxfId="853" priority="245" operator="greaterThan">
      <formula>0.03</formula>
    </cfRule>
    <cfRule type="cellIs" dxfId="852" priority="246" stopIfTrue="1" operator="lessThan">
      <formula>-0.03</formula>
    </cfRule>
  </conditionalFormatting>
  <conditionalFormatting sqref="AM47:AO50">
    <cfRule type="cellIs" dxfId="851" priority="243" operator="greaterThan">
      <formula>0.03</formula>
    </cfRule>
    <cfRule type="cellIs" dxfId="850" priority="244" stopIfTrue="1" operator="lessThan">
      <formula>-0.03</formula>
    </cfRule>
  </conditionalFormatting>
  <conditionalFormatting sqref="AP47">
    <cfRule type="cellIs" dxfId="849" priority="241" operator="greaterThan">
      <formula>0.03</formula>
    </cfRule>
    <cfRule type="cellIs" dxfId="848" priority="242" stopIfTrue="1" operator="lessThan">
      <formula>-0.03</formula>
    </cfRule>
  </conditionalFormatting>
  <conditionalFormatting sqref="AQ47">
    <cfRule type="cellIs" dxfId="847" priority="239" operator="greaterThan">
      <formula>0.03</formula>
    </cfRule>
    <cfRule type="cellIs" dxfId="846" priority="240" stopIfTrue="1" operator="lessThan">
      <formula>-0.03</formula>
    </cfRule>
  </conditionalFormatting>
  <conditionalFormatting sqref="AR47">
    <cfRule type="cellIs" dxfId="845" priority="237" operator="greaterThan">
      <formula>0.03</formula>
    </cfRule>
    <cfRule type="cellIs" dxfId="844" priority="238" stopIfTrue="1" operator="lessThan">
      <formula>-0.03</formula>
    </cfRule>
  </conditionalFormatting>
  <conditionalFormatting sqref="AP50:AQ50">
    <cfRule type="cellIs" dxfId="843" priority="235" operator="greaterThan">
      <formula>0.03</formula>
    </cfRule>
    <cfRule type="cellIs" dxfId="842" priority="236" stopIfTrue="1" operator="lessThan">
      <formula>-0.03</formula>
    </cfRule>
  </conditionalFormatting>
  <conditionalFormatting sqref="AM51:AO54">
    <cfRule type="cellIs" dxfId="841" priority="233" operator="greaterThan">
      <formula>0.03</formula>
    </cfRule>
    <cfRule type="cellIs" dxfId="840" priority="234" stopIfTrue="1" operator="lessThan">
      <formula>-0.03</formula>
    </cfRule>
  </conditionalFormatting>
  <conditionalFormatting sqref="AP51">
    <cfRule type="cellIs" dxfId="839" priority="231" operator="greaterThan">
      <formula>0.03</formula>
    </cfRule>
    <cfRule type="cellIs" dxfId="838" priority="232" stopIfTrue="1" operator="lessThan">
      <formula>-0.03</formula>
    </cfRule>
  </conditionalFormatting>
  <conditionalFormatting sqref="AQ51">
    <cfRule type="cellIs" dxfId="837" priority="229" operator="greaterThan">
      <formula>0.03</formula>
    </cfRule>
    <cfRule type="cellIs" dxfId="836" priority="230" stopIfTrue="1" operator="lessThan">
      <formula>-0.03</formula>
    </cfRule>
  </conditionalFormatting>
  <conditionalFormatting sqref="AR51">
    <cfRule type="cellIs" dxfId="835" priority="227" operator="greaterThan">
      <formula>0.03</formula>
    </cfRule>
    <cfRule type="cellIs" dxfId="834" priority="228" stopIfTrue="1" operator="lessThan">
      <formula>-0.03</formula>
    </cfRule>
  </conditionalFormatting>
  <conditionalFormatting sqref="AP54:AQ54">
    <cfRule type="cellIs" dxfId="833" priority="225" operator="greaterThan">
      <formula>0.03</formula>
    </cfRule>
    <cfRule type="cellIs" dxfId="832" priority="226" stopIfTrue="1" operator="lessThan">
      <formula>-0.03</formula>
    </cfRule>
  </conditionalFormatting>
  <conditionalFormatting sqref="AM55:AO58">
    <cfRule type="cellIs" dxfId="831" priority="223" operator="greaterThan">
      <formula>0.03</formula>
    </cfRule>
    <cfRule type="cellIs" dxfId="830" priority="224" stopIfTrue="1" operator="lessThan">
      <formula>-0.03</formula>
    </cfRule>
  </conditionalFormatting>
  <conditionalFormatting sqref="AP55">
    <cfRule type="cellIs" dxfId="829" priority="221" operator="greaterThan">
      <formula>0.03</formula>
    </cfRule>
    <cfRule type="cellIs" dxfId="828" priority="222" stopIfTrue="1" operator="lessThan">
      <formula>-0.03</formula>
    </cfRule>
  </conditionalFormatting>
  <conditionalFormatting sqref="AQ55">
    <cfRule type="cellIs" dxfId="827" priority="219" operator="greaterThan">
      <formula>0.03</formula>
    </cfRule>
    <cfRule type="cellIs" dxfId="826" priority="220" stopIfTrue="1" operator="lessThan">
      <formula>-0.03</formula>
    </cfRule>
  </conditionalFormatting>
  <conditionalFormatting sqref="AR55">
    <cfRule type="cellIs" dxfId="825" priority="217" operator="greaterThan">
      <formula>0.03</formula>
    </cfRule>
    <cfRule type="cellIs" dxfId="824" priority="218" stopIfTrue="1" operator="lessThan">
      <formula>-0.03</formula>
    </cfRule>
  </conditionalFormatting>
  <conditionalFormatting sqref="AP58:AQ58">
    <cfRule type="cellIs" dxfId="823" priority="215" operator="greaterThan">
      <formula>0.03</formula>
    </cfRule>
    <cfRule type="cellIs" dxfId="822" priority="216" stopIfTrue="1" operator="lessThan">
      <formula>-0.03</formula>
    </cfRule>
  </conditionalFormatting>
  <conditionalFormatting sqref="AM59:AO62">
    <cfRule type="cellIs" dxfId="821" priority="213" operator="greaterThan">
      <formula>0.03</formula>
    </cfRule>
    <cfRule type="cellIs" dxfId="820" priority="214" stopIfTrue="1" operator="lessThan">
      <formula>-0.03</formula>
    </cfRule>
  </conditionalFormatting>
  <conditionalFormatting sqref="AP59">
    <cfRule type="cellIs" dxfId="819" priority="211" operator="greaterThan">
      <formula>0.03</formula>
    </cfRule>
    <cfRule type="cellIs" dxfId="818" priority="212" stopIfTrue="1" operator="lessThan">
      <formula>-0.03</formula>
    </cfRule>
  </conditionalFormatting>
  <conditionalFormatting sqref="AQ59">
    <cfRule type="cellIs" dxfId="817" priority="209" operator="greaterThan">
      <formula>0.03</formula>
    </cfRule>
    <cfRule type="cellIs" dxfId="816" priority="210" stopIfTrue="1" operator="lessThan">
      <formula>-0.03</formula>
    </cfRule>
  </conditionalFormatting>
  <conditionalFormatting sqref="AR59">
    <cfRule type="cellIs" dxfId="815" priority="207" operator="greaterThan">
      <formula>0.03</formula>
    </cfRule>
    <cfRule type="cellIs" dxfId="814" priority="208" stopIfTrue="1" operator="lessThan">
      <formula>-0.03</formula>
    </cfRule>
  </conditionalFormatting>
  <conditionalFormatting sqref="AP62:AQ62">
    <cfRule type="cellIs" dxfId="813" priority="205" operator="greaterThan">
      <formula>0.03</formula>
    </cfRule>
    <cfRule type="cellIs" dxfId="812" priority="206" stopIfTrue="1" operator="lessThan">
      <formula>-0.03</formula>
    </cfRule>
  </conditionalFormatting>
  <conditionalFormatting sqref="V63:X78">
    <cfRule type="cellIs" dxfId="811" priority="203" operator="greaterThan">
      <formula>0.03</formula>
    </cfRule>
    <cfRule type="cellIs" dxfId="810" priority="204" stopIfTrue="1" operator="lessThan">
      <formula>-0.03</formula>
    </cfRule>
  </conditionalFormatting>
  <conditionalFormatting sqref="Y63">
    <cfRule type="cellIs" dxfId="809" priority="201" operator="greaterThan">
      <formula>0.03</formula>
    </cfRule>
    <cfRule type="cellIs" dxfId="808" priority="202" stopIfTrue="1" operator="lessThan">
      <formula>-0.03</formula>
    </cfRule>
  </conditionalFormatting>
  <conditionalFormatting sqref="Z63">
    <cfRule type="cellIs" dxfId="807" priority="199" operator="greaterThan">
      <formula>0.03</formula>
    </cfRule>
    <cfRule type="cellIs" dxfId="806" priority="200" stopIfTrue="1" operator="lessThan">
      <formula>-0.03</formula>
    </cfRule>
  </conditionalFormatting>
  <conditionalFormatting sqref="AA63">
    <cfRule type="cellIs" dxfId="805" priority="197" operator="greaterThan">
      <formula>0.03</formula>
    </cfRule>
    <cfRule type="cellIs" dxfId="804" priority="198" stopIfTrue="1" operator="lessThan">
      <formula>-0.03</formula>
    </cfRule>
  </conditionalFormatting>
  <conditionalFormatting sqref="Z67">
    <cfRule type="cellIs" dxfId="803" priority="193" operator="greaterThan">
      <formula>0.03</formula>
    </cfRule>
    <cfRule type="cellIs" dxfId="802" priority="194" stopIfTrue="1" operator="lessThan">
      <formula>-0.03</formula>
    </cfRule>
  </conditionalFormatting>
  <conditionalFormatting sqref="AA67">
    <cfRule type="cellIs" dxfId="801" priority="191" operator="greaterThan">
      <formula>0.03</formula>
    </cfRule>
    <cfRule type="cellIs" dxfId="800" priority="192" stopIfTrue="1" operator="lessThan">
      <formula>-0.03</formula>
    </cfRule>
  </conditionalFormatting>
  <conditionalFormatting sqref="Y71">
    <cfRule type="cellIs" dxfId="799" priority="189" operator="greaterThan">
      <formula>0.03</formula>
    </cfRule>
    <cfRule type="cellIs" dxfId="798" priority="190" stopIfTrue="1" operator="lessThan">
      <formula>-0.03</formula>
    </cfRule>
  </conditionalFormatting>
  <conditionalFormatting sqref="Z71">
    <cfRule type="cellIs" dxfId="797" priority="187" operator="greaterThan">
      <formula>0.03</formula>
    </cfRule>
    <cfRule type="cellIs" dxfId="796" priority="188" stopIfTrue="1" operator="lessThan">
      <formula>-0.03</formula>
    </cfRule>
  </conditionalFormatting>
  <conditionalFormatting sqref="Y67">
    <cfRule type="cellIs" dxfId="795" priority="195" operator="greaterThan">
      <formula>0.03</formula>
    </cfRule>
    <cfRule type="cellIs" dxfId="794" priority="196" stopIfTrue="1" operator="lessThan">
      <formula>-0.03</formula>
    </cfRule>
  </conditionalFormatting>
  <conditionalFormatting sqref="Y75">
    <cfRule type="cellIs" dxfId="793" priority="183" operator="greaterThan">
      <formula>0.03</formula>
    </cfRule>
    <cfRule type="cellIs" dxfId="792" priority="184" stopIfTrue="1" operator="lessThan">
      <formula>-0.03</formula>
    </cfRule>
  </conditionalFormatting>
  <conditionalFormatting sqref="Z75">
    <cfRule type="cellIs" dxfId="791" priority="181" operator="greaterThan">
      <formula>0.03</formula>
    </cfRule>
    <cfRule type="cellIs" dxfId="790" priority="182" stopIfTrue="1" operator="lessThan">
      <formula>-0.03</formula>
    </cfRule>
  </conditionalFormatting>
  <conditionalFormatting sqref="AA75">
    <cfRule type="cellIs" dxfId="789" priority="179" operator="greaterThan">
      <formula>0.03</formula>
    </cfRule>
    <cfRule type="cellIs" dxfId="788" priority="180" stopIfTrue="1" operator="lessThan">
      <formula>-0.03</formula>
    </cfRule>
  </conditionalFormatting>
  <conditionalFormatting sqref="Y66:Z66">
    <cfRule type="cellIs" dxfId="787" priority="177" operator="greaterThan">
      <formula>0.03</formula>
    </cfRule>
    <cfRule type="cellIs" dxfId="786" priority="178" stopIfTrue="1" operator="lessThan">
      <formula>-0.03</formula>
    </cfRule>
  </conditionalFormatting>
  <conditionalFormatting sqref="AA71">
    <cfRule type="cellIs" dxfId="785" priority="185" operator="greaterThan">
      <formula>0.03</formula>
    </cfRule>
    <cfRule type="cellIs" dxfId="784" priority="186" stopIfTrue="1" operator="lessThan">
      <formula>-0.03</formula>
    </cfRule>
  </conditionalFormatting>
  <conditionalFormatting sqref="AP63">
    <cfRule type="cellIs" dxfId="783" priority="167" operator="greaterThan">
      <formula>0.03</formula>
    </cfRule>
    <cfRule type="cellIs" dxfId="782" priority="168" stopIfTrue="1" operator="lessThan">
      <formula>-0.03</formula>
    </cfRule>
  </conditionalFormatting>
  <conditionalFormatting sqref="Y70:Z70">
    <cfRule type="cellIs" dxfId="781" priority="175" operator="greaterThan">
      <formula>0.03</formula>
    </cfRule>
    <cfRule type="cellIs" dxfId="780" priority="176" stopIfTrue="1" operator="lessThan">
      <formula>-0.03</formula>
    </cfRule>
  </conditionalFormatting>
  <conditionalFormatting sqref="Y74:Z74">
    <cfRule type="cellIs" dxfId="779" priority="173" operator="greaterThan">
      <formula>0.03</formula>
    </cfRule>
    <cfRule type="cellIs" dxfId="778" priority="174" stopIfTrue="1" operator="lessThan">
      <formula>-0.03</formula>
    </cfRule>
  </conditionalFormatting>
  <conditionalFormatting sqref="Y78:Z78">
    <cfRule type="cellIs" dxfId="777" priority="171" operator="greaterThan">
      <formula>0.03</formula>
    </cfRule>
    <cfRule type="cellIs" dxfId="776" priority="172" stopIfTrue="1" operator="lessThan">
      <formula>-0.03</formula>
    </cfRule>
  </conditionalFormatting>
  <conditionalFormatting sqref="AM63:AO66">
    <cfRule type="cellIs" dxfId="775" priority="169" operator="greaterThan">
      <formula>0.03</formula>
    </cfRule>
    <cfRule type="cellIs" dxfId="774" priority="170" stopIfTrue="1" operator="lessThan">
      <formula>-0.03</formula>
    </cfRule>
  </conditionalFormatting>
  <conditionalFormatting sqref="AQ63">
    <cfRule type="cellIs" dxfId="773" priority="165" operator="greaterThan">
      <formula>0.03</formula>
    </cfRule>
    <cfRule type="cellIs" dxfId="772" priority="166" stopIfTrue="1" operator="lessThan">
      <formula>-0.03</formula>
    </cfRule>
  </conditionalFormatting>
  <conditionalFormatting sqref="AR63">
    <cfRule type="cellIs" dxfId="771" priority="163" operator="greaterThan">
      <formula>0.03</formula>
    </cfRule>
    <cfRule type="cellIs" dxfId="770" priority="164" stopIfTrue="1" operator="lessThan">
      <formula>-0.03</formula>
    </cfRule>
  </conditionalFormatting>
  <conditionalFormatting sqref="AP66:AQ66">
    <cfRule type="cellIs" dxfId="769" priority="161" operator="greaterThan">
      <formula>0.03</formula>
    </cfRule>
    <cfRule type="cellIs" dxfId="768" priority="162" stopIfTrue="1" operator="lessThan">
      <formula>-0.03</formula>
    </cfRule>
  </conditionalFormatting>
  <conditionalFormatting sqref="AM67:AO70">
    <cfRule type="cellIs" dxfId="767" priority="159" operator="greaterThan">
      <formula>0.03</formula>
    </cfRule>
    <cfRule type="cellIs" dxfId="766" priority="160" stopIfTrue="1" operator="lessThan">
      <formula>-0.03</formula>
    </cfRule>
  </conditionalFormatting>
  <conditionalFormatting sqref="AP67">
    <cfRule type="cellIs" dxfId="765" priority="157" operator="greaterThan">
      <formula>0.03</formula>
    </cfRule>
    <cfRule type="cellIs" dxfId="764" priority="158" stopIfTrue="1" operator="lessThan">
      <formula>-0.03</formula>
    </cfRule>
  </conditionalFormatting>
  <conditionalFormatting sqref="V3:X14">
    <cfRule type="cellIs" dxfId="763" priority="545" operator="greaterThan">
      <formula>0.03</formula>
    </cfRule>
    <cfRule type="cellIs" dxfId="762" priority="546" stopIfTrue="1" operator="lessThan">
      <formula>-0.03</formula>
    </cfRule>
  </conditionalFormatting>
  <conditionalFormatting sqref="Y3">
    <cfRule type="cellIs" dxfId="761" priority="543" operator="greaterThan">
      <formula>0.03</formula>
    </cfRule>
    <cfRule type="cellIs" dxfId="760" priority="544" stopIfTrue="1" operator="lessThan">
      <formula>-0.03</formula>
    </cfRule>
  </conditionalFormatting>
  <conditionalFormatting sqref="Z3">
    <cfRule type="cellIs" dxfId="759" priority="541" operator="greaterThan">
      <formula>0.03</formula>
    </cfRule>
    <cfRule type="cellIs" dxfId="758" priority="542" stopIfTrue="1" operator="lessThan">
      <formula>-0.03</formula>
    </cfRule>
  </conditionalFormatting>
  <conditionalFormatting sqref="AA3">
    <cfRule type="cellIs" dxfId="757" priority="539" operator="greaterThan">
      <formula>0.03</formula>
    </cfRule>
    <cfRule type="cellIs" dxfId="756" priority="540" stopIfTrue="1" operator="lessThan">
      <formula>-0.03</formula>
    </cfRule>
  </conditionalFormatting>
  <conditionalFormatting sqref="Y7">
    <cfRule type="cellIs" dxfId="755" priority="537" operator="greaterThan">
      <formula>0.03</formula>
    </cfRule>
    <cfRule type="cellIs" dxfId="754" priority="538" stopIfTrue="1" operator="lessThan">
      <formula>-0.03</formula>
    </cfRule>
  </conditionalFormatting>
  <conditionalFormatting sqref="Z7">
    <cfRule type="cellIs" dxfId="753" priority="535" operator="greaterThan">
      <formula>0.03</formula>
    </cfRule>
    <cfRule type="cellIs" dxfId="752" priority="536" stopIfTrue="1" operator="lessThan">
      <formula>-0.03</formula>
    </cfRule>
  </conditionalFormatting>
  <conditionalFormatting sqref="Y11">
    <cfRule type="cellIs" dxfId="751" priority="531" operator="greaterThan">
      <formula>0.03</formula>
    </cfRule>
    <cfRule type="cellIs" dxfId="750" priority="532" stopIfTrue="1" operator="lessThan">
      <formula>-0.03</formula>
    </cfRule>
  </conditionalFormatting>
  <conditionalFormatting sqref="AA11">
    <cfRule type="cellIs" dxfId="749" priority="527" operator="greaterThan">
      <formula>0.03</formula>
    </cfRule>
    <cfRule type="cellIs" dxfId="748" priority="528" stopIfTrue="1" operator="lessThan">
      <formula>-0.03</formula>
    </cfRule>
  </conditionalFormatting>
  <conditionalFormatting sqref="Y10:Z10">
    <cfRule type="cellIs" dxfId="747" priority="517" operator="greaterThan">
      <formula>0.03</formula>
    </cfRule>
    <cfRule type="cellIs" dxfId="746" priority="518" stopIfTrue="1" operator="lessThan">
      <formula>-0.03</formula>
    </cfRule>
  </conditionalFormatting>
  <conditionalFormatting sqref="AQ3">
    <cfRule type="cellIs" dxfId="745" priority="507" operator="greaterThan">
      <formula>0.03</formula>
    </cfRule>
    <cfRule type="cellIs" dxfId="744" priority="508" stopIfTrue="1" operator="lessThan">
      <formula>-0.03</formula>
    </cfRule>
  </conditionalFormatting>
  <conditionalFormatting sqref="AM11:AO14">
    <cfRule type="cellIs" dxfId="743" priority="491" operator="greaterThan">
      <formula>0.03</formula>
    </cfRule>
    <cfRule type="cellIs" dxfId="742" priority="492" stopIfTrue="1" operator="lessThan">
      <formula>-0.03</formula>
    </cfRule>
  </conditionalFormatting>
  <conditionalFormatting sqref="AP11">
    <cfRule type="cellIs" dxfId="741" priority="489" operator="greaterThan">
      <formula>0.03</formula>
    </cfRule>
    <cfRule type="cellIs" dxfId="740" priority="490" stopIfTrue="1" operator="lessThan">
      <formula>-0.03</formula>
    </cfRule>
  </conditionalFormatting>
  <conditionalFormatting sqref="AQ11">
    <cfRule type="cellIs" dxfId="739" priority="487" operator="greaterThan">
      <formula>0.03</formula>
    </cfRule>
    <cfRule type="cellIs" dxfId="738" priority="488" stopIfTrue="1" operator="lessThan">
      <formula>-0.03</formula>
    </cfRule>
  </conditionalFormatting>
  <conditionalFormatting sqref="AR11">
    <cfRule type="cellIs" dxfId="737" priority="485" operator="greaterThan">
      <formula>0.03</formula>
    </cfRule>
    <cfRule type="cellIs" dxfId="736" priority="486" stopIfTrue="1" operator="lessThan">
      <formula>-0.03</formula>
    </cfRule>
  </conditionalFormatting>
  <conditionalFormatting sqref="AP14:AQ14">
    <cfRule type="cellIs" dxfId="735" priority="483" operator="greaterThan">
      <formula>0.03</formula>
    </cfRule>
    <cfRule type="cellIs" dxfId="734" priority="484" stopIfTrue="1" operator="lessThan">
      <formula>-0.03</formula>
    </cfRule>
  </conditionalFormatting>
  <conditionalFormatting sqref="AQ19">
    <cfRule type="cellIs" dxfId="733" priority="399" operator="greaterThan">
      <formula>0.03</formula>
    </cfRule>
    <cfRule type="cellIs" dxfId="732" priority="400" stopIfTrue="1" operator="lessThan">
      <formula>-0.03</formula>
    </cfRule>
  </conditionalFormatting>
  <conditionalFormatting sqref="AR19">
    <cfRule type="cellIs" dxfId="731" priority="397" operator="greaterThan">
      <formula>0.03</formula>
    </cfRule>
    <cfRule type="cellIs" dxfId="730" priority="398" stopIfTrue="1" operator="lessThan">
      <formula>-0.03</formula>
    </cfRule>
  </conditionalFormatting>
  <conditionalFormatting sqref="AR15">
    <cfRule type="cellIs" dxfId="729" priority="407" operator="greaterThan">
      <formula>0.03</formula>
    </cfRule>
    <cfRule type="cellIs" dxfId="728" priority="408" stopIfTrue="1" operator="lessThan">
      <formula>-0.03</formula>
    </cfRule>
  </conditionalFormatting>
  <conditionalFormatting sqref="AM15:AO18">
    <cfRule type="cellIs" dxfId="727" priority="413" operator="greaterThan">
      <formula>0.03</formula>
    </cfRule>
    <cfRule type="cellIs" dxfId="726" priority="414" stopIfTrue="1" operator="lessThan">
      <formula>-0.03</formula>
    </cfRule>
  </conditionalFormatting>
  <conditionalFormatting sqref="AP15">
    <cfRule type="cellIs" dxfId="725" priority="411" operator="greaterThan">
      <formula>0.03</formula>
    </cfRule>
    <cfRule type="cellIs" dxfId="724" priority="412" stopIfTrue="1" operator="lessThan">
      <formula>-0.03</formula>
    </cfRule>
  </conditionalFormatting>
  <conditionalFormatting sqref="AP22:AQ22">
    <cfRule type="cellIs" dxfId="723" priority="395" operator="greaterThan">
      <formula>0.03</formula>
    </cfRule>
    <cfRule type="cellIs" dxfId="722" priority="396" stopIfTrue="1" operator="lessThan">
      <formula>-0.03</formula>
    </cfRule>
  </conditionalFormatting>
  <conditionalFormatting sqref="V111:AA112">
    <cfRule type="cellIs" dxfId="721" priority="469" operator="greaterThan">
      <formula>0.03</formula>
    </cfRule>
    <cfRule type="cellIs" dxfId="720" priority="470" stopIfTrue="1" operator="lessThan">
      <formula>-0.03</formula>
    </cfRule>
  </conditionalFormatting>
  <conditionalFormatting sqref="AM113:AR113">
    <cfRule type="cellIs" dxfId="719" priority="451" operator="greaterThan">
      <formula>0.03</formula>
    </cfRule>
    <cfRule type="cellIs" dxfId="718" priority="452" stopIfTrue="1" operator="lessThan">
      <formula>-0.03</formula>
    </cfRule>
  </conditionalFormatting>
  <conditionalFormatting sqref="AM114:AR114">
    <cfRule type="cellIs" dxfId="717" priority="459" operator="greaterThan">
      <formula>0.03</formula>
    </cfRule>
    <cfRule type="cellIs" dxfId="716" priority="460" stopIfTrue="1" operator="lessThan">
      <formula>-0.03</formula>
    </cfRule>
  </conditionalFormatting>
  <conditionalFormatting sqref="V107:AA107 V109:AA109">
    <cfRule type="cellIs" dxfId="715" priority="467" operator="greaterThan">
      <formula>0.03</formula>
    </cfRule>
    <cfRule type="cellIs" dxfId="714" priority="468" stopIfTrue="1" operator="lessThan">
      <formula>-0.03</formula>
    </cfRule>
  </conditionalFormatting>
  <conditionalFormatting sqref="Y19">
    <cfRule type="cellIs" dxfId="713" priority="439" operator="greaterThan">
      <formula>0.03</formula>
    </cfRule>
    <cfRule type="cellIs" dxfId="712" priority="440" stopIfTrue="1" operator="lessThan">
      <formula>-0.03</formula>
    </cfRule>
  </conditionalFormatting>
  <conditionalFormatting sqref="AM23:AO26">
    <cfRule type="cellIs" dxfId="711" priority="393" operator="greaterThan">
      <formula>0.03</formula>
    </cfRule>
    <cfRule type="cellIs" dxfId="710" priority="394" stopIfTrue="1" operator="lessThan">
      <formula>-0.03</formula>
    </cfRule>
  </conditionalFormatting>
  <conditionalFormatting sqref="AP23">
    <cfRule type="cellIs" dxfId="709" priority="391" operator="greaterThan">
      <formula>0.03</formula>
    </cfRule>
    <cfRule type="cellIs" dxfId="708" priority="392" stopIfTrue="1" operator="lessThan">
      <formula>-0.03</formula>
    </cfRule>
  </conditionalFormatting>
  <conditionalFormatting sqref="AQ23">
    <cfRule type="cellIs" dxfId="707" priority="389" operator="greaterThan">
      <formula>0.03</formula>
    </cfRule>
    <cfRule type="cellIs" dxfId="706" priority="390" stopIfTrue="1" operator="lessThan">
      <formula>-0.03</formula>
    </cfRule>
  </conditionalFormatting>
  <conditionalFormatting sqref="AR23">
    <cfRule type="cellIs" dxfId="705" priority="387" operator="greaterThan">
      <formula>0.03</formula>
    </cfRule>
    <cfRule type="cellIs" dxfId="704" priority="388" stopIfTrue="1" operator="lessThan">
      <formula>-0.03</formula>
    </cfRule>
  </conditionalFormatting>
  <conditionalFormatting sqref="V108:AA108">
    <cfRule type="cellIs" dxfId="703" priority="461" operator="greaterThan">
      <formula>0.03</formula>
    </cfRule>
    <cfRule type="cellIs" dxfId="702" priority="462" stopIfTrue="1" operator="lessThan">
      <formula>-0.03</formula>
    </cfRule>
  </conditionalFormatting>
  <conditionalFormatting sqref="AM110:AR110">
    <cfRule type="cellIs" dxfId="701" priority="453" operator="greaterThan">
      <formula>0.03</formula>
    </cfRule>
    <cfRule type="cellIs" dxfId="700" priority="454" stopIfTrue="1" operator="lessThan">
      <formula>-0.03</formula>
    </cfRule>
  </conditionalFormatting>
  <conditionalFormatting sqref="AM108:AR108">
    <cfRule type="cellIs" dxfId="699" priority="449" operator="greaterThan">
      <formula>0.03</formula>
    </cfRule>
    <cfRule type="cellIs" dxfId="698" priority="450" stopIfTrue="1" operator="lessThan">
      <formula>-0.03</formula>
    </cfRule>
  </conditionalFormatting>
  <conditionalFormatting sqref="V15:X26">
    <cfRule type="cellIs" dxfId="697" priority="447" operator="greaterThan">
      <formula>0.03</formula>
    </cfRule>
    <cfRule type="cellIs" dxfId="696" priority="448" stopIfTrue="1" operator="lessThan">
      <formula>-0.03</formula>
    </cfRule>
  </conditionalFormatting>
  <conditionalFormatting sqref="Y15">
    <cfRule type="cellIs" dxfId="695" priority="445" operator="greaterThan">
      <formula>0.03</formula>
    </cfRule>
    <cfRule type="cellIs" dxfId="694" priority="446" stopIfTrue="1" operator="lessThan">
      <formula>-0.03</formula>
    </cfRule>
  </conditionalFormatting>
  <conditionalFormatting sqref="V110:AA110">
    <cfRule type="cellIs" dxfId="693" priority="465" operator="greaterThan">
      <formula>0.03</formula>
    </cfRule>
    <cfRule type="cellIs" dxfId="692" priority="466" stopIfTrue="1" operator="lessThan">
      <formula>-0.03</formula>
    </cfRule>
  </conditionalFormatting>
  <conditionalFormatting sqref="V113:AA113">
    <cfRule type="cellIs" dxfId="691" priority="463" operator="greaterThan">
      <formula>0.03</formula>
    </cfRule>
    <cfRule type="cellIs" dxfId="690" priority="464" stopIfTrue="1" operator="lessThan">
      <formula>-0.03</formula>
    </cfRule>
  </conditionalFormatting>
  <conditionalFormatting sqref="AM107:AR107 AM109:AR109">
    <cfRule type="cellIs" dxfId="689" priority="455" operator="greaterThan">
      <formula>0.03</formula>
    </cfRule>
    <cfRule type="cellIs" dxfId="688" priority="456" stopIfTrue="1" operator="lessThan">
      <formula>-0.03</formula>
    </cfRule>
  </conditionalFormatting>
  <conditionalFormatting sqref="Z15">
    <cfRule type="cellIs" dxfId="687" priority="443" operator="greaterThan">
      <formula>0.03</formula>
    </cfRule>
    <cfRule type="cellIs" dxfId="686" priority="444" stopIfTrue="1" operator="lessThan">
      <formula>-0.03</formula>
    </cfRule>
  </conditionalFormatting>
  <conditionalFormatting sqref="AA15">
    <cfRule type="cellIs" dxfId="685" priority="441" operator="greaterThan">
      <formula>0.03</formula>
    </cfRule>
    <cfRule type="cellIs" dxfId="684" priority="442" stopIfTrue="1" operator="lessThan">
      <formula>-0.03</formula>
    </cfRule>
  </conditionalFormatting>
  <conditionalFormatting sqref="Z23">
    <cfRule type="cellIs" dxfId="683" priority="431" operator="greaterThan">
      <formula>0.03</formula>
    </cfRule>
    <cfRule type="cellIs" dxfId="682" priority="432" stopIfTrue="1" operator="lessThan">
      <formula>-0.03</formula>
    </cfRule>
  </conditionalFormatting>
  <conditionalFormatting sqref="AA23">
    <cfRule type="cellIs" dxfId="681" priority="429" operator="greaterThan">
      <formula>0.03</formula>
    </cfRule>
    <cfRule type="cellIs" dxfId="680" priority="430" stopIfTrue="1" operator="lessThan">
      <formula>-0.03</formula>
    </cfRule>
  </conditionalFormatting>
  <conditionalFormatting sqref="Y18:Z18">
    <cfRule type="cellIs" dxfId="679" priority="421" operator="greaterThan">
      <formula>0.03</formula>
    </cfRule>
    <cfRule type="cellIs" dxfId="678" priority="422" stopIfTrue="1" operator="lessThan">
      <formula>-0.03</formula>
    </cfRule>
  </conditionalFormatting>
  <conditionalFormatting sqref="Y22:Z22">
    <cfRule type="cellIs" dxfId="677" priority="419" operator="greaterThan">
      <formula>0.03</formula>
    </cfRule>
    <cfRule type="cellIs" dxfId="676" priority="420" stopIfTrue="1" operator="lessThan">
      <formula>-0.03</formula>
    </cfRule>
  </conditionalFormatting>
  <conditionalFormatting sqref="Y26:Z26">
    <cfRule type="cellIs" dxfId="675" priority="417" operator="greaterThan">
      <formula>0.03</formula>
    </cfRule>
    <cfRule type="cellIs" dxfId="674" priority="418" stopIfTrue="1" operator="lessThan">
      <formula>-0.03</formula>
    </cfRule>
  </conditionalFormatting>
  <conditionalFormatting sqref="AP26:AQ26">
    <cfRule type="cellIs" dxfId="673" priority="385" operator="greaterThan">
      <formula>0.03</formula>
    </cfRule>
    <cfRule type="cellIs" dxfId="672" priority="386" stopIfTrue="1" operator="lessThan">
      <formula>-0.03</formula>
    </cfRule>
  </conditionalFormatting>
  <conditionalFormatting sqref="V27:X30">
    <cfRule type="cellIs" dxfId="671" priority="373" operator="greaterThan">
      <formula>0.03</formula>
    </cfRule>
    <cfRule type="cellIs" dxfId="670" priority="374" stopIfTrue="1" operator="lessThan">
      <formula>-0.03</formula>
    </cfRule>
  </conditionalFormatting>
  <conditionalFormatting sqref="Y27">
    <cfRule type="cellIs" dxfId="669" priority="371" operator="greaterThan">
      <formula>0.03</formula>
    </cfRule>
    <cfRule type="cellIs" dxfId="668" priority="372" stopIfTrue="1" operator="lessThan">
      <formula>-0.03</formula>
    </cfRule>
  </conditionalFormatting>
  <conditionalFormatting sqref="Z27">
    <cfRule type="cellIs" dxfId="667" priority="369" operator="greaterThan">
      <formula>0.03</formula>
    </cfRule>
    <cfRule type="cellIs" dxfId="666" priority="370" stopIfTrue="1" operator="lessThan">
      <formula>-0.03</formula>
    </cfRule>
  </conditionalFormatting>
  <conditionalFormatting sqref="Y102:Z102">
    <cfRule type="cellIs" dxfId="665" priority="99" operator="greaterThan">
      <formula>0.03</formula>
    </cfRule>
    <cfRule type="cellIs" dxfId="664" priority="100" stopIfTrue="1" operator="lessThan">
      <formula>-0.03</formula>
    </cfRule>
  </conditionalFormatting>
  <conditionalFormatting sqref="Y98:Z98">
    <cfRule type="cellIs" dxfId="663" priority="101" operator="greaterThan">
      <formula>0.03</formula>
    </cfRule>
    <cfRule type="cellIs" dxfId="662" priority="102" stopIfTrue="1" operator="lessThan">
      <formula>-0.03</formula>
    </cfRule>
  </conditionalFormatting>
  <conditionalFormatting sqref="AM91:AO94">
    <cfRule type="cellIs" dxfId="661" priority="95" operator="greaterThan">
      <formula>0.03</formula>
    </cfRule>
    <cfRule type="cellIs" dxfId="660" priority="96" stopIfTrue="1" operator="lessThan">
      <formula>-0.03</formula>
    </cfRule>
  </conditionalFormatting>
  <conditionalFormatting sqref="AQ91">
    <cfRule type="cellIs" dxfId="659" priority="91" operator="greaterThan">
      <formula>0.03</formula>
    </cfRule>
    <cfRule type="cellIs" dxfId="658" priority="92" stopIfTrue="1" operator="lessThan">
      <formula>-0.03</formula>
    </cfRule>
  </conditionalFormatting>
  <conditionalFormatting sqref="AP91">
    <cfRule type="cellIs" dxfId="657" priority="93" operator="greaterThan">
      <formula>0.03</formula>
    </cfRule>
    <cfRule type="cellIs" dxfId="656" priority="94" stopIfTrue="1" operator="lessThan">
      <formula>-0.03</formula>
    </cfRule>
  </conditionalFormatting>
  <conditionalFormatting sqref="AR91">
    <cfRule type="cellIs" dxfId="655" priority="89" operator="greaterThan">
      <formula>0.03</formula>
    </cfRule>
    <cfRule type="cellIs" dxfId="654" priority="90" stopIfTrue="1" operator="lessThan">
      <formula>-0.03</formula>
    </cfRule>
  </conditionalFormatting>
  <conditionalFormatting sqref="AM95:AO98">
    <cfRule type="cellIs" dxfId="653" priority="85" operator="greaterThan">
      <formula>0.03</formula>
    </cfRule>
    <cfRule type="cellIs" dxfId="652" priority="86" stopIfTrue="1" operator="lessThan">
      <formula>-0.03</formula>
    </cfRule>
  </conditionalFormatting>
  <conditionalFormatting sqref="AQ95">
    <cfRule type="cellIs" dxfId="651" priority="81" operator="greaterThan">
      <formula>0.03</formula>
    </cfRule>
    <cfRule type="cellIs" dxfId="650" priority="82" stopIfTrue="1" operator="lessThan">
      <formula>-0.03</formula>
    </cfRule>
  </conditionalFormatting>
  <conditionalFormatting sqref="AP95">
    <cfRule type="cellIs" dxfId="649" priority="83" operator="greaterThan">
      <formula>0.03</formula>
    </cfRule>
    <cfRule type="cellIs" dxfId="648" priority="84" stopIfTrue="1" operator="lessThan">
      <formula>-0.03</formula>
    </cfRule>
  </conditionalFormatting>
  <conditionalFormatting sqref="AR95">
    <cfRule type="cellIs" dxfId="647" priority="79" operator="greaterThan">
      <formula>0.03</formula>
    </cfRule>
    <cfRule type="cellIs" dxfId="646" priority="80" stopIfTrue="1" operator="lessThan">
      <formula>-0.03</formula>
    </cfRule>
  </conditionalFormatting>
  <conditionalFormatting sqref="Y106:Z106">
    <cfRule type="cellIs" dxfId="645" priority="97" operator="greaterThan">
      <formula>0.03</formula>
    </cfRule>
    <cfRule type="cellIs" dxfId="644" priority="98" stopIfTrue="1" operator="lessThan">
      <formula>-0.03</formula>
    </cfRule>
  </conditionalFormatting>
  <conditionalFormatting sqref="AP94:AQ94">
    <cfRule type="cellIs" dxfId="643" priority="87" operator="greaterThan">
      <formula>0.03</formula>
    </cfRule>
    <cfRule type="cellIs" dxfId="642" priority="88" stopIfTrue="1" operator="lessThan">
      <formula>-0.03</formula>
    </cfRule>
  </conditionalFormatting>
  <conditionalFormatting sqref="AP98:AQ98">
    <cfRule type="cellIs" dxfId="641" priority="77" operator="greaterThan">
      <formula>0.03</formula>
    </cfRule>
    <cfRule type="cellIs" dxfId="640" priority="78" stopIfTrue="1" operator="lessThan">
      <formula>-0.03</formula>
    </cfRule>
  </conditionalFormatting>
  <conditionalFormatting sqref="AM99:AO102">
    <cfRule type="cellIs" dxfId="639" priority="75" operator="greaterThan">
      <formula>0.03</formula>
    </cfRule>
    <cfRule type="cellIs" dxfId="638" priority="76" stopIfTrue="1" operator="lessThan">
      <formula>-0.03</formula>
    </cfRule>
  </conditionalFormatting>
  <conditionalFormatting sqref="AP99">
    <cfRule type="cellIs" dxfId="637" priority="73" operator="greaterThan">
      <formula>0.03</formula>
    </cfRule>
    <cfRule type="cellIs" dxfId="636" priority="74" stopIfTrue="1" operator="lessThan">
      <formula>-0.03</formula>
    </cfRule>
  </conditionalFormatting>
  <conditionalFormatting sqref="AP102:AQ102">
    <cfRule type="cellIs" dxfId="635" priority="67" operator="greaterThan">
      <formula>0.03</formula>
    </cfRule>
    <cfRule type="cellIs" dxfId="634" priority="68" stopIfTrue="1" operator="lessThan">
      <formula>-0.03</formula>
    </cfRule>
  </conditionalFormatting>
  <conditionalFormatting sqref="AQ103">
    <cfRule type="cellIs" dxfId="633" priority="61" operator="greaterThan">
      <formula>0.03</formula>
    </cfRule>
    <cfRule type="cellIs" dxfId="632" priority="62" stopIfTrue="1" operator="lessThan">
      <formula>-0.03</formula>
    </cfRule>
  </conditionalFormatting>
  <conditionalFormatting sqref="AR103">
    <cfRule type="cellIs" dxfId="631" priority="59" operator="greaterThan">
      <formula>0.03</formula>
    </cfRule>
    <cfRule type="cellIs" dxfId="630" priority="60" stopIfTrue="1" operator="lessThan">
      <formula>-0.03</formula>
    </cfRule>
  </conditionalFormatting>
  <conditionalFormatting sqref="AQ79">
    <cfRule type="cellIs" dxfId="629" priority="25" operator="greaterThan">
      <formula>0.03</formula>
    </cfRule>
    <cfRule type="cellIs" dxfId="628" priority="26" stopIfTrue="1" operator="lessThan">
      <formula>-0.03</formula>
    </cfRule>
  </conditionalFormatting>
  <conditionalFormatting sqref="Z83">
    <cfRule type="cellIs" dxfId="627" priority="45" operator="greaterThan">
      <formula>0.03</formula>
    </cfRule>
    <cfRule type="cellIs" dxfId="626" priority="46" stopIfTrue="1" operator="lessThan">
      <formula>-0.03</formula>
    </cfRule>
  </conditionalFormatting>
  <conditionalFormatting sqref="AQ99">
    <cfRule type="cellIs" dxfId="625" priority="71" operator="greaterThan">
      <formula>0.03</formula>
    </cfRule>
    <cfRule type="cellIs" dxfId="624" priority="72" stopIfTrue="1" operator="lessThan">
      <formula>-0.03</formula>
    </cfRule>
  </conditionalFormatting>
  <conditionalFormatting sqref="AR99">
    <cfRule type="cellIs" dxfId="623" priority="69" operator="greaterThan">
      <formula>0.03</formula>
    </cfRule>
    <cfRule type="cellIs" dxfId="622" priority="70" stopIfTrue="1" operator="lessThan">
      <formula>-0.03</formula>
    </cfRule>
  </conditionalFormatting>
  <conditionalFormatting sqref="AM103:AO106">
    <cfRule type="cellIs" dxfId="621" priority="65" operator="greaterThan">
      <formula>0.03</formula>
    </cfRule>
    <cfRule type="cellIs" dxfId="620" priority="66" stopIfTrue="1" operator="lessThan">
      <formula>-0.03</formula>
    </cfRule>
  </conditionalFormatting>
  <conditionalFormatting sqref="AP106:AQ106">
    <cfRule type="cellIs" dxfId="619" priority="57" operator="greaterThan">
      <formula>0.03</formula>
    </cfRule>
    <cfRule type="cellIs" dxfId="618" priority="58" stopIfTrue="1" operator="lessThan">
      <formula>-0.03</formula>
    </cfRule>
  </conditionalFormatting>
  <conditionalFormatting sqref="Z87">
    <cfRule type="cellIs" dxfId="617" priority="39" operator="greaterThan">
      <formula>0.03</formula>
    </cfRule>
    <cfRule type="cellIs" dxfId="616" priority="40" stopIfTrue="1" operator="lessThan">
      <formula>-0.03</formula>
    </cfRule>
  </conditionalFormatting>
  <conditionalFormatting sqref="Y83">
    <cfRule type="cellIs" dxfId="615" priority="47" operator="greaterThan">
      <formula>0.03</formula>
    </cfRule>
    <cfRule type="cellIs" dxfId="614" priority="48" stopIfTrue="1" operator="lessThan">
      <formula>-0.03</formula>
    </cfRule>
  </conditionalFormatting>
  <conditionalFormatting sqref="V79:X90">
    <cfRule type="cellIs" dxfId="613" priority="55" operator="greaterThan">
      <formula>0.03</formula>
    </cfRule>
    <cfRule type="cellIs" dxfId="612" priority="56" stopIfTrue="1" operator="lessThan">
      <formula>-0.03</formula>
    </cfRule>
  </conditionalFormatting>
  <conditionalFormatting sqref="AP103">
    <cfRule type="cellIs" dxfId="611" priority="63" operator="greaterThan">
      <formula>0.03</formula>
    </cfRule>
    <cfRule type="cellIs" dxfId="610" priority="64" stopIfTrue="1" operator="lessThan">
      <formula>-0.03</formula>
    </cfRule>
  </conditionalFormatting>
  <conditionalFormatting sqref="AP79">
    <cfRule type="cellIs" dxfId="609" priority="27" operator="greaterThan">
      <formula>0.03</formula>
    </cfRule>
    <cfRule type="cellIs" dxfId="608" priority="28" stopIfTrue="1" operator="lessThan">
      <formula>-0.03</formula>
    </cfRule>
  </conditionalFormatting>
  <conditionalFormatting sqref="AA79">
    <cfRule type="cellIs" dxfId="607" priority="49" operator="greaterThan">
      <formula>0.03</formula>
    </cfRule>
    <cfRule type="cellIs" dxfId="606" priority="50" stopIfTrue="1" operator="lessThan">
      <formula>-0.03</formula>
    </cfRule>
  </conditionalFormatting>
  <conditionalFormatting sqref="Y87">
    <cfRule type="cellIs" dxfId="605" priority="41" operator="greaterThan">
      <formula>0.03</formula>
    </cfRule>
    <cfRule type="cellIs" dxfId="604" priority="42" stopIfTrue="1" operator="lessThan">
      <formula>-0.03</formula>
    </cfRule>
  </conditionalFormatting>
  <conditionalFormatting sqref="AA87">
    <cfRule type="cellIs" dxfId="603" priority="37" operator="greaterThan">
      <formula>0.03</formula>
    </cfRule>
    <cfRule type="cellIs" dxfId="602" priority="38" stopIfTrue="1" operator="lessThan">
      <formula>-0.03</formula>
    </cfRule>
  </conditionalFormatting>
  <conditionalFormatting sqref="Y82:Z82">
    <cfRule type="cellIs" dxfId="601" priority="35" operator="greaterThan">
      <formula>0.03</formula>
    </cfRule>
    <cfRule type="cellIs" dxfId="600" priority="36" stopIfTrue="1" operator="lessThan">
      <formula>-0.03</formula>
    </cfRule>
  </conditionalFormatting>
  <conditionalFormatting sqref="Y86:Z86">
    <cfRule type="cellIs" dxfId="599" priority="33" operator="greaterThan">
      <formula>0.03</formula>
    </cfRule>
    <cfRule type="cellIs" dxfId="598" priority="34" stopIfTrue="1" operator="lessThan">
      <formula>-0.03</formula>
    </cfRule>
  </conditionalFormatting>
  <conditionalFormatting sqref="Y79">
    <cfRule type="cellIs" dxfId="597" priority="53" operator="greaterThan">
      <formula>0.03</formula>
    </cfRule>
    <cfRule type="cellIs" dxfId="596" priority="54" stopIfTrue="1" operator="lessThan">
      <formula>-0.03</formula>
    </cfRule>
  </conditionalFormatting>
  <conditionalFormatting sqref="Z79">
    <cfRule type="cellIs" dxfId="595" priority="51" operator="greaterThan">
      <formula>0.03</formula>
    </cfRule>
    <cfRule type="cellIs" dxfId="594" priority="52" stopIfTrue="1" operator="lessThan">
      <formula>-0.03</formula>
    </cfRule>
  </conditionalFormatting>
  <conditionalFormatting sqref="AA83">
    <cfRule type="cellIs" dxfId="593" priority="43" operator="greaterThan">
      <formula>0.03</formula>
    </cfRule>
    <cfRule type="cellIs" dxfId="592" priority="44" stopIfTrue="1" operator="lessThan">
      <formula>-0.03</formula>
    </cfRule>
  </conditionalFormatting>
  <conditionalFormatting sqref="Y90:Z90">
    <cfRule type="cellIs" dxfId="591" priority="31" operator="greaterThan">
      <formula>0.03</formula>
    </cfRule>
    <cfRule type="cellIs" dxfId="590" priority="32" stopIfTrue="1" operator="lessThan">
      <formula>-0.03</formula>
    </cfRule>
  </conditionalFormatting>
  <conditionalFormatting sqref="AM79:AO82">
    <cfRule type="cellIs" dxfId="589" priority="29" operator="greaterThan">
      <formula>0.03</formula>
    </cfRule>
    <cfRule type="cellIs" dxfId="588" priority="30" stopIfTrue="1" operator="lessThan">
      <formula>-0.03</formula>
    </cfRule>
  </conditionalFormatting>
  <conditionalFormatting sqref="AP83">
    <cfRule type="cellIs" dxfId="587" priority="17" operator="greaterThan">
      <formula>0.03</formula>
    </cfRule>
    <cfRule type="cellIs" dxfId="586" priority="18" stopIfTrue="1" operator="lessThan">
      <formula>-0.03</formula>
    </cfRule>
  </conditionalFormatting>
  <conditionalFormatting sqref="AQ83">
    <cfRule type="cellIs" dxfId="585" priority="15" operator="greaterThan">
      <formula>0.03</formula>
    </cfRule>
    <cfRule type="cellIs" dxfId="584" priority="16" stopIfTrue="1" operator="lessThan">
      <formula>-0.03</formula>
    </cfRule>
  </conditionalFormatting>
  <conditionalFormatting sqref="AR79">
    <cfRule type="cellIs" dxfId="583" priority="23" operator="greaterThan">
      <formula>0.03</formula>
    </cfRule>
    <cfRule type="cellIs" dxfId="582" priority="24" stopIfTrue="1" operator="lessThan">
      <formula>-0.03</formula>
    </cfRule>
  </conditionalFormatting>
  <conditionalFormatting sqref="AM83:AO86">
    <cfRule type="cellIs" dxfId="581" priority="19" operator="greaterThan">
      <formula>0.03</formula>
    </cfRule>
    <cfRule type="cellIs" dxfId="580" priority="20" stopIfTrue="1" operator="lessThan">
      <formula>-0.03</formula>
    </cfRule>
  </conditionalFormatting>
  <conditionalFormatting sqref="AP82:AQ82">
    <cfRule type="cellIs" dxfId="579" priority="21" operator="greaterThan">
      <formula>0.03</formula>
    </cfRule>
    <cfRule type="cellIs" dxfId="578" priority="22" stopIfTrue="1" operator="lessThan">
      <formula>-0.03</formula>
    </cfRule>
  </conditionalFormatting>
  <conditionalFormatting sqref="AQ87">
    <cfRule type="cellIs" dxfId="577" priority="5" operator="greaterThan">
      <formula>0.03</formula>
    </cfRule>
    <cfRule type="cellIs" dxfId="576" priority="6" stopIfTrue="1" operator="lessThan">
      <formula>-0.03</formula>
    </cfRule>
  </conditionalFormatting>
  <conditionalFormatting sqref="AR83">
    <cfRule type="cellIs" dxfId="575" priority="13" operator="greaterThan">
      <formula>0.03</formula>
    </cfRule>
    <cfRule type="cellIs" dxfId="574" priority="14" stopIfTrue="1" operator="lessThan">
      <formula>-0.03</formula>
    </cfRule>
  </conditionalFormatting>
  <conditionalFormatting sqref="AP90:AQ90">
    <cfRule type="cellIs" dxfId="573" priority="1" operator="greaterThan">
      <formula>0.03</formula>
    </cfRule>
    <cfRule type="cellIs" dxfId="572" priority="2" stopIfTrue="1" operator="lessThan">
      <formula>-0.03</formula>
    </cfRule>
  </conditionalFormatting>
  <conditionalFormatting sqref="AP86:AQ86">
    <cfRule type="cellIs" dxfId="571" priority="11" operator="greaterThan">
      <formula>0.03</formula>
    </cfRule>
    <cfRule type="cellIs" dxfId="570" priority="12" stopIfTrue="1" operator="lessThan">
      <formula>-0.03</formula>
    </cfRule>
  </conditionalFormatting>
  <conditionalFormatting sqref="AM87:AO90">
    <cfRule type="cellIs" dxfId="569" priority="9" operator="greaterThan">
      <formula>0.03</formula>
    </cfRule>
    <cfRule type="cellIs" dxfId="568" priority="10" stopIfTrue="1" operator="lessThan">
      <formula>-0.03</formula>
    </cfRule>
  </conditionalFormatting>
  <conditionalFormatting sqref="AP87">
    <cfRule type="cellIs" dxfId="567" priority="7" operator="greaterThan">
      <formula>0.03</formula>
    </cfRule>
    <cfRule type="cellIs" dxfId="566" priority="8" stopIfTrue="1" operator="lessThan">
      <formula>-0.03</formula>
    </cfRule>
  </conditionalFormatting>
  <conditionalFormatting sqref="AR87">
    <cfRule type="cellIs" dxfId="565" priority="3" operator="greaterThan">
      <formula>0.03</formula>
    </cfRule>
    <cfRule type="cellIs" dxfId="564" priority="4" stopIfTrue="1" operator="lessThan">
      <formula>-0.03</formula>
    </cfRule>
  </conditionalFormatting>
  <conditionalFormatting sqref="Y94:Z94">
    <cfRule type="cellIs" dxfId="563" priority="103" operator="greaterThan">
      <formula>0.03</formula>
    </cfRule>
    <cfRule type="cellIs" dxfId="562" priority="104" stopIfTrue="1" operator="lessThan">
      <formula>-0.03</formula>
    </cfRule>
  </conditionalFormatting>
  <conditionalFormatting sqref="Z103">
    <cfRule type="cellIs" dxfId="561" priority="107" operator="greaterThan">
      <formula>0.03</formula>
    </cfRule>
    <cfRule type="cellIs" dxfId="560" priority="108" stopIfTrue="1" operator="lessThan">
      <formula>-0.03</formula>
    </cfRule>
  </conditionalFormatting>
  <conditionalFormatting sqref="Y103">
    <cfRule type="cellIs" dxfId="559" priority="109" operator="greaterThan">
      <formula>0.03</formula>
    </cfRule>
    <cfRule type="cellIs" dxfId="558" priority="110" stopIfTrue="1" operator="lessThan">
      <formula>-0.03</formula>
    </cfRule>
  </conditionalFormatting>
  <conditionalFormatting sqref="AA103">
    <cfRule type="cellIs" dxfId="557" priority="105" operator="greaterThan">
      <formula>0.03</formula>
    </cfRule>
    <cfRule type="cellIs" dxfId="556" priority="106" stopIfTrue="1" operator="lessThan">
      <formula>-0.03</formula>
    </cfRule>
  </conditionalFormatting>
  <conditionalFormatting sqref="AP78:AQ78">
    <cfRule type="cellIs" dxfId="555" priority="131" operator="greaterThan">
      <formula>0.03</formula>
    </cfRule>
    <cfRule type="cellIs" dxfId="554" priority="132" stopIfTrue="1" operator="lessThan">
      <formula>-0.03</formula>
    </cfRule>
  </conditionalFormatting>
  <conditionalFormatting sqref="AP70:AQ70">
    <cfRule type="cellIs" dxfId="553" priority="151" operator="greaterThan">
      <formula>0.03</formula>
    </cfRule>
    <cfRule type="cellIs" dxfId="552" priority="152" stopIfTrue="1" operator="lessThan">
      <formula>-0.03</formula>
    </cfRule>
  </conditionalFormatting>
  <conditionalFormatting sqref="AQ71">
    <cfRule type="cellIs" dxfId="551" priority="145" operator="greaterThan">
      <formula>0.03</formula>
    </cfRule>
    <cfRule type="cellIs" dxfId="550" priority="146" stopIfTrue="1" operator="lessThan">
      <formula>-0.03</formula>
    </cfRule>
  </conditionalFormatting>
  <conditionalFormatting sqref="AR67">
    <cfRule type="cellIs" dxfId="549" priority="153" operator="greaterThan">
      <formula>0.03</formula>
    </cfRule>
    <cfRule type="cellIs" dxfId="548" priority="154" stopIfTrue="1" operator="lessThan">
      <formula>-0.03</formula>
    </cfRule>
  </conditionalFormatting>
  <conditionalFormatting sqref="AR75">
    <cfRule type="cellIs" dxfId="547" priority="133" operator="greaterThan">
      <formula>0.03</formula>
    </cfRule>
    <cfRule type="cellIs" dxfId="546" priority="134" stopIfTrue="1" operator="lessThan">
      <formula>-0.03</formula>
    </cfRule>
  </conditionalFormatting>
  <conditionalFormatting sqref="AQ67">
    <cfRule type="cellIs" dxfId="545" priority="155" operator="greaterThan">
      <formula>0.03</formula>
    </cfRule>
    <cfRule type="cellIs" dxfId="544" priority="156" stopIfTrue="1" operator="lessThan">
      <formula>-0.03</formula>
    </cfRule>
  </conditionalFormatting>
  <conditionalFormatting sqref="AP71">
    <cfRule type="cellIs" dxfId="543" priority="147" operator="greaterThan">
      <formula>0.03</formula>
    </cfRule>
    <cfRule type="cellIs" dxfId="542" priority="148" stopIfTrue="1" operator="lessThan">
      <formula>-0.03</formula>
    </cfRule>
  </conditionalFormatting>
  <conditionalFormatting sqref="AR71">
    <cfRule type="cellIs" dxfId="541" priority="143" operator="greaterThan">
      <formula>0.03</formula>
    </cfRule>
    <cfRule type="cellIs" dxfId="540" priority="144" stopIfTrue="1" operator="lessThan">
      <formula>-0.03</formula>
    </cfRule>
  </conditionalFormatting>
  <conditionalFormatting sqref="AP74:AQ74">
    <cfRule type="cellIs" dxfId="539" priority="141" operator="greaterThan">
      <formula>0.03</formula>
    </cfRule>
    <cfRule type="cellIs" dxfId="538" priority="142" stopIfTrue="1" operator="lessThan">
      <formula>-0.03</formula>
    </cfRule>
  </conditionalFormatting>
  <conditionalFormatting sqref="AM75:AO78">
    <cfRule type="cellIs" dxfId="537" priority="139" operator="greaterThan">
      <formula>0.03</formula>
    </cfRule>
    <cfRule type="cellIs" dxfId="536" priority="140" stopIfTrue="1" operator="lessThan">
      <formula>-0.03</formula>
    </cfRule>
  </conditionalFormatting>
  <conditionalFormatting sqref="AM71:AO74">
    <cfRule type="cellIs" dxfId="535" priority="149" operator="greaterThan">
      <formula>0.03</formula>
    </cfRule>
    <cfRule type="cellIs" dxfId="534" priority="150" stopIfTrue="1" operator="lessThan">
      <formula>-0.03</formula>
    </cfRule>
  </conditionalFormatting>
  <conditionalFormatting sqref="AP75">
    <cfRule type="cellIs" dxfId="533" priority="137" operator="greaterThan">
      <formula>0.03</formula>
    </cfRule>
    <cfRule type="cellIs" dxfId="532" priority="138" stopIfTrue="1" operator="lessThan">
      <formula>-0.03</formula>
    </cfRule>
  </conditionalFormatting>
  <conditionalFormatting sqref="AQ75">
    <cfRule type="cellIs" dxfId="531" priority="135" operator="greaterThan">
      <formula>0.03</formula>
    </cfRule>
    <cfRule type="cellIs" dxfId="530" priority="136" stopIfTrue="1" operator="lessThan">
      <formula>-0.03</formula>
    </cfRule>
  </conditionalFormatting>
  <conditionalFormatting sqref="Y99">
    <cfRule type="cellIs" dxfId="529" priority="115" operator="greaterThan">
      <formula>0.03</formula>
    </cfRule>
    <cfRule type="cellIs" dxfId="528" priority="116" stopIfTrue="1" operator="lessThan">
      <formula>-0.03</formula>
    </cfRule>
  </conditionalFormatting>
  <conditionalFormatting sqref="V91:X106">
    <cfRule type="cellIs" dxfId="527" priority="129" operator="greaterThan">
      <formula>0.03</formula>
    </cfRule>
    <cfRule type="cellIs" dxfId="526" priority="130" stopIfTrue="1" operator="lessThan">
      <formula>-0.03</formula>
    </cfRule>
  </conditionalFormatting>
  <conditionalFormatting sqref="Y91">
    <cfRule type="cellIs" dxfId="525" priority="127" operator="greaterThan">
      <formula>0.03</formula>
    </cfRule>
    <cfRule type="cellIs" dxfId="524" priority="128" stopIfTrue="1" operator="lessThan">
      <formula>-0.03</formula>
    </cfRule>
  </conditionalFormatting>
  <conditionalFormatting sqref="Z91">
    <cfRule type="cellIs" dxfId="523" priority="125" operator="greaterThan">
      <formula>0.03</formula>
    </cfRule>
    <cfRule type="cellIs" dxfId="522" priority="126" stopIfTrue="1" operator="lessThan">
      <formula>-0.03</formula>
    </cfRule>
  </conditionalFormatting>
  <conditionalFormatting sqref="AA91">
    <cfRule type="cellIs" dxfId="521" priority="123" operator="greaterThan">
      <formula>0.03</formula>
    </cfRule>
    <cfRule type="cellIs" dxfId="520" priority="124" stopIfTrue="1" operator="lessThan">
      <formula>-0.03</formula>
    </cfRule>
  </conditionalFormatting>
  <conditionalFormatting sqref="Y95">
    <cfRule type="cellIs" dxfId="519" priority="121" operator="greaterThan">
      <formula>0.03</formula>
    </cfRule>
    <cfRule type="cellIs" dxfId="518" priority="122" stopIfTrue="1" operator="lessThan">
      <formula>-0.03</formula>
    </cfRule>
  </conditionalFormatting>
  <conditionalFormatting sqref="Z95">
    <cfRule type="cellIs" dxfId="517" priority="119" operator="greaterThan">
      <formula>0.03</formula>
    </cfRule>
    <cfRule type="cellIs" dxfId="516" priority="120" stopIfTrue="1" operator="lessThan">
      <formula>-0.03</formula>
    </cfRule>
  </conditionalFormatting>
  <conditionalFormatting sqref="AA95">
    <cfRule type="cellIs" dxfId="515" priority="117" operator="greaterThan">
      <formula>0.03</formula>
    </cfRule>
    <cfRule type="cellIs" dxfId="514" priority="118" stopIfTrue="1" operator="lessThan">
      <formula>-0.03</formula>
    </cfRule>
  </conditionalFormatting>
  <conditionalFormatting sqref="Z99">
    <cfRule type="cellIs" dxfId="513" priority="113" operator="greaterThan">
      <formula>0.03</formula>
    </cfRule>
    <cfRule type="cellIs" dxfId="512" priority="114" stopIfTrue="1" operator="lessThan">
      <formula>-0.03</formula>
    </cfRule>
  </conditionalFormatting>
  <conditionalFormatting sqref="AA99">
    <cfRule type="cellIs" dxfId="511" priority="111" operator="greaterThan">
      <formula>0.03</formula>
    </cfRule>
    <cfRule type="cellIs" dxfId="51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R117"/>
  <sheetViews>
    <sheetView workbookViewId="0">
      <selection activeCell="Q132" sqref="Q132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28" width="10.875" style="1"/>
    <col min="29" max="29" width="9.875" style="1" customWidth="1"/>
    <col min="30" max="32" width="6.875" style="1" customWidth="1"/>
    <col min="33" max="35" width="8.875" style="1" customWidth="1"/>
    <col min="36" max="37" width="5.125" style="1" customWidth="1"/>
    <col min="38" max="38" width="4.625" style="1" customWidth="1"/>
    <col min="39" max="44" width="8.875" style="1" customWidth="1"/>
    <col min="45" max="16384" width="10.875" style="1"/>
  </cols>
  <sheetData>
    <row r="1" spans="1:44" ht="12.75" thickBot="1" x14ac:dyDescent="0.25">
      <c r="D1" s="116" t="s">
        <v>12</v>
      </c>
      <c r="E1" s="117"/>
      <c r="F1" s="117"/>
      <c r="G1" s="117"/>
      <c r="H1" s="117"/>
      <c r="I1" s="117"/>
      <c r="J1" s="118"/>
      <c r="L1" s="116" t="s">
        <v>13</v>
      </c>
      <c r="M1" s="117"/>
      <c r="N1" s="117"/>
      <c r="O1" s="117"/>
      <c r="P1" s="117"/>
      <c r="Q1" s="117"/>
      <c r="R1" s="118"/>
      <c r="S1" s="38"/>
      <c r="T1" s="38"/>
      <c r="U1" s="2"/>
      <c r="V1" s="116" t="s">
        <v>24</v>
      </c>
      <c r="W1" s="117"/>
      <c r="X1" s="118"/>
      <c r="Y1" s="116" t="s">
        <v>25</v>
      </c>
      <c r="Z1" s="117"/>
      <c r="AA1" s="118"/>
      <c r="AC1" s="116" t="s">
        <v>37</v>
      </c>
      <c r="AD1" s="117"/>
      <c r="AE1" s="117"/>
      <c r="AF1" s="117"/>
      <c r="AG1" s="117"/>
      <c r="AH1" s="117"/>
      <c r="AI1" s="118"/>
      <c r="AJ1" s="38"/>
      <c r="AK1" s="38"/>
      <c r="AM1" s="116" t="s">
        <v>24</v>
      </c>
      <c r="AN1" s="117"/>
      <c r="AO1" s="118"/>
      <c r="AP1" s="116" t="s">
        <v>25</v>
      </c>
      <c r="AQ1" s="117"/>
      <c r="AR1" s="118"/>
    </row>
    <row r="2" spans="1:44" ht="12.75" thickBot="1" x14ac:dyDescent="0.25">
      <c r="A2" s="58"/>
      <c r="B2" s="54"/>
      <c r="C2" s="53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40</v>
      </c>
      <c r="T2" s="7" t="s">
        <v>41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  <c r="AC2" s="8" t="s">
        <v>14</v>
      </c>
      <c r="AD2" s="9" t="s">
        <v>15</v>
      </c>
      <c r="AE2" s="9" t="s">
        <v>16</v>
      </c>
      <c r="AF2" s="9" t="s">
        <v>17</v>
      </c>
      <c r="AG2" s="9" t="s">
        <v>18</v>
      </c>
      <c r="AH2" s="9" t="s">
        <v>19</v>
      </c>
      <c r="AI2" s="10" t="s">
        <v>20</v>
      </c>
      <c r="AJ2" s="7" t="s">
        <v>40</v>
      </c>
      <c r="AK2" s="7" t="s">
        <v>41</v>
      </c>
      <c r="AM2" s="8" t="s">
        <v>21</v>
      </c>
      <c r="AN2" s="9" t="s">
        <v>22</v>
      </c>
      <c r="AO2" s="10" t="s">
        <v>23</v>
      </c>
      <c r="AP2" s="8" t="s">
        <v>21</v>
      </c>
      <c r="AQ2" s="9" t="s">
        <v>22</v>
      </c>
      <c r="AR2" s="10" t="s">
        <v>23</v>
      </c>
    </row>
    <row r="3" spans="1:44" x14ac:dyDescent="0.2">
      <c r="A3" s="11" t="s">
        <v>75</v>
      </c>
      <c r="B3" s="11" t="s">
        <v>420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9"/>
      <c r="V3" s="42"/>
      <c r="W3" s="47"/>
      <c r="X3" s="48"/>
      <c r="Y3" s="42"/>
      <c r="Z3" s="47"/>
      <c r="AA3" s="48"/>
      <c r="AB3" s="54"/>
      <c r="AC3" s="12"/>
      <c r="AD3" s="13"/>
      <c r="AE3" s="13"/>
      <c r="AF3" s="13"/>
      <c r="AG3" s="13"/>
      <c r="AH3" s="13"/>
      <c r="AI3" s="14"/>
      <c r="AJ3" s="13"/>
      <c r="AK3" s="13"/>
      <c r="AL3" s="54"/>
      <c r="AM3" s="42"/>
      <c r="AN3" s="47"/>
      <c r="AO3" s="48"/>
      <c r="AP3" s="42"/>
      <c r="AQ3" s="47"/>
      <c r="AR3" s="48"/>
    </row>
    <row r="4" spans="1:44" x14ac:dyDescent="0.2">
      <c r="A4" s="16" t="s">
        <v>48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60"/>
      <c r="V4" s="43"/>
      <c r="W4" s="26"/>
      <c r="X4" s="55"/>
      <c r="Y4" s="43"/>
      <c r="Z4" s="26"/>
      <c r="AA4" s="55"/>
      <c r="AB4" s="20"/>
      <c r="AC4" s="17"/>
      <c r="AD4" s="18"/>
      <c r="AE4" s="18"/>
      <c r="AF4" s="18"/>
      <c r="AG4" s="18"/>
      <c r="AH4" s="18"/>
      <c r="AI4" s="19"/>
      <c r="AJ4" s="18"/>
      <c r="AK4" s="18"/>
      <c r="AL4" s="20"/>
      <c r="AM4" s="43"/>
      <c r="AN4" s="26"/>
      <c r="AO4" s="55"/>
      <c r="AP4" s="43"/>
      <c r="AQ4" s="26"/>
      <c r="AR4" s="55"/>
    </row>
    <row r="5" spans="1:44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60"/>
      <c r="V5" s="43"/>
      <c r="W5" s="26"/>
      <c r="X5" s="55"/>
      <c r="Y5" s="43"/>
      <c r="Z5" s="26"/>
      <c r="AA5" s="55"/>
      <c r="AB5" s="20"/>
      <c r="AC5" s="17"/>
      <c r="AD5" s="18"/>
      <c r="AE5" s="18"/>
      <c r="AF5" s="18"/>
      <c r="AG5" s="18"/>
      <c r="AH5" s="18"/>
      <c r="AI5" s="19"/>
      <c r="AJ5" s="18"/>
      <c r="AK5" s="18"/>
      <c r="AL5" s="20"/>
      <c r="AM5" s="43"/>
      <c r="AN5" s="26"/>
      <c r="AO5" s="55"/>
      <c r="AP5" s="43"/>
      <c r="AQ5" s="26"/>
      <c r="AR5" s="55"/>
    </row>
    <row r="6" spans="1:44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60"/>
      <c r="V6" s="44"/>
      <c r="W6" s="56"/>
      <c r="X6" s="57"/>
      <c r="Y6" s="44"/>
      <c r="Z6" s="56"/>
      <c r="AA6" s="57"/>
      <c r="AB6" s="20"/>
      <c r="AC6" s="22"/>
      <c r="AD6" s="23"/>
      <c r="AE6" s="23"/>
      <c r="AF6" s="23"/>
      <c r="AG6" s="23"/>
      <c r="AH6" s="23"/>
      <c r="AI6" s="24"/>
      <c r="AJ6" s="18"/>
      <c r="AK6" s="18"/>
      <c r="AL6" s="20"/>
      <c r="AM6" s="44"/>
      <c r="AN6" s="56"/>
      <c r="AO6" s="57"/>
      <c r="AP6" s="44"/>
      <c r="AQ6" s="56"/>
      <c r="AR6" s="57"/>
    </row>
    <row r="7" spans="1:44" x14ac:dyDescent="0.2">
      <c r="A7" s="16"/>
      <c r="B7" s="11" t="s">
        <v>421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60"/>
      <c r="V7" s="42"/>
      <c r="W7" s="47"/>
      <c r="X7" s="47"/>
      <c r="Y7" s="45"/>
      <c r="Z7" s="49"/>
      <c r="AA7" s="50"/>
      <c r="AB7" s="20"/>
      <c r="AC7" s="12"/>
      <c r="AD7" s="13"/>
      <c r="AE7" s="13"/>
      <c r="AF7" s="13"/>
      <c r="AG7" s="13"/>
      <c r="AH7" s="13"/>
      <c r="AI7" s="14"/>
      <c r="AJ7" s="18"/>
      <c r="AK7" s="18"/>
      <c r="AL7" s="20"/>
      <c r="AM7" s="42"/>
      <c r="AN7" s="47"/>
      <c r="AO7" s="48"/>
      <c r="AP7" s="42"/>
      <c r="AQ7" s="47"/>
      <c r="AR7" s="48"/>
    </row>
    <row r="8" spans="1:44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60"/>
      <c r="V8" s="43"/>
      <c r="W8" s="26"/>
      <c r="X8" s="26"/>
      <c r="Y8" s="43"/>
      <c r="Z8" s="26"/>
      <c r="AA8" s="55"/>
      <c r="AB8" s="20"/>
      <c r="AC8" s="17"/>
      <c r="AD8" s="18"/>
      <c r="AE8" s="18"/>
      <c r="AF8" s="18"/>
      <c r="AG8" s="18"/>
      <c r="AH8" s="18"/>
      <c r="AI8" s="19"/>
      <c r="AJ8" s="18"/>
      <c r="AK8" s="18"/>
      <c r="AL8" s="20"/>
      <c r="AM8" s="43"/>
      <c r="AN8" s="26"/>
      <c r="AO8" s="55"/>
      <c r="AP8" s="43"/>
      <c r="AQ8" s="26"/>
      <c r="AR8" s="55"/>
    </row>
    <row r="9" spans="1:44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60"/>
      <c r="V9" s="43"/>
      <c r="W9" s="26"/>
      <c r="X9" s="26"/>
      <c r="Y9" s="43"/>
      <c r="Z9" s="26"/>
      <c r="AA9" s="55"/>
      <c r="AB9" s="20"/>
      <c r="AC9" s="17"/>
      <c r="AD9" s="18"/>
      <c r="AE9" s="18"/>
      <c r="AF9" s="18"/>
      <c r="AG9" s="18"/>
      <c r="AH9" s="18"/>
      <c r="AI9" s="19"/>
      <c r="AJ9" s="18"/>
      <c r="AK9" s="18"/>
      <c r="AL9" s="20"/>
      <c r="AM9" s="43"/>
      <c r="AN9" s="26"/>
      <c r="AO9" s="55"/>
      <c r="AP9" s="43"/>
      <c r="AQ9" s="26"/>
      <c r="AR9" s="55"/>
    </row>
    <row r="10" spans="1:44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60"/>
      <c r="V10" s="44"/>
      <c r="W10" s="56"/>
      <c r="X10" s="56"/>
      <c r="Y10" s="44"/>
      <c r="Z10" s="56"/>
      <c r="AA10" s="57"/>
      <c r="AB10" s="20"/>
      <c r="AC10" s="22"/>
      <c r="AD10" s="23"/>
      <c r="AE10" s="23"/>
      <c r="AF10" s="23"/>
      <c r="AG10" s="23"/>
      <c r="AH10" s="23"/>
      <c r="AI10" s="24"/>
      <c r="AJ10" s="18"/>
      <c r="AK10" s="18"/>
      <c r="AL10" s="20"/>
      <c r="AM10" s="44"/>
      <c r="AN10" s="56"/>
      <c r="AO10" s="57"/>
      <c r="AP10" s="44"/>
      <c r="AQ10" s="56"/>
      <c r="AR10" s="57"/>
    </row>
    <row r="11" spans="1:44" x14ac:dyDescent="0.2">
      <c r="A11" s="36"/>
      <c r="B11" s="35" t="s">
        <v>422</v>
      </c>
      <c r="C11" s="35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60"/>
      <c r="V11" s="42"/>
      <c r="W11" s="47"/>
      <c r="X11" s="47"/>
      <c r="Y11" s="45"/>
      <c r="Z11" s="49"/>
      <c r="AA11" s="50"/>
      <c r="AB11" s="20"/>
      <c r="AC11" s="12"/>
      <c r="AD11" s="13"/>
      <c r="AE11" s="13"/>
      <c r="AF11" s="13"/>
      <c r="AG11" s="13"/>
      <c r="AH11" s="13"/>
      <c r="AI11" s="14"/>
      <c r="AJ11" s="18"/>
      <c r="AK11" s="18"/>
      <c r="AL11" s="20"/>
      <c r="AM11" s="42"/>
      <c r="AN11" s="47"/>
      <c r="AO11" s="48"/>
      <c r="AP11" s="42"/>
      <c r="AQ11" s="47"/>
      <c r="AR11" s="48"/>
    </row>
    <row r="12" spans="1:44" x14ac:dyDescent="0.2">
      <c r="A12" s="36"/>
      <c r="B12" s="36"/>
      <c r="C12" s="36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60"/>
      <c r="V12" s="43"/>
      <c r="W12" s="26"/>
      <c r="X12" s="26"/>
      <c r="Y12" s="43"/>
      <c r="Z12" s="26"/>
      <c r="AA12" s="55"/>
      <c r="AB12" s="20"/>
      <c r="AC12" s="17"/>
      <c r="AD12" s="18"/>
      <c r="AE12" s="18"/>
      <c r="AF12" s="18"/>
      <c r="AG12" s="18"/>
      <c r="AH12" s="18"/>
      <c r="AI12" s="19"/>
      <c r="AJ12" s="18"/>
      <c r="AK12" s="18"/>
      <c r="AL12" s="20"/>
      <c r="AM12" s="43"/>
      <c r="AN12" s="26"/>
      <c r="AO12" s="55"/>
      <c r="AP12" s="43"/>
      <c r="AQ12" s="26"/>
      <c r="AR12" s="55"/>
    </row>
    <row r="13" spans="1:44" x14ac:dyDescent="0.2">
      <c r="A13" s="36"/>
      <c r="B13" s="36"/>
      <c r="C13" s="36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60"/>
      <c r="V13" s="43"/>
      <c r="W13" s="26"/>
      <c r="X13" s="26"/>
      <c r="Y13" s="43"/>
      <c r="Z13" s="26"/>
      <c r="AA13" s="55"/>
      <c r="AB13" s="20"/>
      <c r="AC13" s="17"/>
      <c r="AD13" s="18"/>
      <c r="AE13" s="18"/>
      <c r="AF13" s="18"/>
      <c r="AG13" s="18"/>
      <c r="AH13" s="18"/>
      <c r="AI13" s="19"/>
      <c r="AJ13" s="18"/>
      <c r="AK13" s="18"/>
      <c r="AL13" s="20"/>
      <c r="AM13" s="43"/>
      <c r="AN13" s="26"/>
      <c r="AO13" s="55"/>
      <c r="AP13" s="43"/>
      <c r="AQ13" s="26"/>
      <c r="AR13" s="55"/>
    </row>
    <row r="14" spans="1:44" ht="12.75" thickBot="1" x14ac:dyDescent="0.25">
      <c r="A14" s="36"/>
      <c r="B14" s="37"/>
      <c r="C14" s="37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60"/>
      <c r="V14" s="44"/>
      <c r="W14" s="56"/>
      <c r="X14" s="56"/>
      <c r="Y14" s="44"/>
      <c r="Z14" s="56"/>
      <c r="AA14" s="57"/>
      <c r="AB14" s="20"/>
      <c r="AC14" s="22"/>
      <c r="AD14" s="23"/>
      <c r="AE14" s="23"/>
      <c r="AF14" s="23"/>
      <c r="AG14" s="23"/>
      <c r="AH14" s="23"/>
      <c r="AI14" s="24"/>
      <c r="AJ14" s="18"/>
      <c r="AK14" s="18"/>
      <c r="AL14" s="20"/>
      <c r="AM14" s="44"/>
      <c r="AN14" s="56"/>
      <c r="AO14" s="57"/>
      <c r="AP14" s="44"/>
      <c r="AQ14" s="56"/>
      <c r="AR14" s="57"/>
    </row>
    <row r="15" spans="1:44" x14ac:dyDescent="0.2">
      <c r="A15" s="11" t="s">
        <v>76</v>
      </c>
      <c r="B15" s="11" t="s">
        <v>423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9"/>
      <c r="V15" s="42"/>
      <c r="W15" s="47"/>
      <c r="X15" s="48"/>
      <c r="Y15" s="42"/>
      <c r="Z15" s="47"/>
      <c r="AA15" s="48"/>
      <c r="AB15" s="54"/>
      <c r="AC15" s="12"/>
      <c r="AD15" s="13"/>
      <c r="AE15" s="13"/>
      <c r="AF15" s="13"/>
      <c r="AG15" s="13"/>
      <c r="AH15" s="13"/>
      <c r="AI15" s="14"/>
      <c r="AJ15" s="13"/>
      <c r="AK15" s="13"/>
      <c r="AL15" s="54"/>
      <c r="AM15" s="42"/>
      <c r="AN15" s="47"/>
      <c r="AO15" s="48"/>
      <c r="AP15" s="42"/>
      <c r="AQ15" s="47"/>
      <c r="AR15" s="48"/>
    </row>
    <row r="16" spans="1:44" x14ac:dyDescent="0.2">
      <c r="A16" s="16" t="s">
        <v>48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60"/>
      <c r="V16" s="43"/>
      <c r="W16" s="26"/>
      <c r="X16" s="55"/>
      <c r="Y16" s="43"/>
      <c r="Z16" s="26"/>
      <c r="AA16" s="55"/>
      <c r="AB16" s="20"/>
      <c r="AC16" s="17"/>
      <c r="AD16" s="18"/>
      <c r="AE16" s="18"/>
      <c r="AF16" s="18"/>
      <c r="AG16" s="18"/>
      <c r="AH16" s="18"/>
      <c r="AI16" s="19"/>
      <c r="AJ16" s="18"/>
      <c r="AK16" s="18"/>
      <c r="AL16" s="20"/>
      <c r="AM16" s="43"/>
      <c r="AN16" s="26"/>
      <c r="AO16" s="55"/>
      <c r="AP16" s="43"/>
      <c r="AQ16" s="26"/>
      <c r="AR16" s="55"/>
    </row>
    <row r="17" spans="1:44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60"/>
      <c r="V17" s="43"/>
      <c r="W17" s="26"/>
      <c r="X17" s="55"/>
      <c r="Y17" s="43"/>
      <c r="Z17" s="26"/>
      <c r="AA17" s="55"/>
      <c r="AB17" s="20"/>
      <c r="AC17" s="17"/>
      <c r="AD17" s="18"/>
      <c r="AE17" s="18"/>
      <c r="AF17" s="18"/>
      <c r="AG17" s="18"/>
      <c r="AH17" s="18"/>
      <c r="AI17" s="19"/>
      <c r="AJ17" s="18"/>
      <c r="AK17" s="18"/>
      <c r="AL17" s="20"/>
      <c r="AM17" s="43"/>
      <c r="AN17" s="26"/>
      <c r="AO17" s="55"/>
      <c r="AP17" s="43"/>
      <c r="AQ17" s="26"/>
      <c r="AR17" s="55"/>
    </row>
    <row r="18" spans="1:44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60"/>
      <c r="V18" s="44"/>
      <c r="W18" s="56"/>
      <c r="X18" s="57"/>
      <c r="Y18" s="44"/>
      <c r="Z18" s="56"/>
      <c r="AA18" s="57"/>
      <c r="AB18" s="20"/>
      <c r="AC18" s="22"/>
      <c r="AD18" s="23"/>
      <c r="AE18" s="23"/>
      <c r="AF18" s="23"/>
      <c r="AG18" s="23"/>
      <c r="AH18" s="23"/>
      <c r="AI18" s="24"/>
      <c r="AJ18" s="18"/>
      <c r="AK18" s="18"/>
      <c r="AL18" s="20"/>
      <c r="AM18" s="44"/>
      <c r="AN18" s="56"/>
      <c r="AO18" s="57"/>
      <c r="AP18" s="44"/>
      <c r="AQ18" s="56"/>
      <c r="AR18" s="57"/>
    </row>
    <row r="19" spans="1:44" x14ac:dyDescent="0.2">
      <c r="A19" s="16"/>
      <c r="B19" s="16" t="s">
        <v>424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60"/>
      <c r="V19" s="42"/>
      <c r="W19" s="47"/>
      <c r="X19" s="47"/>
      <c r="Y19" s="45"/>
      <c r="Z19" s="49"/>
      <c r="AA19" s="50"/>
      <c r="AB19" s="20"/>
      <c r="AC19" s="12"/>
      <c r="AD19" s="13"/>
      <c r="AE19" s="13"/>
      <c r="AF19" s="13"/>
      <c r="AG19" s="13"/>
      <c r="AH19" s="13"/>
      <c r="AI19" s="14"/>
      <c r="AJ19" s="18"/>
      <c r="AK19" s="18"/>
      <c r="AL19" s="20"/>
      <c r="AM19" s="42"/>
      <c r="AN19" s="47"/>
      <c r="AO19" s="48"/>
      <c r="AP19" s="42"/>
      <c r="AQ19" s="47"/>
      <c r="AR19" s="48"/>
    </row>
    <row r="20" spans="1:44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60"/>
      <c r="V20" s="43"/>
      <c r="W20" s="26"/>
      <c r="X20" s="26"/>
      <c r="Y20" s="43"/>
      <c r="Z20" s="26"/>
      <c r="AA20" s="55"/>
      <c r="AB20" s="20"/>
      <c r="AC20" s="17"/>
      <c r="AD20" s="18"/>
      <c r="AE20" s="18"/>
      <c r="AF20" s="18"/>
      <c r="AG20" s="18"/>
      <c r="AH20" s="18"/>
      <c r="AI20" s="19"/>
      <c r="AJ20" s="18"/>
      <c r="AK20" s="18"/>
      <c r="AL20" s="20"/>
      <c r="AM20" s="43"/>
      <c r="AN20" s="26"/>
      <c r="AO20" s="55"/>
      <c r="AP20" s="43"/>
      <c r="AQ20" s="26"/>
      <c r="AR20" s="55"/>
    </row>
    <row r="21" spans="1:44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60"/>
      <c r="V21" s="43"/>
      <c r="W21" s="26"/>
      <c r="X21" s="26"/>
      <c r="Y21" s="43"/>
      <c r="Z21" s="26"/>
      <c r="AA21" s="55"/>
      <c r="AB21" s="20"/>
      <c r="AC21" s="17"/>
      <c r="AD21" s="18"/>
      <c r="AE21" s="18"/>
      <c r="AF21" s="18"/>
      <c r="AG21" s="18"/>
      <c r="AH21" s="18"/>
      <c r="AI21" s="19"/>
      <c r="AJ21" s="18"/>
      <c r="AK21" s="18"/>
      <c r="AL21" s="20"/>
      <c r="AM21" s="43"/>
      <c r="AN21" s="26"/>
      <c r="AO21" s="55"/>
      <c r="AP21" s="43"/>
      <c r="AQ21" s="26"/>
      <c r="AR21" s="55"/>
    </row>
    <row r="22" spans="1:44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60"/>
      <c r="V22" s="44"/>
      <c r="W22" s="56"/>
      <c r="X22" s="56"/>
      <c r="Y22" s="44"/>
      <c r="Z22" s="56"/>
      <c r="AA22" s="57"/>
      <c r="AB22" s="20"/>
      <c r="AC22" s="22"/>
      <c r="AD22" s="23"/>
      <c r="AE22" s="23"/>
      <c r="AF22" s="23"/>
      <c r="AG22" s="23"/>
      <c r="AH22" s="23"/>
      <c r="AI22" s="24"/>
      <c r="AJ22" s="18"/>
      <c r="AK22" s="18"/>
      <c r="AL22" s="20"/>
      <c r="AM22" s="44"/>
      <c r="AN22" s="56"/>
      <c r="AO22" s="57"/>
      <c r="AP22" s="44"/>
      <c r="AQ22" s="56"/>
      <c r="AR22" s="57"/>
    </row>
    <row r="23" spans="1:44" x14ac:dyDescent="0.2">
      <c r="A23" s="36"/>
      <c r="B23" s="16" t="s">
        <v>425</v>
      </c>
      <c r="C23" s="35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60"/>
      <c r="V23" s="42"/>
      <c r="W23" s="47"/>
      <c r="X23" s="47"/>
      <c r="Y23" s="45"/>
      <c r="Z23" s="49"/>
      <c r="AA23" s="50"/>
      <c r="AB23" s="20"/>
      <c r="AC23" s="12"/>
      <c r="AD23" s="13"/>
      <c r="AE23" s="13"/>
      <c r="AF23" s="13"/>
      <c r="AG23" s="13"/>
      <c r="AH23" s="13"/>
      <c r="AI23" s="14"/>
      <c r="AJ23" s="18"/>
      <c r="AK23" s="18"/>
      <c r="AL23" s="20"/>
      <c r="AM23" s="42"/>
      <c r="AN23" s="47"/>
      <c r="AO23" s="48"/>
      <c r="AP23" s="42"/>
      <c r="AQ23" s="47"/>
      <c r="AR23" s="48"/>
    </row>
    <row r="24" spans="1:44" x14ac:dyDescent="0.2">
      <c r="A24" s="36"/>
      <c r="B24" s="16"/>
      <c r="C24" s="36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60"/>
      <c r="V24" s="43"/>
      <c r="W24" s="26"/>
      <c r="X24" s="26"/>
      <c r="Y24" s="43"/>
      <c r="Z24" s="26"/>
      <c r="AA24" s="55"/>
      <c r="AB24" s="20"/>
      <c r="AC24" s="17"/>
      <c r="AD24" s="18"/>
      <c r="AE24" s="18"/>
      <c r="AF24" s="18"/>
      <c r="AG24" s="18"/>
      <c r="AH24" s="18"/>
      <c r="AI24" s="19"/>
      <c r="AJ24" s="18"/>
      <c r="AK24" s="18"/>
      <c r="AL24" s="20"/>
      <c r="AM24" s="43"/>
      <c r="AN24" s="26"/>
      <c r="AO24" s="55"/>
      <c r="AP24" s="43"/>
      <c r="AQ24" s="26"/>
      <c r="AR24" s="55"/>
    </row>
    <row r="25" spans="1:44" x14ac:dyDescent="0.2">
      <c r="A25" s="36"/>
      <c r="B25" s="36"/>
      <c r="C25" s="36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60"/>
      <c r="V25" s="43"/>
      <c r="W25" s="26"/>
      <c r="X25" s="26"/>
      <c r="Y25" s="43"/>
      <c r="Z25" s="26"/>
      <c r="AA25" s="55"/>
      <c r="AB25" s="20"/>
      <c r="AC25" s="17"/>
      <c r="AD25" s="18"/>
      <c r="AE25" s="18"/>
      <c r="AF25" s="18"/>
      <c r="AG25" s="18"/>
      <c r="AH25" s="18"/>
      <c r="AI25" s="19"/>
      <c r="AJ25" s="18"/>
      <c r="AK25" s="18"/>
      <c r="AL25" s="20"/>
      <c r="AM25" s="43"/>
      <c r="AN25" s="26"/>
      <c r="AO25" s="55"/>
      <c r="AP25" s="43"/>
      <c r="AQ25" s="26"/>
      <c r="AR25" s="55"/>
    </row>
    <row r="26" spans="1:44" ht="12.75" thickBot="1" x14ac:dyDescent="0.25">
      <c r="A26" s="36"/>
      <c r="B26" s="37"/>
      <c r="C26" s="37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60"/>
      <c r="V26" s="44"/>
      <c r="W26" s="56"/>
      <c r="X26" s="56"/>
      <c r="Y26" s="44"/>
      <c r="Z26" s="56"/>
      <c r="AA26" s="57"/>
      <c r="AB26" s="20"/>
      <c r="AC26" s="22"/>
      <c r="AD26" s="23"/>
      <c r="AE26" s="23"/>
      <c r="AF26" s="23"/>
      <c r="AG26" s="23"/>
      <c r="AH26" s="23"/>
      <c r="AI26" s="24"/>
      <c r="AJ26" s="18"/>
      <c r="AK26" s="18"/>
      <c r="AL26" s="20"/>
      <c r="AM26" s="44"/>
      <c r="AN26" s="56"/>
      <c r="AO26" s="57"/>
      <c r="AP26" s="44"/>
      <c r="AQ26" s="56"/>
      <c r="AR26" s="57"/>
    </row>
    <row r="27" spans="1:44" x14ac:dyDescent="0.2">
      <c r="A27" s="11" t="s">
        <v>1</v>
      </c>
      <c r="B27" s="11" t="s">
        <v>427</v>
      </c>
      <c r="C27" s="11">
        <v>22</v>
      </c>
      <c r="D27" s="12">
        <f>TM!B337</f>
        <v>0</v>
      </c>
      <c r="E27" s="13">
        <f>TM!C337</f>
        <v>0</v>
      </c>
      <c r="F27" s="13">
        <f>TM!D337</f>
        <v>0</v>
      </c>
      <c r="G27" s="13">
        <f>TM!E337</f>
        <v>0</v>
      </c>
      <c r="H27" s="13">
        <f>TM!F337</f>
        <v>0</v>
      </c>
      <c r="I27" s="13">
        <f>TM!G337</f>
        <v>0</v>
      </c>
      <c r="J27" s="14">
        <f t="shared" ref="J27" si="0">H27/3600</f>
        <v>0</v>
      </c>
      <c r="L27" s="12">
        <f>Test!B337</f>
        <v>0</v>
      </c>
      <c r="M27" s="13">
        <f>Test!C337</f>
        <v>0</v>
      </c>
      <c r="N27" s="13">
        <f>Test!D337</f>
        <v>0</v>
      </c>
      <c r="O27" s="13">
        <f>Test!E337</f>
        <v>0</v>
      </c>
      <c r="P27" s="13">
        <f>Test!F337</f>
        <v>0</v>
      </c>
      <c r="Q27" s="13">
        <f>Test!G337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9"/>
      <c r="V27" s="42" t="e">
        <f>bdrate($D27:$D30,E27:E30,$L27:$L30,M27:M30)</f>
        <v>#VALUE!</v>
      </c>
      <c r="W27" s="47" t="e">
        <f>bdrate($D27:$D30,F27:F30,$L27:$L30,N27:N30)</f>
        <v>#VALUE!</v>
      </c>
      <c r="X27" s="48" t="e">
        <f>bdrate($D27:$D30,G27:G30,$L27:$L30,O27:O30)</f>
        <v>#VALUE!</v>
      </c>
      <c r="Y27" s="42" t="e">
        <f>bdrateOld($D27:$D30,E27:E30,$L27:$L30,M27:M30)</f>
        <v>#VALUE!</v>
      </c>
      <c r="Z27" s="47" t="e">
        <f>bdrateOld($D27:$D30,F27:F30,$L27:$L30,N27:N30)</f>
        <v>#VALUE!</v>
      </c>
      <c r="AA27" s="48" t="e">
        <f>bdrateOld($D27:$D30,G27:G30,$L27:$L30,O27:O30)</f>
        <v>#VALUE!</v>
      </c>
      <c r="AB27" s="54"/>
      <c r="AC27" s="12">
        <f>BMS!B337</f>
        <v>0</v>
      </c>
      <c r="AD27" s="13">
        <f>BMS!C337</f>
        <v>0</v>
      </c>
      <c r="AE27" s="13">
        <f>BMS!D337</f>
        <v>0</v>
      </c>
      <c r="AF27" s="13">
        <f>BMS!E337</f>
        <v>0</v>
      </c>
      <c r="AG27" s="13">
        <f>BMS!F337</f>
        <v>0</v>
      </c>
      <c r="AH27" s="13">
        <f>BMS!G337</f>
        <v>0</v>
      </c>
      <c r="AI27" s="14">
        <f t="shared" ref="AI27:AI79" si="3">AG27/3600</f>
        <v>0</v>
      </c>
      <c r="AJ27" s="13" t="e">
        <f t="shared" ref="AJ27:AJ75" si="4">R27/AI27</f>
        <v>#DIV/0!</v>
      </c>
      <c r="AK27" s="13" t="e">
        <f t="shared" ref="AK27:AK75" si="5">Q27/AH27</f>
        <v>#DIV/0!</v>
      </c>
      <c r="AL27" s="54"/>
      <c r="AM27" s="42" t="e">
        <f>bdrate($AC27:$AC30,AD27:AD30,$L27:$L30, M27:M30)</f>
        <v>#VALUE!</v>
      </c>
      <c r="AN27" s="47" t="e">
        <f>bdrate($AC27:$AC30,AE27:AE30,$L27:$L30, N27:N30)</f>
        <v>#VALUE!</v>
      </c>
      <c r="AO27" s="48" t="e">
        <f>bdrate($AC27:$AC30,AF27:AF30,$L27:$L30, O27:O30)</f>
        <v>#VALUE!</v>
      </c>
      <c r="AP27" s="42" t="e">
        <f>bdrateOld($AC27:$AC30,AD27:AD30,$L27:$L30, M27:M30)</f>
        <v>#VALUE!</v>
      </c>
      <c r="AQ27" s="47" t="e">
        <f>bdrateOld($AC27:$AC30,AE27:AE30,$L27:$L30, N27:N30)</f>
        <v>#VALUE!</v>
      </c>
      <c r="AR27" s="48" t="e">
        <f>bdrateOld($AC27:$AC30,AF27:AF30,$L27:$L30, O27:O30)</f>
        <v>#VALUE!</v>
      </c>
    </row>
    <row r="28" spans="1:44" x14ac:dyDescent="0.2">
      <c r="A28" s="16" t="s">
        <v>49</v>
      </c>
      <c r="B28" s="16"/>
      <c r="C28" s="16">
        <v>27</v>
      </c>
      <c r="D28" s="17">
        <f>TM!B338</f>
        <v>0</v>
      </c>
      <c r="E28" s="18">
        <f>TM!C338</f>
        <v>0</v>
      </c>
      <c r="F28" s="18">
        <f>TM!D338</f>
        <v>0</v>
      </c>
      <c r="G28" s="18">
        <f>TM!E338</f>
        <v>0</v>
      </c>
      <c r="H28" s="18">
        <f>TM!F338</f>
        <v>0</v>
      </c>
      <c r="I28" s="18">
        <f>TM!G338</f>
        <v>0</v>
      </c>
      <c r="J28" s="19">
        <f t="shared" ref="J28:J91" si="6">H28/3600</f>
        <v>0</v>
      </c>
      <c r="L28" s="17">
        <f>Test!B338</f>
        <v>0</v>
      </c>
      <c r="M28" s="18">
        <f>Test!C338</f>
        <v>0</v>
      </c>
      <c r="N28" s="18">
        <f>Test!D338</f>
        <v>0</v>
      </c>
      <c r="O28" s="18">
        <f>Test!E338</f>
        <v>0</v>
      </c>
      <c r="P28" s="18">
        <f>Test!F338</f>
        <v>0</v>
      </c>
      <c r="Q28" s="18">
        <f>Test!G338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60"/>
      <c r="V28" s="43"/>
      <c r="W28" s="26"/>
      <c r="X28" s="55"/>
      <c r="Y28" s="43"/>
      <c r="Z28" s="26"/>
      <c r="AA28" s="55"/>
      <c r="AB28" s="20"/>
      <c r="AC28" s="17">
        <f>BMS!B338</f>
        <v>0</v>
      </c>
      <c r="AD28" s="18">
        <f>BMS!C338</f>
        <v>0</v>
      </c>
      <c r="AE28" s="18">
        <f>BMS!D338</f>
        <v>0</v>
      </c>
      <c r="AF28" s="18">
        <f>BMS!E338</f>
        <v>0</v>
      </c>
      <c r="AG28" s="18">
        <f>BMS!F338</f>
        <v>0</v>
      </c>
      <c r="AH28" s="18">
        <f>BMS!G338</f>
        <v>0</v>
      </c>
      <c r="AI28" s="19">
        <f t="shared" si="3"/>
        <v>0</v>
      </c>
      <c r="AJ28" s="18" t="e">
        <f t="shared" si="4"/>
        <v>#DIV/0!</v>
      </c>
      <c r="AK28" s="18" t="e">
        <f t="shared" si="5"/>
        <v>#DIV/0!</v>
      </c>
      <c r="AL28" s="20"/>
      <c r="AM28" s="43"/>
      <c r="AN28" s="26"/>
      <c r="AO28" s="55"/>
      <c r="AP28" s="43"/>
      <c r="AQ28" s="26"/>
      <c r="AR28" s="55"/>
    </row>
    <row r="29" spans="1:44" x14ac:dyDescent="0.2">
      <c r="A29" s="16"/>
      <c r="B29" s="16"/>
      <c r="C29" s="16">
        <v>32</v>
      </c>
      <c r="D29" s="17">
        <f>TM!B339</f>
        <v>0</v>
      </c>
      <c r="E29" s="18">
        <f>TM!C339</f>
        <v>0</v>
      </c>
      <c r="F29" s="18">
        <f>TM!D339</f>
        <v>0</v>
      </c>
      <c r="G29" s="18">
        <f>TM!E339</f>
        <v>0</v>
      </c>
      <c r="H29" s="18">
        <f>TM!F339</f>
        <v>0</v>
      </c>
      <c r="I29" s="18">
        <f>TM!G339</f>
        <v>0</v>
      </c>
      <c r="J29" s="19">
        <f t="shared" si="6"/>
        <v>0</v>
      </c>
      <c r="L29" s="17">
        <f>Test!B339</f>
        <v>0</v>
      </c>
      <c r="M29" s="18">
        <f>Test!C339</f>
        <v>0</v>
      </c>
      <c r="N29" s="18">
        <f>Test!D339</f>
        <v>0</v>
      </c>
      <c r="O29" s="18">
        <f>Test!E339</f>
        <v>0</v>
      </c>
      <c r="P29" s="18">
        <f>Test!F339</f>
        <v>0</v>
      </c>
      <c r="Q29" s="18">
        <f>Test!G339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60"/>
      <c r="V29" s="43"/>
      <c r="W29" s="26"/>
      <c r="X29" s="55"/>
      <c r="Y29" s="43"/>
      <c r="Z29" s="26"/>
      <c r="AA29" s="55"/>
      <c r="AB29" s="20"/>
      <c r="AC29" s="17">
        <f>BMS!B339</f>
        <v>0</v>
      </c>
      <c r="AD29" s="18">
        <f>BMS!C339</f>
        <v>0</v>
      </c>
      <c r="AE29" s="18">
        <f>BMS!D339</f>
        <v>0</v>
      </c>
      <c r="AF29" s="18">
        <f>BMS!E339</f>
        <v>0</v>
      </c>
      <c r="AG29" s="18">
        <f>BMS!F339</f>
        <v>0</v>
      </c>
      <c r="AH29" s="18">
        <f>BMS!G339</f>
        <v>0</v>
      </c>
      <c r="AI29" s="19">
        <f t="shared" si="3"/>
        <v>0</v>
      </c>
      <c r="AJ29" s="18" t="e">
        <f t="shared" si="4"/>
        <v>#DIV/0!</v>
      </c>
      <c r="AK29" s="18" t="e">
        <f t="shared" si="5"/>
        <v>#DIV/0!</v>
      </c>
      <c r="AL29" s="20"/>
      <c r="AM29" s="43"/>
      <c r="AN29" s="26"/>
      <c r="AO29" s="55"/>
      <c r="AP29" s="43"/>
      <c r="AQ29" s="26"/>
      <c r="AR29" s="55"/>
    </row>
    <row r="30" spans="1:44" ht="12.75" thickBot="1" x14ac:dyDescent="0.25">
      <c r="A30" s="16"/>
      <c r="B30" s="21"/>
      <c r="C30" s="21">
        <v>37</v>
      </c>
      <c r="D30" s="22">
        <f>TM!B340</f>
        <v>0</v>
      </c>
      <c r="E30" s="23">
        <f>TM!C340</f>
        <v>0</v>
      </c>
      <c r="F30" s="23">
        <f>TM!D340</f>
        <v>0</v>
      </c>
      <c r="G30" s="23">
        <f>TM!E340</f>
        <v>0</v>
      </c>
      <c r="H30" s="23">
        <f>TM!F340</f>
        <v>0</v>
      </c>
      <c r="I30" s="23">
        <f>TM!G340</f>
        <v>0</v>
      </c>
      <c r="J30" s="24">
        <f t="shared" si="6"/>
        <v>0</v>
      </c>
      <c r="L30" s="22">
        <f>Test!B340</f>
        <v>0</v>
      </c>
      <c r="M30" s="23">
        <f>Test!C340</f>
        <v>0</v>
      </c>
      <c r="N30" s="23">
        <f>Test!D340</f>
        <v>0</v>
      </c>
      <c r="O30" s="23">
        <f>Test!E340</f>
        <v>0</v>
      </c>
      <c r="P30" s="23">
        <f>Test!F340</f>
        <v>0</v>
      </c>
      <c r="Q30" s="23">
        <f>Test!G340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60"/>
      <c r="V30" s="44"/>
      <c r="W30" s="56"/>
      <c r="X30" s="57"/>
      <c r="Y30" s="44"/>
      <c r="Z30" s="56"/>
      <c r="AA30" s="57"/>
      <c r="AB30" s="20"/>
      <c r="AC30" s="22">
        <f>BMS!B340</f>
        <v>0</v>
      </c>
      <c r="AD30" s="23">
        <f>BMS!C340</f>
        <v>0</v>
      </c>
      <c r="AE30" s="23">
        <f>BMS!D340</f>
        <v>0</v>
      </c>
      <c r="AF30" s="23">
        <f>BMS!E340</f>
        <v>0</v>
      </c>
      <c r="AG30" s="23">
        <f>BMS!F340</f>
        <v>0</v>
      </c>
      <c r="AH30" s="23">
        <f>BMS!G340</f>
        <v>0</v>
      </c>
      <c r="AI30" s="24">
        <f t="shared" si="3"/>
        <v>0</v>
      </c>
      <c r="AJ30" s="18" t="e">
        <f t="shared" si="4"/>
        <v>#DIV/0!</v>
      </c>
      <c r="AK30" s="18" t="e">
        <f t="shared" si="5"/>
        <v>#DIV/0!</v>
      </c>
      <c r="AL30" s="20"/>
      <c r="AM30" s="44"/>
      <c r="AN30" s="56"/>
      <c r="AO30" s="57"/>
      <c r="AP30" s="44"/>
      <c r="AQ30" s="56"/>
      <c r="AR30" s="57"/>
    </row>
    <row r="31" spans="1:44" x14ac:dyDescent="0.2">
      <c r="A31" s="16"/>
      <c r="B31" s="11" t="s">
        <v>426</v>
      </c>
      <c r="C31" s="11">
        <v>22</v>
      </c>
      <c r="D31" s="12">
        <f>TM!B341</f>
        <v>0</v>
      </c>
      <c r="E31" s="13">
        <f>TM!C341</f>
        <v>0</v>
      </c>
      <c r="F31" s="13">
        <f>TM!D341</f>
        <v>0</v>
      </c>
      <c r="G31" s="13">
        <f>TM!E341</f>
        <v>0</v>
      </c>
      <c r="H31" s="13">
        <f>TM!F341</f>
        <v>0</v>
      </c>
      <c r="I31" s="13">
        <f>TM!G341</f>
        <v>0</v>
      </c>
      <c r="J31" s="14">
        <f t="shared" si="6"/>
        <v>0</v>
      </c>
      <c r="L31" s="12">
        <f>Test!B341</f>
        <v>0</v>
      </c>
      <c r="M31" s="13">
        <f>Test!C341</f>
        <v>0</v>
      </c>
      <c r="N31" s="13">
        <f>Test!D341</f>
        <v>0</v>
      </c>
      <c r="O31" s="13">
        <f>Test!E341</f>
        <v>0</v>
      </c>
      <c r="P31" s="13">
        <f>Test!F341</f>
        <v>0</v>
      </c>
      <c r="Q31" s="13">
        <f>Test!G341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60"/>
      <c r="V31" s="42" t="e">
        <f>bdrate($D31:$D34,E31:E34,$L31:$L34,M31:M34)</f>
        <v>#VALUE!</v>
      </c>
      <c r="W31" s="47" t="e">
        <f>bdrate($D31:$D34,F31:F34,$L31:$L34,N31:N34)</f>
        <v>#VALUE!</v>
      </c>
      <c r="X31" s="47" t="e">
        <f>bdrate($D31:$D34,G31:G34,$L31:$L34,O31:O34)</f>
        <v>#VALUE!</v>
      </c>
      <c r="Y31" s="45" t="e">
        <f>bdrateOld($D31:$D34,E31:E34,$L31:$L34,M31:M34)</f>
        <v>#VALUE!</v>
      </c>
      <c r="Z31" s="49" t="e">
        <f>bdrateOld($D31:$D34,F31:F34,$L31:$L34,N31:N34)</f>
        <v>#VALUE!</v>
      </c>
      <c r="AA31" s="50" t="e">
        <f>bdrateOld($D31:$D34,G31:G34,$L31:$L34,O31:O34)</f>
        <v>#VALUE!</v>
      </c>
      <c r="AB31" s="20"/>
      <c r="AC31" s="12">
        <f>BMS!B341</f>
        <v>0</v>
      </c>
      <c r="AD31" s="13">
        <f>BMS!C341</f>
        <v>0</v>
      </c>
      <c r="AE31" s="13">
        <f>BMS!D341</f>
        <v>0</v>
      </c>
      <c r="AF31" s="13">
        <f>BMS!E341</f>
        <v>0</v>
      </c>
      <c r="AG31" s="13">
        <f>BMS!F341</f>
        <v>0</v>
      </c>
      <c r="AH31" s="13">
        <f>BMS!G341</f>
        <v>0</v>
      </c>
      <c r="AI31" s="14">
        <f t="shared" si="3"/>
        <v>0</v>
      </c>
      <c r="AJ31" s="18" t="e">
        <f t="shared" si="4"/>
        <v>#DIV/0!</v>
      </c>
      <c r="AK31" s="18" t="e">
        <f t="shared" si="5"/>
        <v>#DIV/0!</v>
      </c>
      <c r="AL31" s="20"/>
      <c r="AM31" s="42" t="e">
        <f>bdrate($AC31:$AC34,AD31:AD34,$L31:$L34, M31:M34)</f>
        <v>#VALUE!</v>
      </c>
      <c r="AN31" s="47" t="e">
        <f>bdrate($AC31:$AC34,AE31:AE34,$L31:$L34, N31:N34)</f>
        <v>#VALUE!</v>
      </c>
      <c r="AO31" s="48" t="e">
        <f>bdrate($AC31:$AC34,AF31:AF34,$L31:$L34, O31:O34)</f>
        <v>#VALUE!</v>
      </c>
      <c r="AP31" s="42" t="e">
        <f>bdrateOld($AC31:$AC34,AD31:AD34,$L31:$L34, M31:M34)</f>
        <v>#VALUE!</v>
      </c>
      <c r="AQ31" s="47" t="e">
        <f>bdrateOld($AC31:$AC34,AE31:AE34,$L31:$L34, N31:N34)</f>
        <v>#VALUE!</v>
      </c>
      <c r="AR31" s="48" t="e">
        <f>bdrateOld($AC31:$AC34,AF31:AF34,$L31:$L34, O31:O34)</f>
        <v>#VALUE!</v>
      </c>
    </row>
    <row r="32" spans="1:44" x14ac:dyDescent="0.2">
      <c r="A32" s="16"/>
      <c r="B32" s="16"/>
      <c r="C32" s="16">
        <v>27</v>
      </c>
      <c r="D32" s="17">
        <f>TM!B342</f>
        <v>0</v>
      </c>
      <c r="E32" s="18">
        <f>TM!C342</f>
        <v>0</v>
      </c>
      <c r="F32" s="18">
        <f>TM!D342</f>
        <v>0</v>
      </c>
      <c r="G32" s="18">
        <f>TM!E342</f>
        <v>0</v>
      </c>
      <c r="H32" s="18">
        <f>TM!F342</f>
        <v>0</v>
      </c>
      <c r="I32" s="18">
        <f>TM!G342</f>
        <v>0</v>
      </c>
      <c r="J32" s="19">
        <f t="shared" si="6"/>
        <v>0</v>
      </c>
      <c r="L32" s="17">
        <f>Test!B342</f>
        <v>0</v>
      </c>
      <c r="M32" s="18">
        <f>Test!C342</f>
        <v>0</v>
      </c>
      <c r="N32" s="18">
        <f>Test!D342</f>
        <v>0</v>
      </c>
      <c r="O32" s="18">
        <f>Test!E342</f>
        <v>0</v>
      </c>
      <c r="P32" s="18">
        <f>Test!F342</f>
        <v>0</v>
      </c>
      <c r="Q32" s="18">
        <f>Test!G342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60"/>
      <c r="V32" s="43"/>
      <c r="W32" s="26"/>
      <c r="X32" s="26"/>
      <c r="Y32" s="43"/>
      <c r="Z32" s="26"/>
      <c r="AA32" s="55"/>
      <c r="AB32" s="20"/>
      <c r="AC32" s="17">
        <f>BMS!B342</f>
        <v>0</v>
      </c>
      <c r="AD32" s="18">
        <f>BMS!C342</f>
        <v>0</v>
      </c>
      <c r="AE32" s="18">
        <f>BMS!D342</f>
        <v>0</v>
      </c>
      <c r="AF32" s="18">
        <f>BMS!E342</f>
        <v>0</v>
      </c>
      <c r="AG32" s="18">
        <f>BMS!F342</f>
        <v>0</v>
      </c>
      <c r="AH32" s="18">
        <f>BMS!G342</f>
        <v>0</v>
      </c>
      <c r="AI32" s="19">
        <f t="shared" si="3"/>
        <v>0</v>
      </c>
      <c r="AJ32" s="18" t="e">
        <f t="shared" si="4"/>
        <v>#DIV/0!</v>
      </c>
      <c r="AK32" s="18" t="e">
        <f t="shared" si="5"/>
        <v>#DIV/0!</v>
      </c>
      <c r="AL32" s="20"/>
      <c r="AM32" s="43"/>
      <c r="AN32" s="26"/>
      <c r="AO32" s="55"/>
      <c r="AP32" s="43"/>
      <c r="AQ32" s="26"/>
      <c r="AR32" s="55"/>
    </row>
    <row r="33" spans="1:44" x14ac:dyDescent="0.2">
      <c r="A33" s="16"/>
      <c r="B33" s="16"/>
      <c r="C33" s="16">
        <v>32</v>
      </c>
      <c r="D33" s="17">
        <f>TM!B343</f>
        <v>0</v>
      </c>
      <c r="E33" s="18">
        <f>TM!C343</f>
        <v>0</v>
      </c>
      <c r="F33" s="18">
        <f>TM!D343</f>
        <v>0</v>
      </c>
      <c r="G33" s="18">
        <f>TM!E343</f>
        <v>0</v>
      </c>
      <c r="H33" s="18">
        <f>TM!F343</f>
        <v>0</v>
      </c>
      <c r="I33" s="18">
        <f>TM!G343</f>
        <v>0</v>
      </c>
      <c r="J33" s="19">
        <f t="shared" si="6"/>
        <v>0</v>
      </c>
      <c r="L33" s="17">
        <f>Test!B343</f>
        <v>0</v>
      </c>
      <c r="M33" s="18">
        <f>Test!C343</f>
        <v>0</v>
      </c>
      <c r="N33" s="18">
        <f>Test!D343</f>
        <v>0</v>
      </c>
      <c r="O33" s="18">
        <f>Test!E343</f>
        <v>0</v>
      </c>
      <c r="P33" s="18">
        <f>Test!F343</f>
        <v>0</v>
      </c>
      <c r="Q33" s="18">
        <f>Test!G343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60"/>
      <c r="V33" s="43"/>
      <c r="W33" s="26"/>
      <c r="X33" s="26"/>
      <c r="Y33" s="43"/>
      <c r="Z33" s="26"/>
      <c r="AA33" s="55"/>
      <c r="AB33" s="20"/>
      <c r="AC33" s="17">
        <f>BMS!B343</f>
        <v>0</v>
      </c>
      <c r="AD33" s="18">
        <f>BMS!C343</f>
        <v>0</v>
      </c>
      <c r="AE33" s="18">
        <f>BMS!D343</f>
        <v>0</v>
      </c>
      <c r="AF33" s="18">
        <f>BMS!E343</f>
        <v>0</v>
      </c>
      <c r="AG33" s="18">
        <f>BMS!F343</f>
        <v>0</v>
      </c>
      <c r="AH33" s="18">
        <f>BMS!G343</f>
        <v>0</v>
      </c>
      <c r="AI33" s="19">
        <f t="shared" si="3"/>
        <v>0</v>
      </c>
      <c r="AJ33" s="18" t="e">
        <f t="shared" si="4"/>
        <v>#DIV/0!</v>
      </c>
      <c r="AK33" s="18" t="e">
        <f t="shared" si="5"/>
        <v>#DIV/0!</v>
      </c>
      <c r="AL33" s="20"/>
      <c r="AM33" s="43"/>
      <c r="AN33" s="26"/>
      <c r="AO33" s="55"/>
      <c r="AP33" s="43"/>
      <c r="AQ33" s="26"/>
      <c r="AR33" s="55"/>
    </row>
    <row r="34" spans="1:44" ht="12.75" thickBot="1" x14ac:dyDescent="0.25">
      <c r="A34" s="16"/>
      <c r="B34" s="21"/>
      <c r="C34" s="21">
        <v>37</v>
      </c>
      <c r="D34" s="22">
        <f>TM!B344</f>
        <v>0</v>
      </c>
      <c r="E34" s="23">
        <f>TM!C344</f>
        <v>0</v>
      </c>
      <c r="F34" s="23">
        <f>TM!D344</f>
        <v>0</v>
      </c>
      <c r="G34" s="23">
        <f>TM!E344</f>
        <v>0</v>
      </c>
      <c r="H34" s="23">
        <f>TM!F344</f>
        <v>0</v>
      </c>
      <c r="I34" s="23">
        <f>TM!G344</f>
        <v>0</v>
      </c>
      <c r="J34" s="24">
        <f t="shared" si="6"/>
        <v>0</v>
      </c>
      <c r="L34" s="22">
        <f>Test!B344</f>
        <v>0</v>
      </c>
      <c r="M34" s="23">
        <f>Test!C344</f>
        <v>0</v>
      </c>
      <c r="N34" s="23">
        <f>Test!D344</f>
        <v>0</v>
      </c>
      <c r="O34" s="23">
        <f>Test!E344</f>
        <v>0</v>
      </c>
      <c r="P34" s="23">
        <f>Test!F344</f>
        <v>0</v>
      </c>
      <c r="Q34" s="23">
        <f>Test!G344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60"/>
      <c r="V34" s="44"/>
      <c r="W34" s="56"/>
      <c r="X34" s="56"/>
      <c r="Y34" s="44"/>
      <c r="Z34" s="56"/>
      <c r="AA34" s="57"/>
      <c r="AB34" s="20"/>
      <c r="AC34" s="22">
        <f>BMS!B344</f>
        <v>0</v>
      </c>
      <c r="AD34" s="23">
        <f>BMS!C344</f>
        <v>0</v>
      </c>
      <c r="AE34" s="23">
        <f>BMS!D344</f>
        <v>0</v>
      </c>
      <c r="AF34" s="23">
        <f>BMS!E344</f>
        <v>0</v>
      </c>
      <c r="AG34" s="23">
        <f>BMS!F344</f>
        <v>0</v>
      </c>
      <c r="AH34" s="23">
        <f>BMS!G344</f>
        <v>0</v>
      </c>
      <c r="AI34" s="24">
        <f t="shared" si="3"/>
        <v>0</v>
      </c>
      <c r="AJ34" s="18" t="e">
        <f t="shared" si="4"/>
        <v>#DIV/0!</v>
      </c>
      <c r="AK34" s="18" t="e">
        <f t="shared" si="5"/>
        <v>#DIV/0!</v>
      </c>
      <c r="AL34" s="20"/>
      <c r="AM34" s="44"/>
      <c r="AN34" s="56"/>
      <c r="AO34" s="57"/>
      <c r="AP34" s="44"/>
      <c r="AQ34" s="56"/>
      <c r="AR34" s="57"/>
    </row>
    <row r="35" spans="1:44" x14ac:dyDescent="0.2">
      <c r="A35" s="16"/>
      <c r="B35" s="11" t="s">
        <v>2</v>
      </c>
      <c r="C35" s="11">
        <v>22</v>
      </c>
      <c r="D35" s="12">
        <f>TM!B345</f>
        <v>0</v>
      </c>
      <c r="E35" s="13">
        <f>TM!C345</f>
        <v>0</v>
      </c>
      <c r="F35" s="13">
        <f>TM!D345</f>
        <v>0</v>
      </c>
      <c r="G35" s="13">
        <f>TM!E345</f>
        <v>0</v>
      </c>
      <c r="H35" s="13">
        <f>TM!F345</f>
        <v>0</v>
      </c>
      <c r="I35" s="13">
        <f>TM!G345</f>
        <v>0</v>
      </c>
      <c r="J35" s="14">
        <f t="shared" si="6"/>
        <v>0</v>
      </c>
      <c r="L35" s="12">
        <f>Test!B345</f>
        <v>0</v>
      </c>
      <c r="M35" s="13">
        <f>Test!C345</f>
        <v>0</v>
      </c>
      <c r="N35" s="13">
        <f>Test!D345</f>
        <v>0</v>
      </c>
      <c r="O35" s="13">
        <f>Test!E345</f>
        <v>0</v>
      </c>
      <c r="P35" s="13">
        <f>Test!F345</f>
        <v>0</v>
      </c>
      <c r="Q35" s="13">
        <f>Test!G345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60"/>
      <c r="V35" s="42" t="e">
        <f>bdrate($D35:$D38,E35:E38,$L35:$L38,M35:M38)</f>
        <v>#VALUE!</v>
      </c>
      <c r="W35" s="47" t="e">
        <f>bdrate($D35:$D38,F35:F38,$L35:$L38,N35:N38)</f>
        <v>#VALUE!</v>
      </c>
      <c r="X35" s="47" t="e">
        <f>bdrate($D35:$D38,G35:G38,$L35:$L38,O35:O38)</f>
        <v>#VALUE!</v>
      </c>
      <c r="Y35" s="45" t="e">
        <f>bdrateOld($D35:$D38,E35:E38,$L35:$L38,M35:M38)</f>
        <v>#VALUE!</v>
      </c>
      <c r="Z35" s="49" t="e">
        <f>bdrateOld($D35:$D38,F35:F38,$L35:$L38,N35:N38)</f>
        <v>#VALUE!</v>
      </c>
      <c r="AA35" s="50" t="e">
        <f>bdrateOld($D35:$D38,G35:G38,$L35:$L38,O35:O38)</f>
        <v>#VALUE!</v>
      </c>
      <c r="AB35" s="20"/>
      <c r="AC35" s="12">
        <f>BMS!B345</f>
        <v>0</v>
      </c>
      <c r="AD35" s="13">
        <f>BMS!C345</f>
        <v>0</v>
      </c>
      <c r="AE35" s="13">
        <f>BMS!D345</f>
        <v>0</v>
      </c>
      <c r="AF35" s="13">
        <f>BMS!E345</f>
        <v>0</v>
      </c>
      <c r="AG35" s="13">
        <f>BMS!F345</f>
        <v>0</v>
      </c>
      <c r="AH35" s="13">
        <f>BMS!G345</f>
        <v>0</v>
      </c>
      <c r="AI35" s="14">
        <f t="shared" si="3"/>
        <v>0</v>
      </c>
      <c r="AJ35" s="18" t="e">
        <f t="shared" si="4"/>
        <v>#DIV/0!</v>
      </c>
      <c r="AK35" s="18" t="e">
        <f t="shared" si="5"/>
        <v>#DIV/0!</v>
      </c>
      <c r="AL35" s="20"/>
      <c r="AM35" s="42" t="e">
        <f>bdrate($AC35:$AC38,AD35:AD38,$L35:$L38, M35:M38)</f>
        <v>#VALUE!</v>
      </c>
      <c r="AN35" s="47" t="e">
        <f>bdrate($AC35:$AC38,AE35:AE38,$L35:$L38, N35:N38)</f>
        <v>#VALUE!</v>
      </c>
      <c r="AO35" s="48" t="e">
        <f>bdrate($AC35:$AC38,AF35:AF38,$L35:$L38, O35:O38)</f>
        <v>#VALUE!</v>
      </c>
      <c r="AP35" s="42" t="e">
        <f>bdrateOld($AC35:$AC38,AD35:AD38,$L35:$L38, M35:M38)</f>
        <v>#VALUE!</v>
      </c>
      <c r="AQ35" s="47" t="e">
        <f>bdrateOld($AC35:$AC38,AE35:AE38,$L35:$L38, N35:N38)</f>
        <v>#VALUE!</v>
      </c>
      <c r="AR35" s="48" t="e">
        <f>bdrateOld($AC35:$AC38,AF35:AF38,$L35:$L38, O35:O38)</f>
        <v>#VALUE!</v>
      </c>
    </row>
    <row r="36" spans="1:44" x14ac:dyDescent="0.2">
      <c r="A36" s="16"/>
      <c r="B36" s="16"/>
      <c r="C36" s="16">
        <v>27</v>
      </c>
      <c r="D36" s="17">
        <f>TM!B346</f>
        <v>0</v>
      </c>
      <c r="E36" s="18">
        <f>TM!C346</f>
        <v>0</v>
      </c>
      <c r="F36" s="18">
        <f>TM!D346</f>
        <v>0</v>
      </c>
      <c r="G36" s="18">
        <f>TM!E346</f>
        <v>0</v>
      </c>
      <c r="H36" s="18">
        <f>TM!F346</f>
        <v>0</v>
      </c>
      <c r="I36" s="18">
        <f>TM!G346</f>
        <v>0</v>
      </c>
      <c r="J36" s="19">
        <f t="shared" si="6"/>
        <v>0</v>
      </c>
      <c r="L36" s="17">
        <f>Test!B346</f>
        <v>0</v>
      </c>
      <c r="M36" s="18">
        <f>Test!C346</f>
        <v>0</v>
      </c>
      <c r="N36" s="18">
        <f>Test!D346</f>
        <v>0</v>
      </c>
      <c r="O36" s="18">
        <f>Test!E346</f>
        <v>0</v>
      </c>
      <c r="P36" s="18">
        <f>Test!F346</f>
        <v>0</v>
      </c>
      <c r="Q36" s="18">
        <f>Test!G346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60"/>
      <c r="V36" s="43"/>
      <c r="W36" s="26"/>
      <c r="X36" s="26"/>
      <c r="Y36" s="43"/>
      <c r="Z36" s="26"/>
      <c r="AA36" s="55"/>
      <c r="AB36" s="20"/>
      <c r="AC36" s="17">
        <f>BMS!B346</f>
        <v>0</v>
      </c>
      <c r="AD36" s="18">
        <f>BMS!C346</f>
        <v>0</v>
      </c>
      <c r="AE36" s="18">
        <f>BMS!D346</f>
        <v>0</v>
      </c>
      <c r="AF36" s="18">
        <f>BMS!E346</f>
        <v>0</v>
      </c>
      <c r="AG36" s="18">
        <f>BMS!F346</f>
        <v>0</v>
      </c>
      <c r="AH36" s="18">
        <f>BMS!G346</f>
        <v>0</v>
      </c>
      <c r="AI36" s="19">
        <f t="shared" si="3"/>
        <v>0</v>
      </c>
      <c r="AJ36" s="18" t="e">
        <f t="shared" si="4"/>
        <v>#DIV/0!</v>
      </c>
      <c r="AK36" s="18" t="e">
        <f t="shared" si="5"/>
        <v>#DIV/0!</v>
      </c>
      <c r="AL36" s="20"/>
      <c r="AM36" s="43"/>
      <c r="AN36" s="26"/>
      <c r="AO36" s="55"/>
      <c r="AP36" s="43"/>
      <c r="AQ36" s="26"/>
      <c r="AR36" s="55"/>
    </row>
    <row r="37" spans="1:44" x14ac:dyDescent="0.2">
      <c r="A37" s="16"/>
      <c r="B37" s="16"/>
      <c r="C37" s="16">
        <v>32</v>
      </c>
      <c r="D37" s="17">
        <f>TM!B347</f>
        <v>0</v>
      </c>
      <c r="E37" s="18">
        <f>TM!C347</f>
        <v>0</v>
      </c>
      <c r="F37" s="18">
        <f>TM!D347</f>
        <v>0</v>
      </c>
      <c r="G37" s="18">
        <f>TM!E347</f>
        <v>0</v>
      </c>
      <c r="H37" s="18">
        <f>TM!F347</f>
        <v>0</v>
      </c>
      <c r="I37" s="18">
        <f>TM!G347</f>
        <v>0</v>
      </c>
      <c r="J37" s="19">
        <f t="shared" si="6"/>
        <v>0</v>
      </c>
      <c r="L37" s="17">
        <f>Test!B347</f>
        <v>0</v>
      </c>
      <c r="M37" s="18">
        <f>Test!C347</f>
        <v>0</v>
      </c>
      <c r="N37" s="18">
        <f>Test!D347</f>
        <v>0</v>
      </c>
      <c r="O37" s="18">
        <f>Test!E347</f>
        <v>0</v>
      </c>
      <c r="P37" s="18">
        <f>Test!F347</f>
        <v>0</v>
      </c>
      <c r="Q37" s="18">
        <f>Test!G347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60"/>
      <c r="V37" s="43"/>
      <c r="W37" s="26"/>
      <c r="X37" s="26"/>
      <c r="Y37" s="43"/>
      <c r="Z37" s="26"/>
      <c r="AA37" s="55"/>
      <c r="AB37" s="20"/>
      <c r="AC37" s="17">
        <f>BMS!B347</f>
        <v>0</v>
      </c>
      <c r="AD37" s="18">
        <f>BMS!C347</f>
        <v>0</v>
      </c>
      <c r="AE37" s="18">
        <f>BMS!D347</f>
        <v>0</v>
      </c>
      <c r="AF37" s="18">
        <f>BMS!E347</f>
        <v>0</v>
      </c>
      <c r="AG37" s="18">
        <f>BMS!F347</f>
        <v>0</v>
      </c>
      <c r="AH37" s="18">
        <f>BMS!G347</f>
        <v>0</v>
      </c>
      <c r="AI37" s="19">
        <f t="shared" si="3"/>
        <v>0</v>
      </c>
      <c r="AJ37" s="18" t="e">
        <f t="shared" si="4"/>
        <v>#DIV/0!</v>
      </c>
      <c r="AK37" s="18" t="e">
        <f t="shared" si="5"/>
        <v>#DIV/0!</v>
      </c>
      <c r="AL37" s="20"/>
      <c r="AM37" s="43"/>
      <c r="AN37" s="26"/>
      <c r="AO37" s="55"/>
      <c r="AP37" s="43"/>
      <c r="AQ37" s="26"/>
      <c r="AR37" s="55"/>
    </row>
    <row r="38" spans="1:44" ht="12.75" thickBot="1" x14ac:dyDescent="0.25">
      <c r="A38" s="16"/>
      <c r="B38" s="21"/>
      <c r="C38" s="21">
        <v>37</v>
      </c>
      <c r="D38" s="22">
        <f>TM!B348</f>
        <v>0</v>
      </c>
      <c r="E38" s="23">
        <f>TM!C348</f>
        <v>0</v>
      </c>
      <c r="F38" s="23">
        <f>TM!D348</f>
        <v>0</v>
      </c>
      <c r="G38" s="23">
        <f>TM!E348</f>
        <v>0</v>
      </c>
      <c r="H38" s="23">
        <f>TM!F348</f>
        <v>0</v>
      </c>
      <c r="I38" s="23">
        <f>TM!G348</f>
        <v>0</v>
      </c>
      <c r="J38" s="24">
        <f t="shared" si="6"/>
        <v>0</v>
      </c>
      <c r="L38" s="22">
        <f>Test!B348</f>
        <v>0</v>
      </c>
      <c r="M38" s="23">
        <f>Test!C348</f>
        <v>0</v>
      </c>
      <c r="N38" s="23">
        <f>Test!D348</f>
        <v>0</v>
      </c>
      <c r="O38" s="23">
        <f>Test!E348</f>
        <v>0</v>
      </c>
      <c r="P38" s="23">
        <f>Test!F348</f>
        <v>0</v>
      </c>
      <c r="Q38" s="23">
        <f>Test!G348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60"/>
      <c r="V38" s="44"/>
      <c r="W38" s="56"/>
      <c r="X38" s="56"/>
      <c r="Y38" s="44"/>
      <c r="Z38" s="56"/>
      <c r="AA38" s="57"/>
      <c r="AB38" s="20"/>
      <c r="AC38" s="22">
        <f>BMS!B348</f>
        <v>0</v>
      </c>
      <c r="AD38" s="23">
        <f>BMS!C348</f>
        <v>0</v>
      </c>
      <c r="AE38" s="23">
        <f>BMS!D348</f>
        <v>0</v>
      </c>
      <c r="AF38" s="23">
        <f>BMS!E348</f>
        <v>0</v>
      </c>
      <c r="AG38" s="23">
        <f>BMS!F348</f>
        <v>0</v>
      </c>
      <c r="AH38" s="23">
        <f>BMS!G348</f>
        <v>0</v>
      </c>
      <c r="AI38" s="24">
        <f t="shared" si="3"/>
        <v>0</v>
      </c>
      <c r="AJ38" s="18" t="e">
        <f t="shared" si="4"/>
        <v>#DIV/0!</v>
      </c>
      <c r="AK38" s="18" t="e">
        <f t="shared" si="5"/>
        <v>#DIV/0!</v>
      </c>
      <c r="AL38" s="20"/>
      <c r="AM38" s="44"/>
      <c r="AN38" s="56"/>
      <c r="AO38" s="57"/>
      <c r="AP38" s="44"/>
      <c r="AQ38" s="56"/>
      <c r="AR38" s="57"/>
    </row>
    <row r="39" spans="1:44" x14ac:dyDescent="0.2">
      <c r="A39" s="16"/>
      <c r="B39" s="11" t="s">
        <v>3</v>
      </c>
      <c r="C39" s="11">
        <v>22</v>
      </c>
      <c r="D39" s="12">
        <f>TM!B349</f>
        <v>0</v>
      </c>
      <c r="E39" s="13">
        <f>TM!C349</f>
        <v>0</v>
      </c>
      <c r="F39" s="13">
        <f>TM!D349</f>
        <v>0</v>
      </c>
      <c r="G39" s="13">
        <f>TM!E349</f>
        <v>0</v>
      </c>
      <c r="H39" s="13">
        <f>TM!F349</f>
        <v>0</v>
      </c>
      <c r="I39" s="13">
        <f>TM!G349</f>
        <v>0</v>
      </c>
      <c r="J39" s="14">
        <f t="shared" si="6"/>
        <v>0</v>
      </c>
      <c r="L39" s="12">
        <f>Test!B349</f>
        <v>0</v>
      </c>
      <c r="M39" s="13">
        <f>Test!C349</f>
        <v>0</v>
      </c>
      <c r="N39" s="13">
        <f>Test!D349</f>
        <v>0</v>
      </c>
      <c r="O39" s="13">
        <f>Test!E349</f>
        <v>0</v>
      </c>
      <c r="P39" s="13">
        <f>Test!F349</f>
        <v>0</v>
      </c>
      <c r="Q39" s="13">
        <f>Test!G349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60"/>
      <c r="V39" s="42" t="e">
        <f>bdrate($D39:$D42,E39:E42,$L39:$L42,M39:M42)</f>
        <v>#VALUE!</v>
      </c>
      <c r="W39" s="47" t="e">
        <f>bdrate($D39:$D42,F39:F42,$L39:$L42,N39:N42)</f>
        <v>#VALUE!</v>
      </c>
      <c r="X39" s="47" t="e">
        <f>bdrate($D39:$D42,G39:G42,$L39:$L42,O39:O42)</f>
        <v>#VALUE!</v>
      </c>
      <c r="Y39" s="45" t="e">
        <f>bdrateOld($D39:$D42,E39:E42,$L39:$L42,M39:M42)</f>
        <v>#VALUE!</v>
      </c>
      <c r="Z39" s="49" t="e">
        <f>bdrateOld($D39:$D42,F39:F42,$L39:$L42,N39:N42)</f>
        <v>#VALUE!</v>
      </c>
      <c r="AA39" s="50" t="e">
        <f>bdrateOld($D39:$D42,G39:G42,$L39:$L42,O39:O42)</f>
        <v>#VALUE!</v>
      </c>
      <c r="AB39" s="20"/>
      <c r="AC39" s="12">
        <f>BMS!B349</f>
        <v>0</v>
      </c>
      <c r="AD39" s="13">
        <f>BMS!C349</f>
        <v>0</v>
      </c>
      <c r="AE39" s="13">
        <f>BMS!D349</f>
        <v>0</v>
      </c>
      <c r="AF39" s="13">
        <f>BMS!E349</f>
        <v>0</v>
      </c>
      <c r="AG39" s="13">
        <f>BMS!F349</f>
        <v>0</v>
      </c>
      <c r="AH39" s="13">
        <f>BMS!G349</f>
        <v>0</v>
      </c>
      <c r="AI39" s="14">
        <f t="shared" si="3"/>
        <v>0</v>
      </c>
      <c r="AJ39" s="18" t="e">
        <f t="shared" si="4"/>
        <v>#DIV/0!</v>
      </c>
      <c r="AK39" s="18" t="e">
        <f t="shared" si="5"/>
        <v>#DIV/0!</v>
      </c>
      <c r="AL39" s="20"/>
      <c r="AM39" s="42" t="e">
        <f>bdrate($AC39:$AC42,AD39:AD42,$L39:$L42, M39:M42)</f>
        <v>#VALUE!</v>
      </c>
      <c r="AN39" s="47" t="e">
        <f>bdrate($AC39:$AC42,AE39:AE42,$L39:$L42, N39:N42)</f>
        <v>#VALUE!</v>
      </c>
      <c r="AO39" s="48" t="e">
        <f>bdrate($AC39:$AC42,AF39:AF42,$L39:$L42, O39:O42)</f>
        <v>#VALUE!</v>
      </c>
      <c r="AP39" s="42" t="e">
        <f>bdrateOld($AC39:$AC42,AD39:AD42,$L39:$L42, M39:M42)</f>
        <v>#VALUE!</v>
      </c>
      <c r="AQ39" s="47" t="e">
        <f>bdrateOld($AC39:$AC42,AE39:AE42,$L39:$L42, N39:N42)</f>
        <v>#VALUE!</v>
      </c>
      <c r="AR39" s="48" t="e">
        <f>bdrateOld($AC39:$AC42,AF39:AF42,$L39:$L42, O39:O42)</f>
        <v>#VALUE!</v>
      </c>
    </row>
    <row r="40" spans="1:44" x14ac:dyDescent="0.2">
      <c r="A40" s="16"/>
      <c r="B40" s="16"/>
      <c r="C40" s="16">
        <v>27</v>
      </c>
      <c r="D40" s="17">
        <f>TM!B350</f>
        <v>0</v>
      </c>
      <c r="E40" s="18">
        <f>TM!C350</f>
        <v>0</v>
      </c>
      <c r="F40" s="18">
        <f>TM!D350</f>
        <v>0</v>
      </c>
      <c r="G40" s="18">
        <f>TM!E350</f>
        <v>0</v>
      </c>
      <c r="H40" s="18">
        <f>TM!F350</f>
        <v>0</v>
      </c>
      <c r="I40" s="18">
        <f>TM!G350</f>
        <v>0</v>
      </c>
      <c r="J40" s="19">
        <f t="shared" si="6"/>
        <v>0</v>
      </c>
      <c r="L40" s="17">
        <f>Test!B350</f>
        <v>0</v>
      </c>
      <c r="M40" s="18">
        <f>Test!C350</f>
        <v>0</v>
      </c>
      <c r="N40" s="18">
        <f>Test!D350</f>
        <v>0</v>
      </c>
      <c r="O40" s="18">
        <f>Test!E350</f>
        <v>0</v>
      </c>
      <c r="P40" s="18">
        <f>Test!F350</f>
        <v>0</v>
      </c>
      <c r="Q40" s="18">
        <f>Test!G350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60"/>
      <c r="V40" s="43"/>
      <c r="W40" s="26"/>
      <c r="X40" s="26"/>
      <c r="Y40" s="43"/>
      <c r="Z40" s="26"/>
      <c r="AA40" s="55"/>
      <c r="AB40" s="20"/>
      <c r="AC40" s="17">
        <f>BMS!B350</f>
        <v>0</v>
      </c>
      <c r="AD40" s="18">
        <f>BMS!C350</f>
        <v>0</v>
      </c>
      <c r="AE40" s="18">
        <f>BMS!D350</f>
        <v>0</v>
      </c>
      <c r="AF40" s="18">
        <f>BMS!E350</f>
        <v>0</v>
      </c>
      <c r="AG40" s="18">
        <f>BMS!F350</f>
        <v>0</v>
      </c>
      <c r="AH40" s="18">
        <f>BMS!G350</f>
        <v>0</v>
      </c>
      <c r="AI40" s="19">
        <f t="shared" si="3"/>
        <v>0</v>
      </c>
      <c r="AJ40" s="18" t="e">
        <f t="shared" si="4"/>
        <v>#DIV/0!</v>
      </c>
      <c r="AK40" s="18" t="e">
        <f t="shared" si="5"/>
        <v>#DIV/0!</v>
      </c>
      <c r="AL40" s="20"/>
      <c r="AM40" s="43"/>
      <c r="AN40" s="26"/>
      <c r="AO40" s="55"/>
      <c r="AP40" s="43"/>
      <c r="AQ40" s="26"/>
      <c r="AR40" s="55"/>
    </row>
    <row r="41" spans="1:44" x14ac:dyDescent="0.2">
      <c r="A41" s="16"/>
      <c r="B41" s="16"/>
      <c r="C41" s="16">
        <v>32</v>
      </c>
      <c r="D41" s="17">
        <f>TM!B351</f>
        <v>0</v>
      </c>
      <c r="E41" s="18">
        <f>TM!C351</f>
        <v>0</v>
      </c>
      <c r="F41" s="18">
        <f>TM!D351</f>
        <v>0</v>
      </c>
      <c r="G41" s="18">
        <f>TM!E351</f>
        <v>0</v>
      </c>
      <c r="H41" s="18">
        <f>TM!F351</f>
        <v>0</v>
      </c>
      <c r="I41" s="18">
        <f>TM!G351</f>
        <v>0</v>
      </c>
      <c r="J41" s="19">
        <f t="shared" si="6"/>
        <v>0</v>
      </c>
      <c r="L41" s="17">
        <f>Test!B351</f>
        <v>0</v>
      </c>
      <c r="M41" s="18">
        <f>Test!C351</f>
        <v>0</v>
      </c>
      <c r="N41" s="18">
        <f>Test!D351</f>
        <v>0</v>
      </c>
      <c r="O41" s="18">
        <f>Test!E351</f>
        <v>0</v>
      </c>
      <c r="P41" s="18">
        <f>Test!F351</f>
        <v>0</v>
      </c>
      <c r="Q41" s="18">
        <f>Test!G351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60"/>
      <c r="V41" s="43"/>
      <c r="W41" s="26"/>
      <c r="X41" s="26"/>
      <c r="Y41" s="43"/>
      <c r="Z41" s="26"/>
      <c r="AA41" s="55"/>
      <c r="AB41" s="20"/>
      <c r="AC41" s="17">
        <f>BMS!B351</f>
        <v>0</v>
      </c>
      <c r="AD41" s="18">
        <f>BMS!C351</f>
        <v>0</v>
      </c>
      <c r="AE41" s="18">
        <f>BMS!D351</f>
        <v>0</v>
      </c>
      <c r="AF41" s="18">
        <f>BMS!E351</f>
        <v>0</v>
      </c>
      <c r="AG41" s="18">
        <f>BMS!F351</f>
        <v>0</v>
      </c>
      <c r="AH41" s="18">
        <f>BMS!G351</f>
        <v>0</v>
      </c>
      <c r="AI41" s="19">
        <f t="shared" si="3"/>
        <v>0</v>
      </c>
      <c r="AJ41" s="18" t="e">
        <f t="shared" si="4"/>
        <v>#DIV/0!</v>
      </c>
      <c r="AK41" s="18" t="e">
        <f t="shared" si="5"/>
        <v>#DIV/0!</v>
      </c>
      <c r="AL41" s="20"/>
      <c r="AM41" s="43"/>
      <c r="AN41" s="26"/>
      <c r="AO41" s="55"/>
      <c r="AP41" s="43"/>
      <c r="AQ41" s="26"/>
      <c r="AR41" s="55"/>
    </row>
    <row r="42" spans="1:44" ht="12.75" thickBot="1" x14ac:dyDescent="0.25">
      <c r="A42" s="16"/>
      <c r="B42" s="21"/>
      <c r="C42" s="21">
        <v>37</v>
      </c>
      <c r="D42" s="22">
        <f>TM!B352</f>
        <v>0</v>
      </c>
      <c r="E42" s="23">
        <f>TM!C352</f>
        <v>0</v>
      </c>
      <c r="F42" s="23">
        <f>TM!D352</f>
        <v>0</v>
      </c>
      <c r="G42" s="23">
        <f>TM!E352</f>
        <v>0</v>
      </c>
      <c r="H42" s="23">
        <f>TM!F352</f>
        <v>0</v>
      </c>
      <c r="I42" s="23">
        <f>TM!G352</f>
        <v>0</v>
      </c>
      <c r="J42" s="24">
        <f t="shared" si="6"/>
        <v>0</v>
      </c>
      <c r="L42" s="22">
        <f>Test!B352</f>
        <v>0</v>
      </c>
      <c r="M42" s="23">
        <f>Test!C352</f>
        <v>0</v>
      </c>
      <c r="N42" s="23">
        <f>Test!D352</f>
        <v>0</v>
      </c>
      <c r="O42" s="23">
        <f>Test!E352</f>
        <v>0</v>
      </c>
      <c r="P42" s="23">
        <f>Test!F352</f>
        <v>0</v>
      </c>
      <c r="Q42" s="23">
        <f>Test!G352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60"/>
      <c r="V42" s="44"/>
      <c r="W42" s="56"/>
      <c r="X42" s="56"/>
      <c r="Y42" s="44"/>
      <c r="Z42" s="56"/>
      <c r="AA42" s="57"/>
      <c r="AB42" s="20"/>
      <c r="AC42" s="22">
        <f>BMS!B352</f>
        <v>0</v>
      </c>
      <c r="AD42" s="23">
        <f>BMS!C352</f>
        <v>0</v>
      </c>
      <c r="AE42" s="23">
        <f>BMS!D352</f>
        <v>0</v>
      </c>
      <c r="AF42" s="23">
        <f>BMS!E352</f>
        <v>0</v>
      </c>
      <c r="AG42" s="23">
        <f>BMS!F352</f>
        <v>0</v>
      </c>
      <c r="AH42" s="23">
        <f>BMS!G352</f>
        <v>0</v>
      </c>
      <c r="AI42" s="24">
        <f t="shared" si="3"/>
        <v>0</v>
      </c>
      <c r="AJ42" s="18" t="e">
        <f t="shared" si="4"/>
        <v>#DIV/0!</v>
      </c>
      <c r="AK42" s="18" t="e">
        <f t="shared" si="5"/>
        <v>#DIV/0!</v>
      </c>
      <c r="AL42" s="20"/>
      <c r="AM42" s="44"/>
      <c r="AN42" s="56"/>
      <c r="AO42" s="57"/>
      <c r="AP42" s="44"/>
      <c r="AQ42" s="56"/>
      <c r="AR42" s="57"/>
    </row>
    <row r="43" spans="1:44" x14ac:dyDescent="0.2">
      <c r="A43" s="16"/>
      <c r="B43" s="11" t="s">
        <v>4</v>
      </c>
      <c r="C43" s="11">
        <v>22</v>
      </c>
      <c r="D43" s="12">
        <f>TM!B353</f>
        <v>0</v>
      </c>
      <c r="E43" s="13">
        <f>TM!C353</f>
        <v>0</v>
      </c>
      <c r="F43" s="13">
        <f>TM!D353</f>
        <v>0</v>
      </c>
      <c r="G43" s="13">
        <f>TM!E353</f>
        <v>0</v>
      </c>
      <c r="H43" s="13">
        <f>TM!F353</f>
        <v>0</v>
      </c>
      <c r="I43" s="13">
        <f>TM!G353</f>
        <v>0</v>
      </c>
      <c r="J43" s="14">
        <f t="shared" si="6"/>
        <v>0</v>
      </c>
      <c r="L43" s="12">
        <f>Test!B353</f>
        <v>0</v>
      </c>
      <c r="M43" s="13">
        <f>Test!C353</f>
        <v>0</v>
      </c>
      <c r="N43" s="13">
        <f>Test!D353</f>
        <v>0</v>
      </c>
      <c r="O43" s="13">
        <f>Test!E353</f>
        <v>0</v>
      </c>
      <c r="P43" s="13">
        <f>Test!F353</f>
        <v>0</v>
      </c>
      <c r="Q43" s="13">
        <f>Test!G353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60"/>
      <c r="V43" s="42" t="e">
        <f>bdrate($D43:$D46,E43:E46,$L43:$L46,M43:M46)</f>
        <v>#VALUE!</v>
      </c>
      <c r="W43" s="47" t="e">
        <f>bdrate($D43:$D46,F43:F46,$L43:$L46,N43:N46)</f>
        <v>#VALUE!</v>
      </c>
      <c r="X43" s="47" t="e">
        <f>bdrate($D43:$D46,G43:G46,$L43:$L46,O43:O46)</f>
        <v>#VALUE!</v>
      </c>
      <c r="Y43" s="45" t="e">
        <f>bdrateOld($D43:$D46,E43:E46,$L43:$L46,M43:M46)</f>
        <v>#VALUE!</v>
      </c>
      <c r="Z43" s="49" t="e">
        <f>bdrateOld($D43:$D46,F43:F46,$L43:$L46,N43:N46)</f>
        <v>#VALUE!</v>
      </c>
      <c r="AA43" s="50" t="e">
        <f>bdrateOld($D43:$D46,G43:G46,$L43:$L46,O43:O46)</f>
        <v>#VALUE!</v>
      </c>
      <c r="AB43" s="20"/>
      <c r="AC43" s="12">
        <f>BMS!B353</f>
        <v>0</v>
      </c>
      <c r="AD43" s="13">
        <f>BMS!C353</f>
        <v>0</v>
      </c>
      <c r="AE43" s="13">
        <f>BMS!D353</f>
        <v>0</v>
      </c>
      <c r="AF43" s="13">
        <f>BMS!E353</f>
        <v>0</v>
      </c>
      <c r="AG43" s="13">
        <f>BMS!F353</f>
        <v>0</v>
      </c>
      <c r="AH43" s="13">
        <f>BMS!G353</f>
        <v>0</v>
      </c>
      <c r="AI43" s="14">
        <f t="shared" si="3"/>
        <v>0</v>
      </c>
      <c r="AJ43" s="18" t="e">
        <f t="shared" si="4"/>
        <v>#DIV/0!</v>
      </c>
      <c r="AK43" s="18" t="e">
        <f t="shared" si="5"/>
        <v>#DIV/0!</v>
      </c>
      <c r="AL43" s="20"/>
      <c r="AM43" s="42" t="e">
        <f>bdrate($AC43:$AC46,AD43:AD46,$L43:$L46, M43:M46)</f>
        <v>#VALUE!</v>
      </c>
      <c r="AN43" s="47" t="e">
        <f>bdrate($AC43:$AC46,AE43:AE46,$L43:$L46, N43:N46)</f>
        <v>#VALUE!</v>
      </c>
      <c r="AO43" s="48" t="e">
        <f>bdrate($AC43:$AC46,AF43:AF46,$L43:$L46, O43:O46)</f>
        <v>#VALUE!</v>
      </c>
      <c r="AP43" s="42" t="e">
        <f>bdrateOld($AC43:$AC46,AD43:AD46,$L43:$L46, M43:M46)</f>
        <v>#VALUE!</v>
      </c>
      <c r="AQ43" s="47" t="e">
        <f>bdrateOld($AC43:$AC46,AE43:AE46,$L43:$L46, N43:N46)</f>
        <v>#VALUE!</v>
      </c>
      <c r="AR43" s="48" t="e">
        <f>bdrateOld($AC43:$AC46,AF43:AF46,$L43:$L46, O43:O46)</f>
        <v>#VALUE!</v>
      </c>
    </row>
    <row r="44" spans="1:44" x14ac:dyDescent="0.2">
      <c r="A44" s="16"/>
      <c r="B44" s="16"/>
      <c r="C44" s="16">
        <v>27</v>
      </c>
      <c r="D44" s="17">
        <f>TM!B354</f>
        <v>0</v>
      </c>
      <c r="E44" s="18">
        <f>TM!C354</f>
        <v>0</v>
      </c>
      <c r="F44" s="18">
        <f>TM!D354</f>
        <v>0</v>
      </c>
      <c r="G44" s="18">
        <f>TM!E354</f>
        <v>0</v>
      </c>
      <c r="H44" s="18">
        <f>TM!F354</f>
        <v>0</v>
      </c>
      <c r="I44" s="18">
        <f>TM!G354</f>
        <v>0</v>
      </c>
      <c r="J44" s="19">
        <f t="shared" si="6"/>
        <v>0</v>
      </c>
      <c r="L44" s="17">
        <f>Test!B354</f>
        <v>0</v>
      </c>
      <c r="M44" s="18">
        <f>Test!C354</f>
        <v>0</v>
      </c>
      <c r="N44" s="18">
        <f>Test!D354</f>
        <v>0</v>
      </c>
      <c r="O44" s="18">
        <f>Test!E354</f>
        <v>0</v>
      </c>
      <c r="P44" s="18">
        <f>Test!F354</f>
        <v>0</v>
      </c>
      <c r="Q44" s="18">
        <f>Test!G354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60"/>
      <c r="V44" s="43"/>
      <c r="W44" s="26"/>
      <c r="X44" s="26"/>
      <c r="Y44" s="43"/>
      <c r="Z44" s="26"/>
      <c r="AA44" s="55"/>
      <c r="AB44" s="20"/>
      <c r="AC44" s="17">
        <f>BMS!B354</f>
        <v>0</v>
      </c>
      <c r="AD44" s="18">
        <f>BMS!C354</f>
        <v>0</v>
      </c>
      <c r="AE44" s="18">
        <f>BMS!D354</f>
        <v>0</v>
      </c>
      <c r="AF44" s="18">
        <f>BMS!E354</f>
        <v>0</v>
      </c>
      <c r="AG44" s="18">
        <f>BMS!F354</f>
        <v>0</v>
      </c>
      <c r="AH44" s="18">
        <f>BMS!G354</f>
        <v>0</v>
      </c>
      <c r="AI44" s="19">
        <f t="shared" si="3"/>
        <v>0</v>
      </c>
      <c r="AJ44" s="18" t="e">
        <f t="shared" si="4"/>
        <v>#DIV/0!</v>
      </c>
      <c r="AK44" s="18" t="e">
        <f t="shared" si="5"/>
        <v>#DIV/0!</v>
      </c>
      <c r="AL44" s="20"/>
      <c r="AM44" s="43"/>
      <c r="AN44" s="26"/>
      <c r="AO44" s="55"/>
      <c r="AP44" s="43"/>
      <c r="AQ44" s="26"/>
      <c r="AR44" s="55"/>
    </row>
    <row r="45" spans="1:44" x14ac:dyDescent="0.2">
      <c r="A45" s="16"/>
      <c r="B45" s="16"/>
      <c r="C45" s="16">
        <v>32</v>
      </c>
      <c r="D45" s="17">
        <f>TM!B355</f>
        <v>0</v>
      </c>
      <c r="E45" s="18">
        <f>TM!C355</f>
        <v>0</v>
      </c>
      <c r="F45" s="18">
        <f>TM!D355</f>
        <v>0</v>
      </c>
      <c r="G45" s="18">
        <f>TM!E355</f>
        <v>0</v>
      </c>
      <c r="H45" s="18">
        <f>TM!F355</f>
        <v>0</v>
      </c>
      <c r="I45" s="18">
        <f>TM!G355</f>
        <v>0</v>
      </c>
      <c r="J45" s="19">
        <f t="shared" si="6"/>
        <v>0</v>
      </c>
      <c r="L45" s="17">
        <f>Test!B355</f>
        <v>0</v>
      </c>
      <c r="M45" s="18">
        <f>Test!C355</f>
        <v>0</v>
      </c>
      <c r="N45" s="18">
        <f>Test!D355</f>
        <v>0</v>
      </c>
      <c r="O45" s="18">
        <f>Test!E355</f>
        <v>0</v>
      </c>
      <c r="P45" s="18">
        <f>Test!F355</f>
        <v>0</v>
      </c>
      <c r="Q45" s="18">
        <f>Test!G355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60"/>
      <c r="V45" s="43"/>
      <c r="W45" s="26"/>
      <c r="X45" s="26"/>
      <c r="Y45" s="43"/>
      <c r="Z45" s="26"/>
      <c r="AA45" s="55"/>
      <c r="AB45" s="20"/>
      <c r="AC45" s="17">
        <f>BMS!B355</f>
        <v>0</v>
      </c>
      <c r="AD45" s="18">
        <f>BMS!C355</f>
        <v>0</v>
      </c>
      <c r="AE45" s="18">
        <f>BMS!D355</f>
        <v>0</v>
      </c>
      <c r="AF45" s="18">
        <f>BMS!E355</f>
        <v>0</v>
      </c>
      <c r="AG45" s="18">
        <f>BMS!F355</f>
        <v>0</v>
      </c>
      <c r="AH45" s="18">
        <f>BMS!G355</f>
        <v>0</v>
      </c>
      <c r="AI45" s="19">
        <f t="shared" si="3"/>
        <v>0</v>
      </c>
      <c r="AJ45" s="18" t="e">
        <f t="shared" si="4"/>
        <v>#DIV/0!</v>
      </c>
      <c r="AK45" s="18" t="e">
        <f t="shared" si="5"/>
        <v>#DIV/0!</v>
      </c>
      <c r="AL45" s="20"/>
      <c r="AM45" s="43"/>
      <c r="AN45" s="26"/>
      <c r="AO45" s="55"/>
      <c r="AP45" s="43"/>
      <c r="AQ45" s="26"/>
      <c r="AR45" s="55"/>
    </row>
    <row r="46" spans="1:44" ht="12.75" thickBot="1" x14ac:dyDescent="0.25">
      <c r="A46" s="21"/>
      <c r="B46" s="21"/>
      <c r="C46" s="21">
        <v>37</v>
      </c>
      <c r="D46" s="22">
        <f>TM!B356</f>
        <v>0</v>
      </c>
      <c r="E46" s="23">
        <f>TM!C356</f>
        <v>0</v>
      </c>
      <c r="F46" s="23">
        <f>TM!D356</f>
        <v>0</v>
      </c>
      <c r="G46" s="23">
        <f>TM!E356</f>
        <v>0</v>
      </c>
      <c r="H46" s="23">
        <f>TM!F356</f>
        <v>0</v>
      </c>
      <c r="I46" s="23">
        <f>TM!G356</f>
        <v>0</v>
      </c>
      <c r="J46" s="24">
        <f t="shared" si="6"/>
        <v>0</v>
      </c>
      <c r="L46" s="22">
        <f>Test!B356</f>
        <v>0</v>
      </c>
      <c r="M46" s="23">
        <f>Test!C356</f>
        <v>0</v>
      </c>
      <c r="N46" s="23">
        <f>Test!D356</f>
        <v>0</v>
      </c>
      <c r="O46" s="23">
        <f>Test!E356</f>
        <v>0</v>
      </c>
      <c r="P46" s="23">
        <f>Test!F356</f>
        <v>0</v>
      </c>
      <c r="Q46" s="23">
        <f>Test!G356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60"/>
      <c r="V46" s="44"/>
      <c r="W46" s="56"/>
      <c r="X46" s="56"/>
      <c r="Y46" s="44"/>
      <c r="Z46" s="56"/>
      <c r="AA46" s="57"/>
      <c r="AB46" s="20"/>
      <c r="AC46" s="22">
        <f>BMS!B356</f>
        <v>0</v>
      </c>
      <c r="AD46" s="23">
        <f>BMS!C356</f>
        <v>0</v>
      </c>
      <c r="AE46" s="23">
        <f>BMS!D356</f>
        <v>0</v>
      </c>
      <c r="AF46" s="23">
        <f>BMS!E356</f>
        <v>0</v>
      </c>
      <c r="AG46" s="23">
        <f>BMS!F356</f>
        <v>0</v>
      </c>
      <c r="AH46" s="23">
        <f>BMS!G356</f>
        <v>0</v>
      </c>
      <c r="AI46" s="24">
        <f t="shared" si="3"/>
        <v>0</v>
      </c>
      <c r="AJ46" s="18" t="e">
        <f t="shared" si="4"/>
        <v>#DIV/0!</v>
      </c>
      <c r="AK46" s="18" t="e">
        <f t="shared" si="5"/>
        <v>#DIV/0!</v>
      </c>
      <c r="AL46" s="20"/>
      <c r="AM46" s="44"/>
      <c r="AN46" s="56"/>
      <c r="AO46" s="57"/>
      <c r="AP46" s="44"/>
      <c r="AQ46" s="56"/>
      <c r="AR46" s="57"/>
    </row>
    <row r="47" spans="1:44" x14ac:dyDescent="0.2">
      <c r="A47" s="11" t="s">
        <v>5</v>
      </c>
      <c r="B47" s="11" t="s">
        <v>55</v>
      </c>
      <c r="C47" s="11">
        <v>22</v>
      </c>
      <c r="D47" s="12">
        <f>TM!B357</f>
        <v>0</v>
      </c>
      <c r="E47" s="13">
        <f>TM!C357</f>
        <v>0</v>
      </c>
      <c r="F47" s="13">
        <f>TM!D357</f>
        <v>0</v>
      </c>
      <c r="G47" s="13">
        <f>TM!E357</f>
        <v>0</v>
      </c>
      <c r="H47" s="13">
        <f>TM!F357</f>
        <v>0</v>
      </c>
      <c r="I47" s="13">
        <f>TM!G357</f>
        <v>0</v>
      </c>
      <c r="J47" s="14">
        <f t="shared" si="6"/>
        <v>0</v>
      </c>
      <c r="L47" s="12">
        <f>Test!B357</f>
        <v>0</v>
      </c>
      <c r="M47" s="13">
        <f>Test!C357</f>
        <v>0</v>
      </c>
      <c r="N47" s="13">
        <f>Test!D357</f>
        <v>0</v>
      </c>
      <c r="O47" s="13">
        <f>Test!E357</f>
        <v>0</v>
      </c>
      <c r="P47" s="13">
        <f>Test!F357</f>
        <v>0</v>
      </c>
      <c r="Q47" s="13">
        <f>Test!G357</f>
        <v>0</v>
      </c>
      <c r="R47" s="14">
        <f t="shared" si="1"/>
        <v>0</v>
      </c>
      <c r="S47" s="13" t="e">
        <f t="shared" ref="S47:T70" si="7">P47/H47</f>
        <v>#DIV/0!</v>
      </c>
      <c r="T47" s="13" t="e">
        <f t="shared" si="7"/>
        <v>#DIV/0!</v>
      </c>
      <c r="U47" s="59"/>
      <c r="V47" s="42" t="e">
        <f>bdrate($D47:$D50,E47:E50,$L47:$L50,M47:M50)</f>
        <v>#VALUE!</v>
      </c>
      <c r="W47" s="47" t="e">
        <f>bdrate($D47:$D50,F47:F50,$L47:$L50,N47:N50)</f>
        <v>#VALUE!</v>
      </c>
      <c r="X47" s="48" t="e">
        <f>bdrate($D47:$D50,G47:G50,$L47:$L50,O47:O50)</f>
        <v>#VALUE!</v>
      </c>
      <c r="Y47" s="42" t="e">
        <f>bdrateOld($D47:$D50,E47:E50,$L47:$L50,M47:M50)</f>
        <v>#VALUE!</v>
      </c>
      <c r="Z47" s="47" t="e">
        <f>bdrateOld($D47:$D50,F47:F50,$L47:$L50,N47:N50)</f>
        <v>#VALUE!</v>
      </c>
      <c r="AA47" s="48" t="e">
        <f>bdrateOld($D47:$D50,G47:G50,$L47:$L50,O47:O50)</f>
        <v>#VALUE!</v>
      </c>
      <c r="AB47" s="54"/>
      <c r="AC47" s="12">
        <f>BMS!B357</f>
        <v>0</v>
      </c>
      <c r="AD47" s="13">
        <f>BMS!C357</f>
        <v>0</v>
      </c>
      <c r="AE47" s="13">
        <f>BMS!D357</f>
        <v>0</v>
      </c>
      <c r="AF47" s="13">
        <f>BMS!E357</f>
        <v>0</v>
      </c>
      <c r="AG47" s="13">
        <f>BMS!F357</f>
        <v>0</v>
      </c>
      <c r="AH47" s="13">
        <f>BMS!G357</f>
        <v>0</v>
      </c>
      <c r="AI47" s="14">
        <f t="shared" si="3"/>
        <v>0</v>
      </c>
      <c r="AJ47" s="13" t="e">
        <f t="shared" si="4"/>
        <v>#DIV/0!</v>
      </c>
      <c r="AK47" s="13" t="e">
        <f t="shared" si="5"/>
        <v>#DIV/0!</v>
      </c>
      <c r="AL47" s="54"/>
      <c r="AM47" s="42" t="e">
        <f>bdrate($AC47:$AC50,AD47:AD50,$L47:$L50, M47:M50)</f>
        <v>#VALUE!</v>
      </c>
      <c r="AN47" s="47" t="e">
        <f>bdrate($AC47:$AC50,AE47:AE50,$L47:$L50, N47:N50)</f>
        <v>#VALUE!</v>
      </c>
      <c r="AO47" s="48" t="e">
        <f>bdrate($AC47:$AC50,AF47:AF50,$L47:$L50, O47:O50)</f>
        <v>#VALUE!</v>
      </c>
      <c r="AP47" s="42" t="e">
        <f>bdrateOld($AC47:$AC50,AD47:AD50,$L47:$L50, M47:M50)</f>
        <v>#VALUE!</v>
      </c>
      <c r="AQ47" s="47" t="e">
        <f>bdrateOld($AC47:$AC50,AE47:AE50,$L47:$L50, N47:N50)</f>
        <v>#VALUE!</v>
      </c>
      <c r="AR47" s="48" t="e">
        <f>bdrateOld($AC47:$AC50,AF47:AF50,$L47:$L50, O47:O50)</f>
        <v>#VALUE!</v>
      </c>
    </row>
    <row r="48" spans="1:44" x14ac:dyDescent="0.2">
      <c r="A48" s="16" t="s">
        <v>50</v>
      </c>
      <c r="B48" s="16"/>
      <c r="C48" s="16">
        <v>27</v>
      </c>
      <c r="D48" s="17">
        <f>TM!B358</f>
        <v>0</v>
      </c>
      <c r="E48" s="18">
        <f>TM!C358</f>
        <v>0</v>
      </c>
      <c r="F48" s="18">
        <f>TM!D358</f>
        <v>0</v>
      </c>
      <c r="G48" s="18">
        <f>TM!E358</f>
        <v>0</v>
      </c>
      <c r="H48" s="18">
        <f>TM!F358</f>
        <v>0</v>
      </c>
      <c r="I48" s="18">
        <f>TM!G358</f>
        <v>0</v>
      </c>
      <c r="J48" s="19">
        <f t="shared" si="6"/>
        <v>0</v>
      </c>
      <c r="L48" s="17">
        <f>Test!B358</f>
        <v>0</v>
      </c>
      <c r="M48" s="18">
        <f>Test!C358</f>
        <v>0</v>
      </c>
      <c r="N48" s="18">
        <f>Test!D358</f>
        <v>0</v>
      </c>
      <c r="O48" s="18">
        <f>Test!E358</f>
        <v>0</v>
      </c>
      <c r="P48" s="18">
        <f>Test!F358</f>
        <v>0</v>
      </c>
      <c r="Q48" s="18">
        <f>Test!G358</f>
        <v>0</v>
      </c>
      <c r="R48" s="19">
        <f t="shared" si="1"/>
        <v>0</v>
      </c>
      <c r="S48" s="18" t="e">
        <f t="shared" si="7"/>
        <v>#DIV/0!</v>
      </c>
      <c r="T48" s="18" t="e">
        <f t="shared" si="7"/>
        <v>#DIV/0!</v>
      </c>
      <c r="U48" s="60"/>
      <c r="V48" s="43"/>
      <c r="W48" s="26"/>
      <c r="X48" s="55"/>
      <c r="Y48" s="43"/>
      <c r="Z48" s="26"/>
      <c r="AA48" s="55"/>
      <c r="AB48" s="20"/>
      <c r="AC48" s="17">
        <f>BMS!B358</f>
        <v>0</v>
      </c>
      <c r="AD48" s="18">
        <f>BMS!C358</f>
        <v>0</v>
      </c>
      <c r="AE48" s="18">
        <f>BMS!D358</f>
        <v>0</v>
      </c>
      <c r="AF48" s="18">
        <f>BMS!E358</f>
        <v>0</v>
      </c>
      <c r="AG48" s="18">
        <f>BMS!F358</f>
        <v>0</v>
      </c>
      <c r="AH48" s="18">
        <f>BMS!G358</f>
        <v>0</v>
      </c>
      <c r="AI48" s="19">
        <f t="shared" si="3"/>
        <v>0</v>
      </c>
      <c r="AJ48" s="18" t="e">
        <f t="shared" si="4"/>
        <v>#DIV/0!</v>
      </c>
      <c r="AK48" s="18" t="e">
        <f t="shared" si="5"/>
        <v>#DIV/0!</v>
      </c>
      <c r="AL48" s="20"/>
      <c r="AM48" s="43"/>
      <c r="AN48" s="26"/>
      <c r="AO48" s="55"/>
      <c r="AP48" s="43"/>
      <c r="AQ48" s="26"/>
      <c r="AR48" s="55"/>
    </row>
    <row r="49" spans="1:44" x14ac:dyDescent="0.2">
      <c r="A49" s="16"/>
      <c r="B49" s="16"/>
      <c r="C49" s="16">
        <v>32</v>
      </c>
      <c r="D49" s="17">
        <f>TM!B359</f>
        <v>0</v>
      </c>
      <c r="E49" s="18">
        <f>TM!C359</f>
        <v>0</v>
      </c>
      <c r="F49" s="18">
        <f>TM!D359</f>
        <v>0</v>
      </c>
      <c r="G49" s="18">
        <f>TM!E359</f>
        <v>0</v>
      </c>
      <c r="H49" s="18">
        <f>TM!F359</f>
        <v>0</v>
      </c>
      <c r="I49" s="18">
        <f>TM!G359</f>
        <v>0</v>
      </c>
      <c r="J49" s="19">
        <f t="shared" si="6"/>
        <v>0</v>
      </c>
      <c r="L49" s="17">
        <f>Test!B359</f>
        <v>0</v>
      </c>
      <c r="M49" s="18">
        <f>Test!C359</f>
        <v>0</v>
      </c>
      <c r="N49" s="18">
        <f>Test!D359</f>
        <v>0</v>
      </c>
      <c r="O49" s="18">
        <f>Test!E359</f>
        <v>0</v>
      </c>
      <c r="P49" s="18">
        <f>Test!F359</f>
        <v>0</v>
      </c>
      <c r="Q49" s="18">
        <f>Test!G359</f>
        <v>0</v>
      </c>
      <c r="R49" s="19">
        <f t="shared" si="1"/>
        <v>0</v>
      </c>
      <c r="S49" s="18" t="e">
        <f t="shared" si="7"/>
        <v>#DIV/0!</v>
      </c>
      <c r="T49" s="18" t="e">
        <f t="shared" si="7"/>
        <v>#DIV/0!</v>
      </c>
      <c r="U49" s="60"/>
      <c r="V49" s="43"/>
      <c r="W49" s="26"/>
      <c r="X49" s="55"/>
      <c r="Y49" s="43"/>
      <c r="Z49" s="26"/>
      <c r="AA49" s="55"/>
      <c r="AB49" s="20"/>
      <c r="AC49" s="17">
        <f>BMS!B359</f>
        <v>0</v>
      </c>
      <c r="AD49" s="18">
        <f>BMS!C359</f>
        <v>0</v>
      </c>
      <c r="AE49" s="18">
        <f>BMS!D359</f>
        <v>0</v>
      </c>
      <c r="AF49" s="18">
        <f>BMS!E359</f>
        <v>0</v>
      </c>
      <c r="AG49" s="18">
        <f>BMS!F359</f>
        <v>0</v>
      </c>
      <c r="AH49" s="18">
        <f>BMS!G359</f>
        <v>0</v>
      </c>
      <c r="AI49" s="19">
        <f t="shared" si="3"/>
        <v>0</v>
      </c>
      <c r="AJ49" s="18" t="e">
        <f t="shared" si="4"/>
        <v>#DIV/0!</v>
      </c>
      <c r="AK49" s="18" t="e">
        <f t="shared" si="5"/>
        <v>#DIV/0!</v>
      </c>
      <c r="AL49" s="20"/>
      <c r="AM49" s="43"/>
      <c r="AN49" s="26"/>
      <c r="AO49" s="55"/>
      <c r="AP49" s="43"/>
      <c r="AQ49" s="26"/>
      <c r="AR49" s="55"/>
    </row>
    <row r="50" spans="1:44" ht="12.75" thickBot="1" x14ac:dyDescent="0.25">
      <c r="A50" s="16"/>
      <c r="B50" s="21"/>
      <c r="C50" s="21">
        <v>37</v>
      </c>
      <c r="D50" s="22">
        <f>TM!B360</f>
        <v>0</v>
      </c>
      <c r="E50" s="23">
        <f>TM!C360</f>
        <v>0</v>
      </c>
      <c r="F50" s="23">
        <f>TM!D360</f>
        <v>0</v>
      </c>
      <c r="G50" s="23">
        <f>TM!E360</f>
        <v>0</v>
      </c>
      <c r="H50" s="23">
        <f>TM!F360</f>
        <v>0</v>
      </c>
      <c r="I50" s="23">
        <f>TM!G360</f>
        <v>0</v>
      </c>
      <c r="J50" s="24">
        <f t="shared" si="6"/>
        <v>0</v>
      </c>
      <c r="L50" s="22">
        <f>Test!B360</f>
        <v>0</v>
      </c>
      <c r="M50" s="23">
        <f>Test!C360</f>
        <v>0</v>
      </c>
      <c r="N50" s="23">
        <f>Test!D360</f>
        <v>0</v>
      </c>
      <c r="O50" s="23">
        <f>Test!E360</f>
        <v>0</v>
      </c>
      <c r="P50" s="23">
        <f>Test!F360</f>
        <v>0</v>
      </c>
      <c r="Q50" s="23">
        <f>Test!G360</f>
        <v>0</v>
      </c>
      <c r="R50" s="24">
        <f t="shared" si="1"/>
        <v>0</v>
      </c>
      <c r="S50" s="18" t="e">
        <f t="shared" si="7"/>
        <v>#DIV/0!</v>
      </c>
      <c r="T50" s="18" t="e">
        <f t="shared" si="7"/>
        <v>#DIV/0!</v>
      </c>
      <c r="U50" s="60"/>
      <c r="V50" s="44"/>
      <c r="W50" s="56"/>
      <c r="X50" s="57"/>
      <c r="Y50" s="44"/>
      <c r="Z50" s="56"/>
      <c r="AA50" s="57"/>
      <c r="AB50" s="20"/>
      <c r="AC50" s="22">
        <f>BMS!B360</f>
        <v>0</v>
      </c>
      <c r="AD50" s="23">
        <f>BMS!C360</f>
        <v>0</v>
      </c>
      <c r="AE50" s="23">
        <f>BMS!D360</f>
        <v>0</v>
      </c>
      <c r="AF50" s="23">
        <f>BMS!E360</f>
        <v>0</v>
      </c>
      <c r="AG50" s="23">
        <f>BMS!F360</f>
        <v>0</v>
      </c>
      <c r="AH50" s="23">
        <f>BMS!G360</f>
        <v>0</v>
      </c>
      <c r="AI50" s="24">
        <f t="shared" si="3"/>
        <v>0</v>
      </c>
      <c r="AJ50" s="18" t="e">
        <f t="shared" si="4"/>
        <v>#DIV/0!</v>
      </c>
      <c r="AK50" s="18" t="e">
        <f t="shared" si="5"/>
        <v>#DIV/0!</v>
      </c>
      <c r="AL50" s="20"/>
      <c r="AM50" s="44"/>
      <c r="AN50" s="56"/>
      <c r="AO50" s="57"/>
      <c r="AP50" s="44"/>
      <c r="AQ50" s="56"/>
      <c r="AR50" s="57"/>
    </row>
    <row r="51" spans="1:44" x14ac:dyDescent="0.2">
      <c r="A51" s="16"/>
      <c r="B51" s="11" t="s">
        <v>39</v>
      </c>
      <c r="C51" s="11">
        <v>22</v>
      </c>
      <c r="D51" s="12">
        <f>TM!B361</f>
        <v>0</v>
      </c>
      <c r="E51" s="13">
        <f>TM!C361</f>
        <v>0</v>
      </c>
      <c r="F51" s="13">
        <f>TM!D361</f>
        <v>0</v>
      </c>
      <c r="G51" s="13">
        <f>TM!E361</f>
        <v>0</v>
      </c>
      <c r="H51" s="13">
        <f>TM!F361</f>
        <v>0</v>
      </c>
      <c r="I51" s="13">
        <f>TM!G361</f>
        <v>0</v>
      </c>
      <c r="J51" s="14">
        <f t="shared" si="6"/>
        <v>0</v>
      </c>
      <c r="L51" s="12">
        <f>Test!B361</f>
        <v>0</v>
      </c>
      <c r="M51" s="13">
        <f>Test!C361</f>
        <v>0</v>
      </c>
      <c r="N51" s="13">
        <f>Test!D361</f>
        <v>0</v>
      </c>
      <c r="O51" s="13">
        <f>Test!E361</f>
        <v>0</v>
      </c>
      <c r="P51" s="13">
        <f>Test!F361</f>
        <v>0</v>
      </c>
      <c r="Q51" s="13">
        <f>Test!G361</f>
        <v>0</v>
      </c>
      <c r="R51" s="14">
        <f t="shared" si="1"/>
        <v>0</v>
      </c>
      <c r="S51" s="18" t="e">
        <f t="shared" si="7"/>
        <v>#DIV/0!</v>
      </c>
      <c r="T51" s="18" t="e">
        <f t="shared" si="7"/>
        <v>#DIV/0!</v>
      </c>
      <c r="U51" s="60"/>
      <c r="V51" s="42" t="e">
        <f>bdrate($D51:$D54,E51:E54,$L51:$L54,M51:M54)</f>
        <v>#VALUE!</v>
      </c>
      <c r="W51" s="47" t="e">
        <f>bdrate($D51:$D54,F51:F54,$L51:$L54,N51:N54)</f>
        <v>#VALUE!</v>
      </c>
      <c r="X51" s="47" t="e">
        <f>bdrate($D51:$D54,G51:G54,$L51:$L54,O51:O54)</f>
        <v>#VALUE!</v>
      </c>
      <c r="Y51" s="45" t="e">
        <f>bdrateOld($D51:$D54,E51:E54,$L51:$L54,M51:M54)</f>
        <v>#VALUE!</v>
      </c>
      <c r="Z51" s="49" t="e">
        <f>bdrateOld($D51:$D54,F51:F54,$L51:$L54,N51:N54)</f>
        <v>#VALUE!</v>
      </c>
      <c r="AA51" s="50" t="e">
        <f>bdrateOld($D51:$D54,G51:G54,$L51:$L54,O51:O54)</f>
        <v>#VALUE!</v>
      </c>
      <c r="AB51" s="20"/>
      <c r="AC51" s="12">
        <f>BMS!B361</f>
        <v>0</v>
      </c>
      <c r="AD51" s="13">
        <f>BMS!C361</f>
        <v>0</v>
      </c>
      <c r="AE51" s="13">
        <f>BMS!D361</f>
        <v>0</v>
      </c>
      <c r="AF51" s="13">
        <f>BMS!E361</f>
        <v>0</v>
      </c>
      <c r="AG51" s="13">
        <f>BMS!F361</f>
        <v>0</v>
      </c>
      <c r="AH51" s="13">
        <f>BMS!G361</f>
        <v>0</v>
      </c>
      <c r="AI51" s="14">
        <f t="shared" si="3"/>
        <v>0</v>
      </c>
      <c r="AJ51" s="18" t="e">
        <f t="shared" si="4"/>
        <v>#DIV/0!</v>
      </c>
      <c r="AK51" s="18" t="e">
        <f t="shared" si="5"/>
        <v>#DIV/0!</v>
      </c>
      <c r="AL51" s="20"/>
      <c r="AM51" s="42" t="e">
        <f>bdrate($AC51:$AC54,AD51:AD54,$L51:$L54, M51:M54)</f>
        <v>#VALUE!</v>
      </c>
      <c r="AN51" s="47" t="e">
        <f>bdrate($AC51:$AC54,AE51:AE54,$L51:$L54, N51:N54)</f>
        <v>#VALUE!</v>
      </c>
      <c r="AO51" s="48" t="e">
        <f>bdrate($AC51:$AC54,AF51:AF54,$L51:$L54, O51:O54)</f>
        <v>#VALUE!</v>
      </c>
      <c r="AP51" s="42" t="e">
        <f>bdrateOld($AC51:$AC54,AD51:AD54,$L51:$L54, M51:M54)</f>
        <v>#VALUE!</v>
      </c>
      <c r="AQ51" s="47" t="e">
        <f>bdrateOld($AC51:$AC54,AE51:AE54,$L51:$L54, N51:N54)</f>
        <v>#VALUE!</v>
      </c>
      <c r="AR51" s="48" t="e">
        <f>bdrateOld($AC51:$AC54,AF51:AF54,$L51:$L54, O51:O54)</f>
        <v>#VALUE!</v>
      </c>
    </row>
    <row r="52" spans="1:44" x14ac:dyDescent="0.2">
      <c r="A52" s="16"/>
      <c r="B52" s="16"/>
      <c r="C52" s="16">
        <v>27</v>
      </c>
      <c r="D52" s="17">
        <f>TM!B362</f>
        <v>0</v>
      </c>
      <c r="E52" s="18">
        <f>TM!C362</f>
        <v>0</v>
      </c>
      <c r="F52" s="18">
        <f>TM!D362</f>
        <v>0</v>
      </c>
      <c r="G52" s="18">
        <f>TM!E362</f>
        <v>0</v>
      </c>
      <c r="H52" s="18">
        <f>TM!F362</f>
        <v>0</v>
      </c>
      <c r="I52" s="18">
        <f>TM!G362</f>
        <v>0</v>
      </c>
      <c r="J52" s="19">
        <f t="shared" si="6"/>
        <v>0</v>
      </c>
      <c r="L52" s="17">
        <f>Test!B362</f>
        <v>0</v>
      </c>
      <c r="M52" s="18">
        <f>Test!C362</f>
        <v>0</v>
      </c>
      <c r="N52" s="18">
        <f>Test!D362</f>
        <v>0</v>
      </c>
      <c r="O52" s="18">
        <f>Test!E362</f>
        <v>0</v>
      </c>
      <c r="P52" s="18">
        <f>Test!F362</f>
        <v>0</v>
      </c>
      <c r="Q52" s="18">
        <f>Test!G362</f>
        <v>0</v>
      </c>
      <c r="R52" s="19">
        <f t="shared" si="1"/>
        <v>0</v>
      </c>
      <c r="S52" s="18" t="e">
        <f t="shared" si="7"/>
        <v>#DIV/0!</v>
      </c>
      <c r="T52" s="18" t="e">
        <f t="shared" si="7"/>
        <v>#DIV/0!</v>
      </c>
      <c r="U52" s="60"/>
      <c r="V52" s="43"/>
      <c r="W52" s="26"/>
      <c r="X52" s="26"/>
      <c r="Y52" s="43"/>
      <c r="Z52" s="26"/>
      <c r="AA52" s="55"/>
      <c r="AB52" s="20"/>
      <c r="AC52" s="17">
        <f>BMS!B362</f>
        <v>0</v>
      </c>
      <c r="AD52" s="18">
        <f>BMS!C362</f>
        <v>0</v>
      </c>
      <c r="AE52" s="18">
        <f>BMS!D362</f>
        <v>0</v>
      </c>
      <c r="AF52" s="18">
        <f>BMS!E362</f>
        <v>0</v>
      </c>
      <c r="AG52" s="18">
        <f>BMS!F362</f>
        <v>0</v>
      </c>
      <c r="AH52" s="18">
        <f>BMS!G362</f>
        <v>0</v>
      </c>
      <c r="AI52" s="19">
        <f t="shared" si="3"/>
        <v>0</v>
      </c>
      <c r="AJ52" s="18" t="e">
        <f t="shared" si="4"/>
        <v>#DIV/0!</v>
      </c>
      <c r="AK52" s="18" t="e">
        <f t="shared" si="5"/>
        <v>#DIV/0!</v>
      </c>
      <c r="AL52" s="20"/>
      <c r="AM52" s="43"/>
      <c r="AN52" s="26"/>
      <c r="AO52" s="55"/>
      <c r="AP52" s="43"/>
      <c r="AQ52" s="26"/>
      <c r="AR52" s="55"/>
    </row>
    <row r="53" spans="1:44" x14ac:dyDescent="0.2">
      <c r="A53" s="16"/>
      <c r="B53" s="16"/>
      <c r="C53" s="16">
        <v>32</v>
      </c>
      <c r="D53" s="17">
        <f>TM!B363</f>
        <v>0</v>
      </c>
      <c r="E53" s="18">
        <f>TM!C363</f>
        <v>0</v>
      </c>
      <c r="F53" s="18">
        <f>TM!D363</f>
        <v>0</v>
      </c>
      <c r="G53" s="18">
        <f>TM!E363</f>
        <v>0</v>
      </c>
      <c r="H53" s="18">
        <f>TM!F363</f>
        <v>0</v>
      </c>
      <c r="I53" s="18">
        <f>TM!G363</f>
        <v>0</v>
      </c>
      <c r="J53" s="19">
        <f t="shared" si="6"/>
        <v>0</v>
      </c>
      <c r="L53" s="17">
        <f>Test!B363</f>
        <v>0</v>
      </c>
      <c r="M53" s="18">
        <f>Test!C363</f>
        <v>0</v>
      </c>
      <c r="N53" s="18">
        <f>Test!D363</f>
        <v>0</v>
      </c>
      <c r="O53" s="18">
        <f>Test!E363</f>
        <v>0</v>
      </c>
      <c r="P53" s="18">
        <f>Test!F363</f>
        <v>0</v>
      </c>
      <c r="Q53" s="18">
        <f>Test!G363</f>
        <v>0</v>
      </c>
      <c r="R53" s="19">
        <f t="shared" si="1"/>
        <v>0</v>
      </c>
      <c r="S53" s="18" t="e">
        <f t="shared" si="7"/>
        <v>#DIV/0!</v>
      </c>
      <c r="T53" s="18" t="e">
        <f t="shared" si="7"/>
        <v>#DIV/0!</v>
      </c>
      <c r="U53" s="60"/>
      <c r="V53" s="43"/>
      <c r="W53" s="26"/>
      <c r="X53" s="26"/>
      <c r="Y53" s="43"/>
      <c r="Z53" s="26"/>
      <c r="AA53" s="55"/>
      <c r="AB53" s="20"/>
      <c r="AC53" s="17">
        <f>BMS!B363</f>
        <v>0</v>
      </c>
      <c r="AD53" s="18">
        <f>BMS!C363</f>
        <v>0</v>
      </c>
      <c r="AE53" s="18">
        <f>BMS!D363</f>
        <v>0</v>
      </c>
      <c r="AF53" s="18">
        <f>BMS!E363</f>
        <v>0</v>
      </c>
      <c r="AG53" s="18">
        <f>BMS!F363</f>
        <v>0</v>
      </c>
      <c r="AH53" s="18">
        <f>BMS!G363</f>
        <v>0</v>
      </c>
      <c r="AI53" s="19">
        <f t="shared" si="3"/>
        <v>0</v>
      </c>
      <c r="AJ53" s="18" t="e">
        <f t="shared" si="4"/>
        <v>#DIV/0!</v>
      </c>
      <c r="AK53" s="18" t="e">
        <f t="shared" si="5"/>
        <v>#DIV/0!</v>
      </c>
      <c r="AL53" s="20"/>
      <c r="AM53" s="43"/>
      <c r="AN53" s="26"/>
      <c r="AO53" s="55"/>
      <c r="AP53" s="43"/>
      <c r="AQ53" s="26"/>
      <c r="AR53" s="55"/>
    </row>
    <row r="54" spans="1:44" ht="12.75" thickBot="1" x14ac:dyDescent="0.25">
      <c r="A54" s="16"/>
      <c r="B54" s="21"/>
      <c r="C54" s="21">
        <v>37</v>
      </c>
      <c r="D54" s="22">
        <f>TM!B364</f>
        <v>0</v>
      </c>
      <c r="E54" s="23">
        <f>TM!C364</f>
        <v>0</v>
      </c>
      <c r="F54" s="23">
        <f>TM!D364</f>
        <v>0</v>
      </c>
      <c r="G54" s="23">
        <f>TM!E364</f>
        <v>0</v>
      </c>
      <c r="H54" s="23">
        <f>TM!F364</f>
        <v>0</v>
      </c>
      <c r="I54" s="23">
        <f>TM!G364</f>
        <v>0</v>
      </c>
      <c r="J54" s="24">
        <f t="shared" si="6"/>
        <v>0</v>
      </c>
      <c r="L54" s="22">
        <f>Test!B364</f>
        <v>0</v>
      </c>
      <c r="M54" s="23">
        <f>Test!C364</f>
        <v>0</v>
      </c>
      <c r="N54" s="23">
        <f>Test!D364</f>
        <v>0</v>
      </c>
      <c r="O54" s="23">
        <f>Test!E364</f>
        <v>0</v>
      </c>
      <c r="P54" s="23">
        <f>Test!F364</f>
        <v>0</v>
      </c>
      <c r="Q54" s="23">
        <f>Test!G364</f>
        <v>0</v>
      </c>
      <c r="R54" s="24">
        <f t="shared" si="1"/>
        <v>0</v>
      </c>
      <c r="S54" s="18" t="e">
        <f t="shared" si="7"/>
        <v>#DIV/0!</v>
      </c>
      <c r="T54" s="18" t="e">
        <f t="shared" si="7"/>
        <v>#DIV/0!</v>
      </c>
      <c r="U54" s="60"/>
      <c r="V54" s="44"/>
      <c r="W54" s="56"/>
      <c r="X54" s="56"/>
      <c r="Y54" s="44"/>
      <c r="Z54" s="56"/>
      <c r="AA54" s="57"/>
      <c r="AB54" s="20"/>
      <c r="AC54" s="22">
        <f>BMS!B364</f>
        <v>0</v>
      </c>
      <c r="AD54" s="23">
        <f>BMS!C364</f>
        <v>0</v>
      </c>
      <c r="AE54" s="23">
        <f>BMS!D364</f>
        <v>0</v>
      </c>
      <c r="AF54" s="23">
        <f>BMS!E364</f>
        <v>0</v>
      </c>
      <c r="AG54" s="23">
        <f>BMS!F364</f>
        <v>0</v>
      </c>
      <c r="AH54" s="23">
        <f>BMS!G364</f>
        <v>0</v>
      </c>
      <c r="AI54" s="24">
        <f t="shared" si="3"/>
        <v>0</v>
      </c>
      <c r="AJ54" s="18" t="e">
        <f t="shared" si="4"/>
        <v>#DIV/0!</v>
      </c>
      <c r="AK54" s="18" t="e">
        <f t="shared" si="5"/>
        <v>#DIV/0!</v>
      </c>
      <c r="AL54" s="20"/>
      <c r="AM54" s="44"/>
      <c r="AN54" s="56"/>
      <c r="AO54" s="57"/>
      <c r="AP54" s="44"/>
      <c r="AQ54" s="56"/>
      <c r="AR54" s="57"/>
    </row>
    <row r="55" spans="1:44" x14ac:dyDescent="0.2">
      <c r="A55" s="16"/>
      <c r="B55" s="11" t="s">
        <v>56</v>
      </c>
      <c r="C55" s="11">
        <v>22</v>
      </c>
      <c r="D55" s="12">
        <f>TM!B365</f>
        <v>0</v>
      </c>
      <c r="E55" s="13">
        <f>TM!C365</f>
        <v>0</v>
      </c>
      <c r="F55" s="13">
        <f>TM!D365</f>
        <v>0</v>
      </c>
      <c r="G55" s="13">
        <f>TM!E365</f>
        <v>0</v>
      </c>
      <c r="H55" s="13">
        <f>TM!F365</f>
        <v>0</v>
      </c>
      <c r="I55" s="13">
        <f>TM!G365</f>
        <v>0</v>
      </c>
      <c r="J55" s="14">
        <f t="shared" si="6"/>
        <v>0</v>
      </c>
      <c r="L55" s="12">
        <f>Test!B365</f>
        <v>0</v>
      </c>
      <c r="M55" s="13">
        <f>Test!C365</f>
        <v>0</v>
      </c>
      <c r="N55" s="13">
        <f>Test!D365</f>
        <v>0</v>
      </c>
      <c r="O55" s="13">
        <f>Test!E365</f>
        <v>0</v>
      </c>
      <c r="P55" s="13">
        <f>Test!F365</f>
        <v>0</v>
      </c>
      <c r="Q55" s="13">
        <f>Test!G365</f>
        <v>0</v>
      </c>
      <c r="R55" s="14">
        <f t="shared" si="1"/>
        <v>0</v>
      </c>
      <c r="S55" s="18" t="e">
        <f t="shared" si="7"/>
        <v>#DIV/0!</v>
      </c>
      <c r="T55" s="18" t="e">
        <f t="shared" si="7"/>
        <v>#DIV/0!</v>
      </c>
      <c r="U55" s="60"/>
      <c r="V55" s="42" t="e">
        <f>bdrate($D55:$D58,E55:E58,$L55:$L58,M55:M58)</f>
        <v>#VALUE!</v>
      </c>
      <c r="W55" s="47" t="e">
        <f>bdrate($D55:$D58,F55:F58,$L55:$L58,N55:N58)</f>
        <v>#VALUE!</v>
      </c>
      <c r="X55" s="47" t="e">
        <f>bdrate($D55:$D58,G55:G58,$L55:$L58,O55:O58)</f>
        <v>#VALUE!</v>
      </c>
      <c r="Y55" s="45" t="e">
        <f>bdrateOld($D55:$D58,E55:E58,$L55:$L58,M55:M58)</f>
        <v>#VALUE!</v>
      </c>
      <c r="Z55" s="49" t="e">
        <f>bdrateOld($D55:$D58,F55:F58,$L55:$L58,N55:N58)</f>
        <v>#VALUE!</v>
      </c>
      <c r="AA55" s="50" t="e">
        <f>bdrateOld($D55:$D58,G55:G58,$L55:$L58,O55:O58)</f>
        <v>#VALUE!</v>
      </c>
      <c r="AB55" s="20"/>
      <c r="AC55" s="12">
        <f>BMS!B365</f>
        <v>0</v>
      </c>
      <c r="AD55" s="13">
        <f>BMS!C365</f>
        <v>0</v>
      </c>
      <c r="AE55" s="13">
        <f>BMS!D365</f>
        <v>0</v>
      </c>
      <c r="AF55" s="13">
        <f>BMS!E365</f>
        <v>0</v>
      </c>
      <c r="AG55" s="13">
        <f>BMS!F365</f>
        <v>0</v>
      </c>
      <c r="AH55" s="13">
        <f>BMS!G365</f>
        <v>0</v>
      </c>
      <c r="AI55" s="14">
        <f t="shared" si="3"/>
        <v>0</v>
      </c>
      <c r="AJ55" s="18" t="e">
        <f t="shared" si="4"/>
        <v>#DIV/0!</v>
      </c>
      <c r="AK55" s="18" t="e">
        <f t="shared" si="5"/>
        <v>#DIV/0!</v>
      </c>
      <c r="AL55" s="20"/>
      <c r="AM55" s="42" t="e">
        <f>bdrate($AC55:$AC58,AD55:AD58,$L55:$L58, M55:M58)</f>
        <v>#VALUE!</v>
      </c>
      <c r="AN55" s="47" t="e">
        <f>bdrate($AC55:$AC58,AE55:AE58,$L55:$L58, N55:N58)</f>
        <v>#VALUE!</v>
      </c>
      <c r="AO55" s="48" t="e">
        <f>bdrate($AC55:$AC58,AF55:AF58,$L55:$L58, O55:O58)</f>
        <v>#VALUE!</v>
      </c>
      <c r="AP55" s="42" t="e">
        <f>bdrateOld($AC55:$AC58,AD55:AD58,$L55:$L58, M55:M58)</f>
        <v>#VALUE!</v>
      </c>
      <c r="AQ55" s="47" t="e">
        <f>bdrateOld($AC55:$AC58,AE55:AE58,$L55:$L58, N55:N58)</f>
        <v>#VALUE!</v>
      </c>
      <c r="AR55" s="48" t="e">
        <f>bdrateOld($AC55:$AC58,AF55:AF58,$L55:$L58, O55:O58)</f>
        <v>#VALUE!</v>
      </c>
    </row>
    <row r="56" spans="1:44" x14ac:dyDescent="0.2">
      <c r="A56" s="16"/>
      <c r="B56" s="16"/>
      <c r="C56" s="16">
        <v>27</v>
      </c>
      <c r="D56" s="17">
        <f>TM!B366</f>
        <v>0</v>
      </c>
      <c r="E56" s="18">
        <f>TM!C366</f>
        <v>0</v>
      </c>
      <c r="F56" s="18">
        <f>TM!D366</f>
        <v>0</v>
      </c>
      <c r="G56" s="18">
        <f>TM!E366</f>
        <v>0</v>
      </c>
      <c r="H56" s="18">
        <f>TM!F366</f>
        <v>0</v>
      </c>
      <c r="I56" s="18">
        <f>TM!G366</f>
        <v>0</v>
      </c>
      <c r="J56" s="19">
        <f t="shared" si="6"/>
        <v>0</v>
      </c>
      <c r="L56" s="17">
        <f>Test!B366</f>
        <v>0</v>
      </c>
      <c r="M56" s="18">
        <f>Test!C366</f>
        <v>0</v>
      </c>
      <c r="N56" s="18">
        <f>Test!D366</f>
        <v>0</v>
      </c>
      <c r="O56" s="18">
        <f>Test!E366</f>
        <v>0</v>
      </c>
      <c r="P56" s="18">
        <f>Test!F366</f>
        <v>0</v>
      </c>
      <c r="Q56" s="18">
        <f>Test!G366</f>
        <v>0</v>
      </c>
      <c r="R56" s="19">
        <f t="shared" si="1"/>
        <v>0</v>
      </c>
      <c r="S56" s="18" t="e">
        <f t="shared" si="7"/>
        <v>#DIV/0!</v>
      </c>
      <c r="T56" s="18" t="e">
        <f t="shared" si="7"/>
        <v>#DIV/0!</v>
      </c>
      <c r="U56" s="60"/>
      <c r="V56" s="43"/>
      <c r="W56" s="26"/>
      <c r="X56" s="26"/>
      <c r="Y56" s="43"/>
      <c r="Z56" s="26"/>
      <c r="AA56" s="55"/>
      <c r="AB56" s="20"/>
      <c r="AC56" s="17">
        <f>BMS!B366</f>
        <v>0</v>
      </c>
      <c r="AD56" s="18">
        <f>BMS!C366</f>
        <v>0</v>
      </c>
      <c r="AE56" s="18">
        <f>BMS!D366</f>
        <v>0</v>
      </c>
      <c r="AF56" s="18">
        <f>BMS!E366</f>
        <v>0</v>
      </c>
      <c r="AG56" s="18">
        <f>BMS!F366</f>
        <v>0</v>
      </c>
      <c r="AH56" s="18">
        <f>BMS!G366</f>
        <v>0</v>
      </c>
      <c r="AI56" s="19">
        <f t="shared" si="3"/>
        <v>0</v>
      </c>
      <c r="AJ56" s="18" t="e">
        <f t="shared" si="4"/>
        <v>#DIV/0!</v>
      </c>
      <c r="AK56" s="18" t="e">
        <f t="shared" si="5"/>
        <v>#DIV/0!</v>
      </c>
      <c r="AL56" s="20"/>
      <c r="AM56" s="43"/>
      <c r="AN56" s="26"/>
      <c r="AO56" s="55"/>
      <c r="AP56" s="43"/>
      <c r="AQ56" s="26"/>
      <c r="AR56" s="55"/>
    </row>
    <row r="57" spans="1:44" x14ac:dyDescent="0.2">
      <c r="A57" s="16"/>
      <c r="B57" s="16"/>
      <c r="C57" s="16">
        <v>32</v>
      </c>
      <c r="D57" s="17">
        <f>TM!B367</f>
        <v>0</v>
      </c>
      <c r="E57" s="18">
        <f>TM!C367</f>
        <v>0</v>
      </c>
      <c r="F57" s="18">
        <f>TM!D367</f>
        <v>0</v>
      </c>
      <c r="G57" s="18">
        <f>TM!E367</f>
        <v>0</v>
      </c>
      <c r="H57" s="18">
        <f>TM!F367</f>
        <v>0</v>
      </c>
      <c r="I57" s="18">
        <f>TM!G367</f>
        <v>0</v>
      </c>
      <c r="J57" s="19">
        <f t="shared" si="6"/>
        <v>0</v>
      </c>
      <c r="L57" s="17">
        <f>Test!B367</f>
        <v>0</v>
      </c>
      <c r="M57" s="18">
        <f>Test!C367</f>
        <v>0</v>
      </c>
      <c r="N57" s="18">
        <f>Test!D367</f>
        <v>0</v>
      </c>
      <c r="O57" s="18">
        <f>Test!E367</f>
        <v>0</v>
      </c>
      <c r="P57" s="18">
        <f>Test!F367</f>
        <v>0</v>
      </c>
      <c r="Q57" s="18">
        <f>Test!G367</f>
        <v>0</v>
      </c>
      <c r="R57" s="19">
        <f t="shared" si="1"/>
        <v>0</v>
      </c>
      <c r="S57" s="18" t="e">
        <f t="shared" si="7"/>
        <v>#DIV/0!</v>
      </c>
      <c r="T57" s="18" t="e">
        <f t="shared" si="7"/>
        <v>#DIV/0!</v>
      </c>
      <c r="U57" s="60"/>
      <c r="V57" s="43"/>
      <c r="W57" s="26"/>
      <c r="X57" s="26"/>
      <c r="Y57" s="43"/>
      <c r="Z57" s="26"/>
      <c r="AA57" s="55"/>
      <c r="AB57" s="20"/>
      <c r="AC57" s="17">
        <f>BMS!B367</f>
        <v>0</v>
      </c>
      <c r="AD57" s="18">
        <f>BMS!C367</f>
        <v>0</v>
      </c>
      <c r="AE57" s="18">
        <f>BMS!D367</f>
        <v>0</v>
      </c>
      <c r="AF57" s="18">
        <f>BMS!E367</f>
        <v>0</v>
      </c>
      <c r="AG57" s="18">
        <f>BMS!F367</f>
        <v>0</v>
      </c>
      <c r="AH57" s="18">
        <f>BMS!G367</f>
        <v>0</v>
      </c>
      <c r="AI57" s="19">
        <f t="shared" si="3"/>
        <v>0</v>
      </c>
      <c r="AJ57" s="18" t="e">
        <f t="shared" si="4"/>
        <v>#DIV/0!</v>
      </c>
      <c r="AK57" s="18" t="e">
        <f t="shared" si="5"/>
        <v>#DIV/0!</v>
      </c>
      <c r="AL57" s="20"/>
      <c r="AM57" s="43"/>
      <c r="AN57" s="26"/>
      <c r="AO57" s="55"/>
      <c r="AP57" s="43"/>
      <c r="AQ57" s="26"/>
      <c r="AR57" s="55"/>
    </row>
    <row r="58" spans="1:44" ht="12.75" thickBot="1" x14ac:dyDescent="0.25">
      <c r="A58" s="16"/>
      <c r="B58" s="21"/>
      <c r="C58" s="21">
        <v>37</v>
      </c>
      <c r="D58" s="22">
        <f>TM!B368</f>
        <v>0</v>
      </c>
      <c r="E58" s="23">
        <f>TM!C368</f>
        <v>0</v>
      </c>
      <c r="F58" s="23">
        <f>TM!D368</f>
        <v>0</v>
      </c>
      <c r="G58" s="23">
        <f>TM!E368</f>
        <v>0</v>
      </c>
      <c r="H58" s="23">
        <f>TM!F368</f>
        <v>0</v>
      </c>
      <c r="I58" s="23">
        <f>TM!G368</f>
        <v>0</v>
      </c>
      <c r="J58" s="24">
        <f t="shared" si="6"/>
        <v>0</v>
      </c>
      <c r="L58" s="22">
        <f>Test!B368</f>
        <v>0</v>
      </c>
      <c r="M58" s="23">
        <f>Test!C368</f>
        <v>0</v>
      </c>
      <c r="N58" s="23">
        <f>Test!D368</f>
        <v>0</v>
      </c>
      <c r="O58" s="23">
        <f>Test!E368</f>
        <v>0</v>
      </c>
      <c r="P58" s="23">
        <f>Test!F368</f>
        <v>0</v>
      </c>
      <c r="Q58" s="23">
        <f>Test!G368</f>
        <v>0</v>
      </c>
      <c r="R58" s="24">
        <f t="shared" si="1"/>
        <v>0</v>
      </c>
      <c r="S58" s="18" t="e">
        <f t="shared" si="7"/>
        <v>#DIV/0!</v>
      </c>
      <c r="T58" s="18" t="e">
        <f t="shared" si="7"/>
        <v>#DIV/0!</v>
      </c>
      <c r="U58" s="60"/>
      <c r="V58" s="44"/>
      <c r="W58" s="56"/>
      <c r="X58" s="56"/>
      <c r="Y58" s="44"/>
      <c r="Z58" s="56"/>
      <c r="AA58" s="57"/>
      <c r="AB58" s="20"/>
      <c r="AC58" s="22">
        <f>BMS!B368</f>
        <v>0</v>
      </c>
      <c r="AD58" s="23">
        <f>BMS!C368</f>
        <v>0</v>
      </c>
      <c r="AE58" s="23">
        <f>BMS!D368</f>
        <v>0</v>
      </c>
      <c r="AF58" s="23">
        <f>BMS!E368</f>
        <v>0</v>
      </c>
      <c r="AG58" s="23">
        <f>BMS!F368</f>
        <v>0</v>
      </c>
      <c r="AH58" s="23">
        <f>BMS!G368</f>
        <v>0</v>
      </c>
      <c r="AI58" s="24">
        <f t="shared" si="3"/>
        <v>0</v>
      </c>
      <c r="AJ58" s="18" t="e">
        <f t="shared" si="4"/>
        <v>#DIV/0!</v>
      </c>
      <c r="AK58" s="18" t="e">
        <f t="shared" si="5"/>
        <v>#DIV/0!</v>
      </c>
      <c r="AL58" s="20"/>
      <c r="AM58" s="44"/>
      <c r="AN58" s="56"/>
      <c r="AO58" s="57"/>
      <c r="AP58" s="44"/>
      <c r="AQ58" s="56"/>
      <c r="AR58" s="57"/>
    </row>
    <row r="59" spans="1:44" x14ac:dyDescent="0.2">
      <c r="A59" s="16"/>
      <c r="B59" s="11" t="s">
        <v>57</v>
      </c>
      <c r="C59" s="11">
        <v>22</v>
      </c>
      <c r="D59" s="12">
        <f>TM!B369</f>
        <v>0</v>
      </c>
      <c r="E59" s="13">
        <f>TM!C369</f>
        <v>0</v>
      </c>
      <c r="F59" s="13">
        <f>TM!D369</f>
        <v>0</v>
      </c>
      <c r="G59" s="13">
        <f>TM!E369</f>
        <v>0</v>
      </c>
      <c r="H59" s="13">
        <f>TM!F369</f>
        <v>0</v>
      </c>
      <c r="I59" s="13">
        <f>TM!G369</f>
        <v>0</v>
      </c>
      <c r="J59" s="14">
        <f t="shared" si="6"/>
        <v>0</v>
      </c>
      <c r="L59" s="12">
        <f>Test!B369</f>
        <v>0</v>
      </c>
      <c r="M59" s="13">
        <f>Test!C369</f>
        <v>0</v>
      </c>
      <c r="N59" s="13">
        <f>Test!D369</f>
        <v>0</v>
      </c>
      <c r="O59" s="13">
        <f>Test!E369</f>
        <v>0</v>
      </c>
      <c r="P59" s="13">
        <f>Test!F369</f>
        <v>0</v>
      </c>
      <c r="Q59" s="13">
        <f>Test!G369</f>
        <v>0</v>
      </c>
      <c r="R59" s="14">
        <f t="shared" si="1"/>
        <v>0</v>
      </c>
      <c r="S59" s="18" t="e">
        <f t="shared" si="7"/>
        <v>#DIV/0!</v>
      </c>
      <c r="T59" s="18" t="e">
        <f t="shared" si="7"/>
        <v>#DIV/0!</v>
      </c>
      <c r="U59" s="60"/>
      <c r="V59" s="42" t="e">
        <f>bdrate($D59:$D62,E59:E62,$L59:$L62,M59:M62)</f>
        <v>#VALUE!</v>
      </c>
      <c r="W59" s="47" t="e">
        <f>bdrate($D59:$D62,F59:F62,$L59:$L62,N59:N62)</f>
        <v>#VALUE!</v>
      </c>
      <c r="X59" s="47" t="e">
        <f>bdrate($D59:$D62,G59:G62,$L59:$L62,O59:O62)</f>
        <v>#VALUE!</v>
      </c>
      <c r="Y59" s="45" t="e">
        <f>bdrateOld($D59:$D62,E59:E62,$L59:$L62,M59:M62)</f>
        <v>#VALUE!</v>
      </c>
      <c r="Z59" s="49" t="e">
        <f>bdrateOld($D59:$D62,F59:F62,$L59:$L62,N59:N62)</f>
        <v>#VALUE!</v>
      </c>
      <c r="AA59" s="50" t="e">
        <f>bdrateOld($D59:$D62,G59:G62,$L59:$L62,O59:O62)</f>
        <v>#VALUE!</v>
      </c>
      <c r="AB59" s="20"/>
      <c r="AC59" s="12">
        <f>BMS!B369</f>
        <v>0</v>
      </c>
      <c r="AD59" s="13">
        <f>BMS!C369</f>
        <v>0</v>
      </c>
      <c r="AE59" s="13">
        <f>BMS!D369</f>
        <v>0</v>
      </c>
      <c r="AF59" s="13">
        <f>BMS!E369</f>
        <v>0</v>
      </c>
      <c r="AG59" s="13">
        <f>BMS!F369</f>
        <v>0</v>
      </c>
      <c r="AH59" s="13">
        <f>BMS!G369</f>
        <v>0</v>
      </c>
      <c r="AI59" s="14">
        <f t="shared" si="3"/>
        <v>0</v>
      </c>
      <c r="AJ59" s="18" t="e">
        <f t="shared" si="4"/>
        <v>#DIV/0!</v>
      </c>
      <c r="AK59" s="18" t="e">
        <f t="shared" si="5"/>
        <v>#DIV/0!</v>
      </c>
      <c r="AL59" s="20"/>
      <c r="AM59" s="42" t="e">
        <f>bdrate($AC59:$AC62,AD59:AD62,$L59:$L62, M59:M62)</f>
        <v>#VALUE!</v>
      </c>
      <c r="AN59" s="47" t="e">
        <f>bdrate($AC59:$AC62,AE59:AE62,$L59:$L62, N59:N62)</f>
        <v>#VALUE!</v>
      </c>
      <c r="AO59" s="48" t="e">
        <f>bdrate($AC59:$AC62,AF59:AF62,$L59:$L62, O59:O62)</f>
        <v>#VALUE!</v>
      </c>
      <c r="AP59" s="42" t="e">
        <f>bdrateOld($AC59:$AC62,AD59:AD62,$L59:$L62, M59:M62)</f>
        <v>#VALUE!</v>
      </c>
      <c r="AQ59" s="47" t="e">
        <f>bdrateOld($AC59:$AC62,AE59:AE62,$L59:$L62, N59:N62)</f>
        <v>#VALUE!</v>
      </c>
      <c r="AR59" s="48" t="e">
        <f>bdrateOld($AC59:$AC62,AF59:AF62,$L59:$L62, O59:O62)</f>
        <v>#VALUE!</v>
      </c>
    </row>
    <row r="60" spans="1:44" x14ac:dyDescent="0.2">
      <c r="A60" s="16"/>
      <c r="B60" s="16"/>
      <c r="C60" s="16">
        <v>27</v>
      </c>
      <c r="D60" s="17">
        <f>TM!B370</f>
        <v>0</v>
      </c>
      <c r="E60" s="18">
        <f>TM!C370</f>
        <v>0</v>
      </c>
      <c r="F60" s="18">
        <f>TM!D370</f>
        <v>0</v>
      </c>
      <c r="G60" s="18">
        <f>TM!E370</f>
        <v>0</v>
      </c>
      <c r="H60" s="18">
        <f>TM!F370</f>
        <v>0</v>
      </c>
      <c r="I60" s="18">
        <f>TM!G370</f>
        <v>0</v>
      </c>
      <c r="J60" s="19">
        <f t="shared" si="6"/>
        <v>0</v>
      </c>
      <c r="L60" s="17">
        <f>Test!B370</f>
        <v>0</v>
      </c>
      <c r="M60" s="18">
        <f>Test!C370</f>
        <v>0</v>
      </c>
      <c r="N60" s="18">
        <f>Test!D370</f>
        <v>0</v>
      </c>
      <c r="O60" s="18">
        <f>Test!E370</f>
        <v>0</v>
      </c>
      <c r="P60" s="18">
        <f>Test!F370</f>
        <v>0</v>
      </c>
      <c r="Q60" s="18">
        <f>Test!G370</f>
        <v>0</v>
      </c>
      <c r="R60" s="19">
        <f t="shared" si="1"/>
        <v>0</v>
      </c>
      <c r="S60" s="18" t="e">
        <f t="shared" si="7"/>
        <v>#DIV/0!</v>
      </c>
      <c r="T60" s="18" t="e">
        <f t="shared" si="7"/>
        <v>#DIV/0!</v>
      </c>
      <c r="U60" s="60"/>
      <c r="V60" s="43"/>
      <c r="W60" s="26"/>
      <c r="X60" s="26"/>
      <c r="Y60" s="43"/>
      <c r="Z60" s="26"/>
      <c r="AA60" s="55"/>
      <c r="AB60" s="20"/>
      <c r="AC60" s="17">
        <f>BMS!B370</f>
        <v>0</v>
      </c>
      <c r="AD60" s="18">
        <f>BMS!C370</f>
        <v>0</v>
      </c>
      <c r="AE60" s="18">
        <f>BMS!D370</f>
        <v>0</v>
      </c>
      <c r="AF60" s="18">
        <f>BMS!E370</f>
        <v>0</v>
      </c>
      <c r="AG60" s="18">
        <f>BMS!F370</f>
        <v>0</v>
      </c>
      <c r="AH60" s="18">
        <f>BMS!G370</f>
        <v>0</v>
      </c>
      <c r="AI60" s="19">
        <f t="shared" si="3"/>
        <v>0</v>
      </c>
      <c r="AJ60" s="18" t="e">
        <f t="shared" si="4"/>
        <v>#DIV/0!</v>
      </c>
      <c r="AK60" s="18" t="e">
        <f t="shared" si="5"/>
        <v>#DIV/0!</v>
      </c>
      <c r="AL60" s="20"/>
      <c r="AM60" s="43"/>
      <c r="AN60" s="26"/>
      <c r="AO60" s="55"/>
      <c r="AP60" s="43"/>
      <c r="AQ60" s="26"/>
      <c r="AR60" s="55"/>
    </row>
    <row r="61" spans="1:44" x14ac:dyDescent="0.2">
      <c r="A61" s="16"/>
      <c r="B61" s="16"/>
      <c r="C61" s="16">
        <v>32</v>
      </c>
      <c r="D61" s="17">
        <f>TM!B371</f>
        <v>0</v>
      </c>
      <c r="E61" s="18">
        <f>TM!C371</f>
        <v>0</v>
      </c>
      <c r="F61" s="18">
        <f>TM!D371</f>
        <v>0</v>
      </c>
      <c r="G61" s="18">
        <f>TM!E371</f>
        <v>0</v>
      </c>
      <c r="H61" s="18">
        <f>TM!F371</f>
        <v>0</v>
      </c>
      <c r="I61" s="18">
        <f>TM!G371</f>
        <v>0</v>
      </c>
      <c r="J61" s="19">
        <f t="shared" si="6"/>
        <v>0</v>
      </c>
      <c r="L61" s="17">
        <f>Test!B371</f>
        <v>0</v>
      </c>
      <c r="M61" s="18">
        <f>Test!C371</f>
        <v>0</v>
      </c>
      <c r="N61" s="18">
        <f>Test!D371</f>
        <v>0</v>
      </c>
      <c r="O61" s="18">
        <f>Test!E371</f>
        <v>0</v>
      </c>
      <c r="P61" s="18">
        <f>Test!F371</f>
        <v>0</v>
      </c>
      <c r="Q61" s="18">
        <f>Test!G371</f>
        <v>0</v>
      </c>
      <c r="R61" s="19">
        <f t="shared" si="1"/>
        <v>0</v>
      </c>
      <c r="S61" s="18" t="e">
        <f t="shared" si="7"/>
        <v>#DIV/0!</v>
      </c>
      <c r="T61" s="18" t="e">
        <f t="shared" si="7"/>
        <v>#DIV/0!</v>
      </c>
      <c r="U61" s="60"/>
      <c r="V61" s="43"/>
      <c r="W61" s="26"/>
      <c r="X61" s="26"/>
      <c r="Y61" s="43"/>
      <c r="Z61" s="26"/>
      <c r="AA61" s="55"/>
      <c r="AB61" s="20"/>
      <c r="AC61" s="17">
        <f>BMS!B371</f>
        <v>0</v>
      </c>
      <c r="AD61" s="18">
        <f>BMS!C371</f>
        <v>0</v>
      </c>
      <c r="AE61" s="18">
        <f>BMS!D371</f>
        <v>0</v>
      </c>
      <c r="AF61" s="18">
        <f>BMS!E371</f>
        <v>0</v>
      </c>
      <c r="AG61" s="18">
        <f>BMS!F371</f>
        <v>0</v>
      </c>
      <c r="AH61" s="18">
        <f>BMS!G371</f>
        <v>0</v>
      </c>
      <c r="AI61" s="19">
        <f t="shared" si="3"/>
        <v>0</v>
      </c>
      <c r="AJ61" s="18" t="e">
        <f t="shared" si="4"/>
        <v>#DIV/0!</v>
      </c>
      <c r="AK61" s="18" t="e">
        <f t="shared" si="5"/>
        <v>#DIV/0!</v>
      </c>
      <c r="AL61" s="20"/>
      <c r="AM61" s="43"/>
      <c r="AN61" s="26"/>
      <c r="AO61" s="55"/>
      <c r="AP61" s="43"/>
      <c r="AQ61" s="26"/>
      <c r="AR61" s="55"/>
    </row>
    <row r="62" spans="1:44" ht="12.75" thickBot="1" x14ac:dyDescent="0.25">
      <c r="A62" s="21"/>
      <c r="B62" s="21"/>
      <c r="C62" s="21">
        <v>37</v>
      </c>
      <c r="D62" s="22">
        <f>TM!B372</f>
        <v>0</v>
      </c>
      <c r="E62" s="23">
        <f>TM!C372</f>
        <v>0</v>
      </c>
      <c r="F62" s="23">
        <f>TM!D372</f>
        <v>0</v>
      </c>
      <c r="G62" s="23">
        <f>TM!E372</f>
        <v>0</v>
      </c>
      <c r="H62" s="23">
        <f>TM!F372</f>
        <v>0</v>
      </c>
      <c r="I62" s="23">
        <f>TM!G372</f>
        <v>0</v>
      </c>
      <c r="J62" s="24">
        <f t="shared" si="6"/>
        <v>0</v>
      </c>
      <c r="L62" s="22">
        <f>Test!B372</f>
        <v>0</v>
      </c>
      <c r="M62" s="23">
        <f>Test!C372</f>
        <v>0</v>
      </c>
      <c r="N62" s="23">
        <f>Test!D372</f>
        <v>0</v>
      </c>
      <c r="O62" s="23">
        <f>Test!E372</f>
        <v>0</v>
      </c>
      <c r="P62" s="23">
        <f>Test!F372</f>
        <v>0</v>
      </c>
      <c r="Q62" s="23">
        <f>Test!G372</f>
        <v>0</v>
      </c>
      <c r="R62" s="24">
        <f t="shared" si="1"/>
        <v>0</v>
      </c>
      <c r="S62" s="23" t="e">
        <f t="shared" si="7"/>
        <v>#DIV/0!</v>
      </c>
      <c r="T62" s="23" t="e">
        <f t="shared" si="7"/>
        <v>#DIV/0!</v>
      </c>
      <c r="U62" s="61"/>
      <c r="V62" s="44"/>
      <c r="W62" s="56"/>
      <c r="X62" s="56"/>
      <c r="Y62" s="44"/>
      <c r="Z62" s="56"/>
      <c r="AA62" s="57"/>
      <c r="AB62" s="25"/>
      <c r="AC62" s="22">
        <f>BMS!B372</f>
        <v>0</v>
      </c>
      <c r="AD62" s="23">
        <f>BMS!C372</f>
        <v>0</v>
      </c>
      <c r="AE62" s="23">
        <f>BMS!D372</f>
        <v>0</v>
      </c>
      <c r="AF62" s="23">
        <f>BMS!E372</f>
        <v>0</v>
      </c>
      <c r="AG62" s="23">
        <f>BMS!F372</f>
        <v>0</v>
      </c>
      <c r="AH62" s="23">
        <f>BMS!G372</f>
        <v>0</v>
      </c>
      <c r="AI62" s="24">
        <f t="shared" si="3"/>
        <v>0</v>
      </c>
      <c r="AJ62" s="23" t="e">
        <f t="shared" si="4"/>
        <v>#DIV/0!</v>
      </c>
      <c r="AK62" s="23" t="e">
        <f t="shared" si="5"/>
        <v>#DIV/0!</v>
      </c>
      <c r="AL62" s="25"/>
      <c r="AM62" s="44"/>
      <c r="AN62" s="56"/>
      <c r="AO62" s="57"/>
      <c r="AP62" s="44"/>
      <c r="AQ62" s="56"/>
      <c r="AR62" s="57"/>
    </row>
    <row r="63" spans="1:44" x14ac:dyDescent="0.2">
      <c r="A63" s="11" t="s">
        <v>6</v>
      </c>
      <c r="B63" s="11" t="s">
        <v>58</v>
      </c>
      <c r="C63" s="11">
        <f>C59</f>
        <v>22</v>
      </c>
      <c r="D63" s="12">
        <f>TM!B373</f>
        <v>0</v>
      </c>
      <c r="E63" s="13">
        <f>TM!C373</f>
        <v>0</v>
      </c>
      <c r="F63" s="13">
        <f>TM!D373</f>
        <v>0</v>
      </c>
      <c r="G63" s="13">
        <f>TM!E373</f>
        <v>0</v>
      </c>
      <c r="H63" s="13">
        <f>TM!F373</f>
        <v>0</v>
      </c>
      <c r="I63" s="13">
        <f>TM!G373</f>
        <v>0</v>
      </c>
      <c r="J63" s="14">
        <f t="shared" si="6"/>
        <v>0</v>
      </c>
      <c r="L63" s="12">
        <f>Test!B373</f>
        <v>0</v>
      </c>
      <c r="M63" s="13">
        <f>Test!C373</f>
        <v>0</v>
      </c>
      <c r="N63" s="13">
        <f>Test!D373</f>
        <v>0</v>
      </c>
      <c r="O63" s="13">
        <f>Test!E373</f>
        <v>0</v>
      </c>
      <c r="P63" s="13">
        <f>Test!F373</f>
        <v>0</v>
      </c>
      <c r="Q63" s="13">
        <f>Test!G373</f>
        <v>0</v>
      </c>
      <c r="R63" s="14">
        <f t="shared" si="1"/>
        <v>0</v>
      </c>
      <c r="S63" s="13" t="e">
        <f>P63/H63</f>
        <v>#DIV/0!</v>
      </c>
      <c r="T63" s="13" t="e">
        <f t="shared" si="7"/>
        <v>#DIV/0!</v>
      </c>
      <c r="U63" s="59"/>
      <c r="V63" s="42" t="e">
        <f>bdrate($D63:$D66,E63:E66,$L63:$L66,M63:M66)</f>
        <v>#VALUE!</v>
      </c>
      <c r="W63" s="47" t="e">
        <f>bdrate($D63:$D66,F63:F66,$L63:$L66,N63:N66)</f>
        <v>#VALUE!</v>
      </c>
      <c r="X63" s="48" t="e">
        <f>bdrate($D63:$D66,G63:G66,$L63:$L66,O63:O66)</f>
        <v>#VALUE!</v>
      </c>
      <c r="Y63" s="42" t="e">
        <f>bdrateOld($D63:$D66,E63:E66,$L63:$L66,M63:M66)</f>
        <v>#VALUE!</v>
      </c>
      <c r="Z63" s="47" t="e">
        <f>bdrateOld($D63:$D66,F63:F66,$L63:$L66,N63:N66)</f>
        <v>#VALUE!</v>
      </c>
      <c r="AA63" s="48" t="e">
        <f>bdrateOld($D63:$D66,G63:G66,$L63:$L66,O63:O66)</f>
        <v>#VALUE!</v>
      </c>
      <c r="AB63" s="54"/>
      <c r="AC63" s="12">
        <f>BMS!B373</f>
        <v>0</v>
      </c>
      <c r="AD63" s="13">
        <f>BMS!C373</f>
        <v>0</v>
      </c>
      <c r="AE63" s="13">
        <f>BMS!D373</f>
        <v>0</v>
      </c>
      <c r="AF63" s="13">
        <f>BMS!E373</f>
        <v>0</v>
      </c>
      <c r="AG63" s="13">
        <f>BMS!F373</f>
        <v>0</v>
      </c>
      <c r="AH63" s="13">
        <f>BMS!G373</f>
        <v>0</v>
      </c>
      <c r="AI63" s="14">
        <f t="shared" si="3"/>
        <v>0</v>
      </c>
      <c r="AJ63" s="13" t="e">
        <f t="shared" si="4"/>
        <v>#DIV/0!</v>
      </c>
      <c r="AK63" s="13" t="e">
        <f t="shared" si="5"/>
        <v>#DIV/0!</v>
      </c>
      <c r="AL63" s="54"/>
      <c r="AM63" s="42" t="e">
        <f>bdrate($AC63:$AC66,AD63:AD66,$L63:$L66, M63:M66)</f>
        <v>#VALUE!</v>
      </c>
      <c r="AN63" s="47" t="e">
        <f>bdrate($AC63:$AC66,AE63:AE66,$L63:$L66, N63:N66)</f>
        <v>#VALUE!</v>
      </c>
      <c r="AO63" s="48" t="e">
        <f>bdrate($AC63:$AC66,AF63:AF66,$L63:$L66, O63:O66)</f>
        <v>#VALUE!</v>
      </c>
      <c r="AP63" s="42" t="e">
        <f>bdrateOld($AC63:$AC66,AD63:AD66,$L63:$L66, M63:M66)</f>
        <v>#VALUE!</v>
      </c>
      <c r="AQ63" s="47" t="e">
        <f>bdrateOld($AC63:$AC66,AE63:AE66,$L63:$L66, N63:N66)</f>
        <v>#VALUE!</v>
      </c>
      <c r="AR63" s="48" t="e">
        <f>bdrateOld($AC63:$AC66,AF63:AF66,$L63:$L66, O63:O66)</f>
        <v>#VALUE!</v>
      </c>
    </row>
    <row r="64" spans="1:44" x14ac:dyDescent="0.2">
      <c r="A64" s="16" t="s">
        <v>51</v>
      </c>
      <c r="B64" s="16"/>
      <c r="C64" s="16">
        <f>C60</f>
        <v>27</v>
      </c>
      <c r="D64" s="17">
        <f>TM!B374</f>
        <v>0</v>
      </c>
      <c r="E64" s="18">
        <f>TM!C374</f>
        <v>0</v>
      </c>
      <c r="F64" s="18">
        <f>TM!D374</f>
        <v>0</v>
      </c>
      <c r="G64" s="18">
        <f>TM!E374</f>
        <v>0</v>
      </c>
      <c r="H64" s="18">
        <f>TM!F374</f>
        <v>0</v>
      </c>
      <c r="I64" s="18">
        <f>TM!G374</f>
        <v>0</v>
      </c>
      <c r="J64" s="19">
        <f t="shared" si="6"/>
        <v>0</v>
      </c>
      <c r="L64" s="17">
        <f>Test!B374</f>
        <v>0</v>
      </c>
      <c r="M64" s="18">
        <f>Test!C374</f>
        <v>0</v>
      </c>
      <c r="N64" s="18">
        <f>Test!D374</f>
        <v>0</v>
      </c>
      <c r="O64" s="18">
        <f>Test!E374</f>
        <v>0</v>
      </c>
      <c r="P64" s="18">
        <f>Test!F374</f>
        <v>0</v>
      </c>
      <c r="Q64" s="18">
        <f>Test!G374</f>
        <v>0</v>
      </c>
      <c r="R64" s="19">
        <f t="shared" si="1"/>
        <v>0</v>
      </c>
      <c r="S64" s="18" t="e">
        <f>P64/H64</f>
        <v>#DIV/0!</v>
      </c>
      <c r="T64" s="18" t="e">
        <f t="shared" si="7"/>
        <v>#DIV/0!</v>
      </c>
      <c r="U64" s="60"/>
      <c r="V64" s="43"/>
      <c r="W64" s="26"/>
      <c r="X64" s="55"/>
      <c r="Y64" s="43"/>
      <c r="Z64" s="26"/>
      <c r="AA64" s="55"/>
      <c r="AB64" s="20"/>
      <c r="AC64" s="17">
        <f>BMS!B374</f>
        <v>0</v>
      </c>
      <c r="AD64" s="18">
        <f>BMS!C374</f>
        <v>0</v>
      </c>
      <c r="AE64" s="18">
        <f>BMS!D374</f>
        <v>0</v>
      </c>
      <c r="AF64" s="18">
        <f>BMS!E374</f>
        <v>0</v>
      </c>
      <c r="AG64" s="18">
        <f>BMS!F374</f>
        <v>0</v>
      </c>
      <c r="AH64" s="18">
        <f>BMS!G374</f>
        <v>0</v>
      </c>
      <c r="AI64" s="19">
        <f t="shared" si="3"/>
        <v>0</v>
      </c>
      <c r="AJ64" s="18" t="e">
        <f t="shared" si="4"/>
        <v>#DIV/0!</v>
      </c>
      <c r="AK64" s="18" t="e">
        <f t="shared" si="5"/>
        <v>#DIV/0!</v>
      </c>
      <c r="AL64" s="20"/>
      <c r="AM64" s="43"/>
      <c r="AN64" s="26"/>
      <c r="AO64" s="55"/>
      <c r="AP64" s="43"/>
      <c r="AQ64" s="26"/>
      <c r="AR64" s="55"/>
    </row>
    <row r="65" spans="1:44" x14ac:dyDescent="0.2">
      <c r="A65" s="16"/>
      <c r="B65" s="16"/>
      <c r="C65" s="16">
        <f>C61</f>
        <v>32</v>
      </c>
      <c r="D65" s="17">
        <f>TM!B375</f>
        <v>0</v>
      </c>
      <c r="E65" s="18">
        <f>TM!C375</f>
        <v>0</v>
      </c>
      <c r="F65" s="18">
        <f>TM!D375</f>
        <v>0</v>
      </c>
      <c r="G65" s="18">
        <f>TM!E375</f>
        <v>0</v>
      </c>
      <c r="H65" s="18">
        <f>TM!F375</f>
        <v>0</v>
      </c>
      <c r="I65" s="18">
        <f>TM!G375</f>
        <v>0</v>
      </c>
      <c r="J65" s="19">
        <f t="shared" si="6"/>
        <v>0</v>
      </c>
      <c r="L65" s="17">
        <f>Test!B375</f>
        <v>0</v>
      </c>
      <c r="M65" s="18">
        <f>Test!C375</f>
        <v>0</v>
      </c>
      <c r="N65" s="18">
        <f>Test!D375</f>
        <v>0</v>
      </c>
      <c r="O65" s="18">
        <f>Test!E375</f>
        <v>0</v>
      </c>
      <c r="P65" s="18">
        <f>Test!F375</f>
        <v>0</v>
      </c>
      <c r="Q65" s="18">
        <f>Test!G375</f>
        <v>0</v>
      </c>
      <c r="R65" s="19">
        <f t="shared" si="1"/>
        <v>0</v>
      </c>
      <c r="S65" s="18" t="e">
        <f>P65/H65</f>
        <v>#DIV/0!</v>
      </c>
      <c r="T65" s="18" t="e">
        <f t="shared" si="7"/>
        <v>#DIV/0!</v>
      </c>
      <c r="U65" s="60"/>
      <c r="V65" s="43"/>
      <c r="W65" s="26"/>
      <c r="X65" s="55"/>
      <c r="Y65" s="43"/>
      <c r="Z65" s="26"/>
      <c r="AA65" s="55"/>
      <c r="AB65" s="20"/>
      <c r="AC65" s="17">
        <f>BMS!B375</f>
        <v>0</v>
      </c>
      <c r="AD65" s="18">
        <f>BMS!C375</f>
        <v>0</v>
      </c>
      <c r="AE65" s="18">
        <f>BMS!D375</f>
        <v>0</v>
      </c>
      <c r="AF65" s="18">
        <f>BMS!E375</f>
        <v>0</v>
      </c>
      <c r="AG65" s="18">
        <f>BMS!F375</f>
        <v>0</v>
      </c>
      <c r="AH65" s="18">
        <f>BMS!G375</f>
        <v>0</v>
      </c>
      <c r="AI65" s="19">
        <f t="shared" si="3"/>
        <v>0</v>
      </c>
      <c r="AJ65" s="18" t="e">
        <f t="shared" si="4"/>
        <v>#DIV/0!</v>
      </c>
      <c r="AK65" s="18" t="e">
        <f t="shared" si="5"/>
        <v>#DIV/0!</v>
      </c>
      <c r="AL65" s="20"/>
      <c r="AM65" s="43"/>
      <c r="AN65" s="26"/>
      <c r="AO65" s="55"/>
      <c r="AP65" s="43"/>
      <c r="AQ65" s="26"/>
      <c r="AR65" s="55"/>
    </row>
    <row r="66" spans="1:44" ht="12.75" thickBot="1" x14ac:dyDescent="0.25">
      <c r="A66" s="16"/>
      <c r="B66" s="21"/>
      <c r="C66" s="21">
        <f>C62</f>
        <v>37</v>
      </c>
      <c r="D66" s="22">
        <f>TM!B376</f>
        <v>0</v>
      </c>
      <c r="E66" s="23">
        <f>TM!C376</f>
        <v>0</v>
      </c>
      <c r="F66" s="23">
        <f>TM!D376</f>
        <v>0</v>
      </c>
      <c r="G66" s="23">
        <f>TM!E376</f>
        <v>0</v>
      </c>
      <c r="H66" s="23">
        <f>TM!F376</f>
        <v>0</v>
      </c>
      <c r="I66" s="23">
        <f>TM!G376</f>
        <v>0</v>
      </c>
      <c r="J66" s="24">
        <f t="shared" si="6"/>
        <v>0</v>
      </c>
      <c r="L66" s="22">
        <f>Test!B376</f>
        <v>0</v>
      </c>
      <c r="M66" s="23">
        <f>Test!C376</f>
        <v>0</v>
      </c>
      <c r="N66" s="23">
        <f>Test!D376</f>
        <v>0</v>
      </c>
      <c r="O66" s="23">
        <f>Test!E376</f>
        <v>0</v>
      </c>
      <c r="P66" s="23">
        <f>Test!F376</f>
        <v>0</v>
      </c>
      <c r="Q66" s="23">
        <f>Test!G376</f>
        <v>0</v>
      </c>
      <c r="R66" s="24">
        <f t="shared" si="1"/>
        <v>0</v>
      </c>
      <c r="S66" s="18" t="e">
        <f>P66/H66</f>
        <v>#DIV/0!</v>
      </c>
      <c r="T66" s="18" t="e">
        <f t="shared" si="7"/>
        <v>#DIV/0!</v>
      </c>
      <c r="U66" s="60"/>
      <c r="V66" s="44"/>
      <c r="W66" s="56"/>
      <c r="X66" s="57"/>
      <c r="Y66" s="44"/>
      <c r="Z66" s="56"/>
      <c r="AA66" s="57"/>
      <c r="AB66" s="20"/>
      <c r="AC66" s="22">
        <f>BMS!B376</f>
        <v>0</v>
      </c>
      <c r="AD66" s="23">
        <f>BMS!C376</f>
        <v>0</v>
      </c>
      <c r="AE66" s="23">
        <f>BMS!D376</f>
        <v>0</v>
      </c>
      <c r="AF66" s="23">
        <f>BMS!E376</f>
        <v>0</v>
      </c>
      <c r="AG66" s="23">
        <f>BMS!F376</f>
        <v>0</v>
      </c>
      <c r="AH66" s="23">
        <f>BMS!G376</f>
        <v>0</v>
      </c>
      <c r="AI66" s="24">
        <f t="shared" si="3"/>
        <v>0</v>
      </c>
      <c r="AJ66" s="18" t="e">
        <f t="shared" si="4"/>
        <v>#DIV/0!</v>
      </c>
      <c r="AK66" s="18" t="e">
        <f t="shared" si="5"/>
        <v>#DIV/0!</v>
      </c>
      <c r="AL66" s="20"/>
      <c r="AM66" s="44"/>
      <c r="AN66" s="56"/>
      <c r="AO66" s="57"/>
      <c r="AP66" s="44"/>
      <c r="AQ66" s="56"/>
      <c r="AR66" s="57"/>
    </row>
    <row r="67" spans="1:44" x14ac:dyDescent="0.2">
      <c r="A67" s="16"/>
      <c r="B67" s="11" t="s">
        <v>59</v>
      </c>
      <c r="C67" s="11">
        <v>22</v>
      </c>
      <c r="D67" s="12">
        <f>TM!B377</f>
        <v>0</v>
      </c>
      <c r="E67" s="13">
        <f>TM!C377</f>
        <v>0</v>
      </c>
      <c r="F67" s="13">
        <f>TM!D377</f>
        <v>0</v>
      </c>
      <c r="G67" s="13">
        <f>TM!E377</f>
        <v>0</v>
      </c>
      <c r="H67" s="13">
        <f>TM!F377</f>
        <v>0</v>
      </c>
      <c r="I67" s="13">
        <f>TM!G377</f>
        <v>0</v>
      </c>
      <c r="J67" s="14">
        <f t="shared" si="6"/>
        <v>0</v>
      </c>
      <c r="L67" s="12">
        <f>Test!B377</f>
        <v>0</v>
      </c>
      <c r="M67" s="13">
        <f>Test!C377</f>
        <v>0</v>
      </c>
      <c r="N67" s="13">
        <f>Test!D377</f>
        <v>0</v>
      </c>
      <c r="O67" s="13">
        <f>Test!E377</f>
        <v>0</v>
      </c>
      <c r="P67" s="13">
        <f>Test!F377</f>
        <v>0</v>
      </c>
      <c r="Q67" s="13">
        <f>Test!G377</f>
        <v>0</v>
      </c>
      <c r="R67" s="14">
        <f t="shared" si="1"/>
        <v>0</v>
      </c>
      <c r="S67" s="18" t="e">
        <f t="shared" si="7"/>
        <v>#DIV/0!</v>
      </c>
      <c r="T67" s="18" t="e">
        <f t="shared" si="7"/>
        <v>#DIV/0!</v>
      </c>
      <c r="U67" s="60"/>
      <c r="V67" s="42" t="e">
        <f>bdrate($D67:$D70,E67:E70,$L67:$L70,M67:M70)</f>
        <v>#VALUE!</v>
      </c>
      <c r="W67" s="47" t="e">
        <f>bdrate($D67:$D70,F67:F70,$L67:$L70,N67:N70)</f>
        <v>#VALUE!</v>
      </c>
      <c r="X67" s="47" t="e">
        <f>bdrate($D67:$D70,G67:G70,$L67:$L70,O67:O70)</f>
        <v>#VALUE!</v>
      </c>
      <c r="Y67" s="45" t="e">
        <f>bdrateOld($D67:$D70,E67:E70,$L67:$L70,M67:M70)</f>
        <v>#VALUE!</v>
      </c>
      <c r="Z67" s="49" t="e">
        <f>bdrateOld($D67:$D70,F67:F70,$L67:$L70,N67:N70)</f>
        <v>#VALUE!</v>
      </c>
      <c r="AA67" s="50" t="e">
        <f>bdrateOld($D67:$D70,G67:G70,$L67:$L70,O67:O70)</f>
        <v>#VALUE!</v>
      </c>
      <c r="AB67" s="20"/>
      <c r="AC67" s="12">
        <f>BMS!B377</f>
        <v>0</v>
      </c>
      <c r="AD67" s="13">
        <f>BMS!C377</f>
        <v>0</v>
      </c>
      <c r="AE67" s="13">
        <f>BMS!D377</f>
        <v>0</v>
      </c>
      <c r="AF67" s="13">
        <f>BMS!E377</f>
        <v>0</v>
      </c>
      <c r="AG67" s="13">
        <f>BMS!F377</f>
        <v>0</v>
      </c>
      <c r="AH67" s="13">
        <f>BMS!G377</f>
        <v>0</v>
      </c>
      <c r="AI67" s="14">
        <f t="shared" si="3"/>
        <v>0</v>
      </c>
      <c r="AJ67" s="18" t="e">
        <f t="shared" si="4"/>
        <v>#DIV/0!</v>
      </c>
      <c r="AK67" s="18" t="e">
        <f t="shared" si="5"/>
        <v>#DIV/0!</v>
      </c>
      <c r="AL67" s="20"/>
      <c r="AM67" s="42" t="e">
        <f>bdrate($AC67:$AC70,AD67:AD70,$L67:$L70, M67:M70)</f>
        <v>#VALUE!</v>
      </c>
      <c r="AN67" s="47" t="e">
        <f>bdrate($AC67:$AC70,AE67:AE70,$L67:$L70, N67:N70)</f>
        <v>#VALUE!</v>
      </c>
      <c r="AO67" s="48" t="e">
        <f>bdrate($AC67:$AC70,AF67:AF70,$L67:$L70, O67:O70)</f>
        <v>#VALUE!</v>
      </c>
      <c r="AP67" s="42" t="e">
        <f>bdrateOld($AC67:$AC70,AD67:AD70,$L67:$L70, M67:M70)</f>
        <v>#VALUE!</v>
      </c>
      <c r="AQ67" s="47" t="e">
        <f>bdrateOld($AC67:$AC70,AE67:AE70,$L67:$L70, N67:N70)</f>
        <v>#VALUE!</v>
      </c>
      <c r="AR67" s="48" t="e">
        <f>bdrateOld($AC67:$AC70,AF67:AF70,$L67:$L70, O67:O70)</f>
        <v>#VALUE!</v>
      </c>
    </row>
    <row r="68" spans="1:44" x14ac:dyDescent="0.2">
      <c r="A68" s="16"/>
      <c r="B68" s="16"/>
      <c r="C68" s="16">
        <v>27</v>
      </c>
      <c r="D68" s="17">
        <f>TM!B378</f>
        <v>0</v>
      </c>
      <c r="E68" s="18">
        <f>TM!C378</f>
        <v>0</v>
      </c>
      <c r="F68" s="18">
        <f>TM!D378</f>
        <v>0</v>
      </c>
      <c r="G68" s="18">
        <f>TM!E378</f>
        <v>0</v>
      </c>
      <c r="H68" s="18">
        <f>TM!F378</f>
        <v>0</v>
      </c>
      <c r="I68" s="18">
        <f>TM!G378</f>
        <v>0</v>
      </c>
      <c r="J68" s="19">
        <f t="shared" si="6"/>
        <v>0</v>
      </c>
      <c r="L68" s="17">
        <f>Test!B378</f>
        <v>0</v>
      </c>
      <c r="M68" s="18">
        <f>Test!C378</f>
        <v>0</v>
      </c>
      <c r="N68" s="18">
        <f>Test!D378</f>
        <v>0</v>
      </c>
      <c r="O68" s="18">
        <f>Test!E378</f>
        <v>0</v>
      </c>
      <c r="P68" s="18">
        <f>Test!F378</f>
        <v>0</v>
      </c>
      <c r="Q68" s="18">
        <f>Test!G378</f>
        <v>0</v>
      </c>
      <c r="R68" s="19">
        <f t="shared" si="1"/>
        <v>0</v>
      </c>
      <c r="S68" s="18" t="e">
        <f t="shared" si="7"/>
        <v>#DIV/0!</v>
      </c>
      <c r="T68" s="18" t="e">
        <f t="shared" si="7"/>
        <v>#DIV/0!</v>
      </c>
      <c r="U68" s="60"/>
      <c r="V68" s="43"/>
      <c r="W68" s="26"/>
      <c r="X68" s="26"/>
      <c r="Y68" s="43"/>
      <c r="Z68" s="26"/>
      <c r="AA68" s="55"/>
      <c r="AB68" s="20"/>
      <c r="AC68" s="17">
        <f>BMS!B378</f>
        <v>0</v>
      </c>
      <c r="AD68" s="18">
        <f>BMS!C378</f>
        <v>0</v>
      </c>
      <c r="AE68" s="18">
        <f>BMS!D378</f>
        <v>0</v>
      </c>
      <c r="AF68" s="18">
        <f>BMS!E378</f>
        <v>0</v>
      </c>
      <c r="AG68" s="18">
        <f>BMS!F378</f>
        <v>0</v>
      </c>
      <c r="AH68" s="18">
        <f>BMS!G378</f>
        <v>0</v>
      </c>
      <c r="AI68" s="19">
        <f t="shared" si="3"/>
        <v>0</v>
      </c>
      <c r="AJ68" s="18" t="e">
        <f t="shared" si="4"/>
        <v>#DIV/0!</v>
      </c>
      <c r="AK68" s="18" t="e">
        <f t="shared" si="5"/>
        <v>#DIV/0!</v>
      </c>
      <c r="AL68" s="20"/>
      <c r="AM68" s="43"/>
      <c r="AN68" s="26"/>
      <c r="AO68" s="55"/>
      <c r="AP68" s="43"/>
      <c r="AQ68" s="26"/>
      <c r="AR68" s="55"/>
    </row>
    <row r="69" spans="1:44" x14ac:dyDescent="0.2">
      <c r="A69" s="16"/>
      <c r="B69" s="16"/>
      <c r="C69" s="16">
        <v>32</v>
      </c>
      <c r="D69" s="17">
        <f>TM!B379</f>
        <v>0</v>
      </c>
      <c r="E69" s="18">
        <f>TM!C379</f>
        <v>0</v>
      </c>
      <c r="F69" s="18">
        <f>TM!D379</f>
        <v>0</v>
      </c>
      <c r="G69" s="18">
        <f>TM!E379</f>
        <v>0</v>
      </c>
      <c r="H69" s="18">
        <f>TM!F379</f>
        <v>0</v>
      </c>
      <c r="I69" s="18">
        <f>TM!G379</f>
        <v>0</v>
      </c>
      <c r="J69" s="19">
        <f t="shared" si="6"/>
        <v>0</v>
      </c>
      <c r="L69" s="17">
        <f>Test!B379</f>
        <v>0</v>
      </c>
      <c r="M69" s="18">
        <f>Test!C379</f>
        <v>0</v>
      </c>
      <c r="N69" s="18">
        <f>Test!D379</f>
        <v>0</v>
      </c>
      <c r="O69" s="18">
        <f>Test!E379</f>
        <v>0</v>
      </c>
      <c r="P69" s="18">
        <f>Test!F379</f>
        <v>0</v>
      </c>
      <c r="Q69" s="18">
        <f>Test!G379</f>
        <v>0</v>
      </c>
      <c r="R69" s="19">
        <f t="shared" si="1"/>
        <v>0</v>
      </c>
      <c r="S69" s="18" t="e">
        <f t="shared" si="7"/>
        <v>#DIV/0!</v>
      </c>
      <c r="T69" s="18" t="e">
        <f t="shared" si="7"/>
        <v>#DIV/0!</v>
      </c>
      <c r="U69" s="60"/>
      <c r="V69" s="43"/>
      <c r="W69" s="26"/>
      <c r="X69" s="26"/>
      <c r="Y69" s="43"/>
      <c r="Z69" s="26"/>
      <c r="AA69" s="55"/>
      <c r="AB69" s="20"/>
      <c r="AC69" s="17">
        <f>BMS!B379</f>
        <v>0</v>
      </c>
      <c r="AD69" s="18">
        <f>BMS!C379</f>
        <v>0</v>
      </c>
      <c r="AE69" s="18">
        <f>BMS!D379</f>
        <v>0</v>
      </c>
      <c r="AF69" s="18">
        <f>BMS!E379</f>
        <v>0</v>
      </c>
      <c r="AG69" s="18">
        <f>BMS!F379</f>
        <v>0</v>
      </c>
      <c r="AH69" s="18">
        <f>BMS!G379</f>
        <v>0</v>
      </c>
      <c r="AI69" s="19">
        <f t="shared" si="3"/>
        <v>0</v>
      </c>
      <c r="AJ69" s="18" t="e">
        <f t="shared" si="4"/>
        <v>#DIV/0!</v>
      </c>
      <c r="AK69" s="18" t="e">
        <f t="shared" si="5"/>
        <v>#DIV/0!</v>
      </c>
      <c r="AL69" s="20"/>
      <c r="AM69" s="43"/>
      <c r="AN69" s="26"/>
      <c r="AO69" s="55"/>
      <c r="AP69" s="43"/>
      <c r="AQ69" s="26"/>
      <c r="AR69" s="55"/>
    </row>
    <row r="70" spans="1:44" ht="12.75" thickBot="1" x14ac:dyDescent="0.25">
      <c r="A70" s="16"/>
      <c r="B70" s="21"/>
      <c r="C70" s="21">
        <v>37</v>
      </c>
      <c r="D70" s="22">
        <f>TM!B380</f>
        <v>0</v>
      </c>
      <c r="E70" s="23">
        <f>TM!C380</f>
        <v>0</v>
      </c>
      <c r="F70" s="23">
        <f>TM!D380</f>
        <v>0</v>
      </c>
      <c r="G70" s="23">
        <f>TM!E380</f>
        <v>0</v>
      </c>
      <c r="H70" s="23">
        <f>TM!F380</f>
        <v>0</v>
      </c>
      <c r="I70" s="23">
        <f>TM!G380</f>
        <v>0</v>
      </c>
      <c r="J70" s="24">
        <f t="shared" si="6"/>
        <v>0</v>
      </c>
      <c r="L70" s="22">
        <f>Test!B380</f>
        <v>0</v>
      </c>
      <c r="M70" s="23">
        <f>Test!C380</f>
        <v>0</v>
      </c>
      <c r="N70" s="23">
        <f>Test!D380</f>
        <v>0</v>
      </c>
      <c r="O70" s="23">
        <f>Test!E380</f>
        <v>0</v>
      </c>
      <c r="P70" s="23">
        <f>Test!F380</f>
        <v>0</v>
      </c>
      <c r="Q70" s="23">
        <f>Test!G380</f>
        <v>0</v>
      </c>
      <c r="R70" s="24">
        <f t="shared" si="1"/>
        <v>0</v>
      </c>
      <c r="S70" s="18" t="e">
        <f t="shared" si="7"/>
        <v>#DIV/0!</v>
      </c>
      <c r="T70" s="18" t="e">
        <f t="shared" si="7"/>
        <v>#DIV/0!</v>
      </c>
      <c r="U70" s="60"/>
      <c r="V70" s="44"/>
      <c r="W70" s="56"/>
      <c r="X70" s="56"/>
      <c r="Y70" s="44"/>
      <c r="Z70" s="56"/>
      <c r="AA70" s="57"/>
      <c r="AB70" s="20"/>
      <c r="AC70" s="22">
        <f>BMS!B380</f>
        <v>0</v>
      </c>
      <c r="AD70" s="23">
        <f>BMS!C380</f>
        <v>0</v>
      </c>
      <c r="AE70" s="23">
        <f>BMS!D380</f>
        <v>0</v>
      </c>
      <c r="AF70" s="23">
        <f>BMS!E380</f>
        <v>0</v>
      </c>
      <c r="AG70" s="23">
        <f>BMS!F380</f>
        <v>0</v>
      </c>
      <c r="AH70" s="23">
        <f>BMS!G380</f>
        <v>0</v>
      </c>
      <c r="AI70" s="24">
        <f t="shared" si="3"/>
        <v>0</v>
      </c>
      <c r="AJ70" s="18" t="e">
        <f t="shared" si="4"/>
        <v>#DIV/0!</v>
      </c>
      <c r="AK70" s="18" t="e">
        <f t="shared" si="5"/>
        <v>#DIV/0!</v>
      </c>
      <c r="AL70" s="20"/>
      <c r="AM70" s="44"/>
      <c r="AN70" s="56"/>
      <c r="AO70" s="57"/>
      <c r="AP70" s="44"/>
      <c r="AQ70" s="56"/>
      <c r="AR70" s="57"/>
    </row>
    <row r="71" spans="1:44" x14ac:dyDescent="0.2">
      <c r="A71" s="16"/>
      <c r="B71" s="11" t="s">
        <v>60</v>
      </c>
      <c r="C71" s="11">
        <v>22</v>
      </c>
      <c r="D71" s="12">
        <f>TM!B381</f>
        <v>0</v>
      </c>
      <c r="E71" s="13">
        <f>TM!C381</f>
        <v>0</v>
      </c>
      <c r="F71" s="13">
        <f>TM!D381</f>
        <v>0</v>
      </c>
      <c r="G71" s="13">
        <f>TM!E381</f>
        <v>0</v>
      </c>
      <c r="H71" s="13">
        <f>TM!F381</f>
        <v>0</v>
      </c>
      <c r="I71" s="13">
        <f>TM!G381</f>
        <v>0</v>
      </c>
      <c r="J71" s="14">
        <f t="shared" si="6"/>
        <v>0</v>
      </c>
      <c r="L71" s="12">
        <f>Test!B381</f>
        <v>0</v>
      </c>
      <c r="M71" s="13">
        <f>Test!C381</f>
        <v>0</v>
      </c>
      <c r="N71" s="13">
        <f>Test!D381</f>
        <v>0</v>
      </c>
      <c r="O71" s="13">
        <f>Test!E381</f>
        <v>0</v>
      </c>
      <c r="P71" s="13">
        <f>Test!F381</f>
        <v>0</v>
      </c>
      <c r="Q71" s="13">
        <f>Test!G381</f>
        <v>0</v>
      </c>
      <c r="R71" s="14">
        <f t="shared" si="1"/>
        <v>0</v>
      </c>
      <c r="S71" s="18" t="e">
        <f t="shared" ref="S71:T86" si="8">P71/H71</f>
        <v>#DIV/0!</v>
      </c>
      <c r="T71" s="18" t="e">
        <f t="shared" si="8"/>
        <v>#DIV/0!</v>
      </c>
      <c r="U71" s="60"/>
      <c r="V71" s="42" t="e">
        <f>bdrate($D71:$D74,E71:E74,$L71:$L74,M71:M74)</f>
        <v>#VALUE!</v>
      </c>
      <c r="W71" s="47" t="e">
        <f>bdrate($D71:$D74,F71:F74,$L71:$L74,N71:N74)</f>
        <v>#VALUE!</v>
      </c>
      <c r="X71" s="47" t="e">
        <f>bdrate($D71:$D74,G71:G74,$L71:$L74,O71:O74)</f>
        <v>#VALUE!</v>
      </c>
      <c r="Y71" s="45" t="e">
        <f>bdrateOld($D71:$D74,E71:E74,$L71:$L74,M71:M74)</f>
        <v>#VALUE!</v>
      </c>
      <c r="Z71" s="49" t="e">
        <f>bdrateOld($D71:$D74,F71:F74,$L71:$L74,N71:N74)</f>
        <v>#VALUE!</v>
      </c>
      <c r="AA71" s="50" t="e">
        <f>bdrateOld($D71:$D74,G71:G74,$L71:$L74,O71:O74)</f>
        <v>#VALUE!</v>
      </c>
      <c r="AB71" s="20"/>
      <c r="AC71" s="12">
        <f>BMS!B381</f>
        <v>0</v>
      </c>
      <c r="AD71" s="13">
        <f>BMS!C381</f>
        <v>0</v>
      </c>
      <c r="AE71" s="13">
        <f>BMS!D381</f>
        <v>0</v>
      </c>
      <c r="AF71" s="13">
        <f>BMS!E381</f>
        <v>0</v>
      </c>
      <c r="AG71" s="13">
        <f>BMS!F381</f>
        <v>0</v>
      </c>
      <c r="AH71" s="13">
        <f>BMS!G381</f>
        <v>0</v>
      </c>
      <c r="AI71" s="14">
        <f t="shared" si="3"/>
        <v>0</v>
      </c>
      <c r="AJ71" s="18" t="e">
        <f t="shared" si="4"/>
        <v>#DIV/0!</v>
      </c>
      <c r="AK71" s="18" t="e">
        <f t="shared" si="5"/>
        <v>#DIV/0!</v>
      </c>
      <c r="AL71" s="20"/>
      <c r="AM71" s="42" t="e">
        <f>bdrate($AC71:$AC74,AD71:AD74,$L71:$L74, M71:M74)</f>
        <v>#VALUE!</v>
      </c>
      <c r="AN71" s="47" t="e">
        <f>bdrate($AC71:$AC74,AE71:AE74,$L71:$L74, N71:N74)</f>
        <v>#VALUE!</v>
      </c>
      <c r="AO71" s="48" t="e">
        <f>bdrate($AC71:$AC74,AF71:AF74,$L71:$L74, O71:O74)</f>
        <v>#VALUE!</v>
      </c>
      <c r="AP71" s="42" t="e">
        <f>bdrateOld($AC71:$AC74,AD71:AD74,$L71:$L74, M71:M74)</f>
        <v>#VALUE!</v>
      </c>
      <c r="AQ71" s="47" t="e">
        <f>bdrateOld($AC71:$AC74,AE71:AE74,$L71:$L74, N71:N74)</f>
        <v>#VALUE!</v>
      </c>
      <c r="AR71" s="48" t="e">
        <f>bdrateOld($AC71:$AC74,AF71:AF74,$L71:$L74, O71:O74)</f>
        <v>#VALUE!</v>
      </c>
    </row>
    <row r="72" spans="1:44" x14ac:dyDescent="0.2">
      <c r="A72" s="16"/>
      <c r="B72" s="16"/>
      <c r="C72" s="16">
        <v>27</v>
      </c>
      <c r="D72" s="17">
        <f>TM!B382</f>
        <v>0</v>
      </c>
      <c r="E72" s="18">
        <f>TM!C382</f>
        <v>0</v>
      </c>
      <c r="F72" s="18">
        <f>TM!D382</f>
        <v>0</v>
      </c>
      <c r="G72" s="18">
        <f>TM!E382</f>
        <v>0</v>
      </c>
      <c r="H72" s="18">
        <f>TM!F382</f>
        <v>0</v>
      </c>
      <c r="I72" s="18">
        <f>TM!G382</f>
        <v>0</v>
      </c>
      <c r="J72" s="19">
        <f t="shared" si="6"/>
        <v>0</v>
      </c>
      <c r="L72" s="17">
        <f>Test!B382</f>
        <v>0</v>
      </c>
      <c r="M72" s="18">
        <f>Test!C382</f>
        <v>0</v>
      </c>
      <c r="N72" s="18">
        <f>Test!D382</f>
        <v>0</v>
      </c>
      <c r="O72" s="18">
        <f>Test!E382</f>
        <v>0</v>
      </c>
      <c r="P72" s="18">
        <f>Test!F382</f>
        <v>0</v>
      </c>
      <c r="Q72" s="18">
        <f>Test!G382</f>
        <v>0</v>
      </c>
      <c r="R72" s="19">
        <f t="shared" si="1"/>
        <v>0</v>
      </c>
      <c r="S72" s="18" t="e">
        <f t="shared" si="8"/>
        <v>#DIV/0!</v>
      </c>
      <c r="T72" s="18" t="e">
        <f t="shared" si="8"/>
        <v>#DIV/0!</v>
      </c>
      <c r="U72" s="60"/>
      <c r="V72" s="43"/>
      <c r="W72" s="26"/>
      <c r="X72" s="26"/>
      <c r="Y72" s="43"/>
      <c r="Z72" s="26"/>
      <c r="AA72" s="55"/>
      <c r="AB72" s="20"/>
      <c r="AC72" s="17">
        <f>BMS!B382</f>
        <v>0</v>
      </c>
      <c r="AD72" s="18">
        <f>BMS!C382</f>
        <v>0</v>
      </c>
      <c r="AE72" s="18">
        <f>BMS!D382</f>
        <v>0</v>
      </c>
      <c r="AF72" s="18">
        <f>BMS!E382</f>
        <v>0</v>
      </c>
      <c r="AG72" s="18">
        <f>BMS!F382</f>
        <v>0</v>
      </c>
      <c r="AH72" s="18">
        <f>BMS!G382</f>
        <v>0</v>
      </c>
      <c r="AI72" s="19">
        <f t="shared" si="3"/>
        <v>0</v>
      </c>
      <c r="AJ72" s="18" t="e">
        <f t="shared" si="4"/>
        <v>#DIV/0!</v>
      </c>
      <c r="AK72" s="18" t="e">
        <f t="shared" si="5"/>
        <v>#DIV/0!</v>
      </c>
      <c r="AL72" s="20"/>
      <c r="AM72" s="43"/>
      <c r="AN72" s="26"/>
      <c r="AO72" s="55"/>
      <c r="AP72" s="43"/>
      <c r="AQ72" s="26"/>
      <c r="AR72" s="55"/>
    </row>
    <row r="73" spans="1:44" x14ac:dyDescent="0.2">
      <c r="A73" s="16"/>
      <c r="B73" s="16"/>
      <c r="C73" s="16">
        <v>32</v>
      </c>
      <c r="D73" s="17">
        <f>TM!B383</f>
        <v>0</v>
      </c>
      <c r="E73" s="18">
        <f>TM!C383</f>
        <v>0</v>
      </c>
      <c r="F73" s="18">
        <f>TM!D383</f>
        <v>0</v>
      </c>
      <c r="G73" s="18">
        <f>TM!E383</f>
        <v>0</v>
      </c>
      <c r="H73" s="18">
        <f>TM!F383</f>
        <v>0</v>
      </c>
      <c r="I73" s="18">
        <f>TM!G383</f>
        <v>0</v>
      </c>
      <c r="J73" s="19">
        <f t="shared" si="6"/>
        <v>0</v>
      </c>
      <c r="L73" s="17">
        <f>Test!B383</f>
        <v>0</v>
      </c>
      <c r="M73" s="18">
        <f>Test!C383</f>
        <v>0</v>
      </c>
      <c r="N73" s="18">
        <f>Test!D383</f>
        <v>0</v>
      </c>
      <c r="O73" s="18">
        <f>Test!E383</f>
        <v>0</v>
      </c>
      <c r="P73" s="18">
        <f>Test!F383</f>
        <v>0</v>
      </c>
      <c r="Q73" s="18">
        <f>Test!G383</f>
        <v>0</v>
      </c>
      <c r="R73" s="19">
        <f t="shared" si="1"/>
        <v>0</v>
      </c>
      <c r="S73" s="18" t="e">
        <f t="shared" si="8"/>
        <v>#DIV/0!</v>
      </c>
      <c r="T73" s="18" t="e">
        <f t="shared" si="8"/>
        <v>#DIV/0!</v>
      </c>
      <c r="U73" s="60"/>
      <c r="V73" s="43"/>
      <c r="W73" s="26"/>
      <c r="X73" s="26"/>
      <c r="Y73" s="43"/>
      <c r="Z73" s="26"/>
      <c r="AA73" s="55"/>
      <c r="AB73" s="20"/>
      <c r="AC73" s="17">
        <f>BMS!B383</f>
        <v>0</v>
      </c>
      <c r="AD73" s="18">
        <f>BMS!C383</f>
        <v>0</v>
      </c>
      <c r="AE73" s="18">
        <f>BMS!D383</f>
        <v>0</v>
      </c>
      <c r="AF73" s="18">
        <f>BMS!E383</f>
        <v>0</v>
      </c>
      <c r="AG73" s="18">
        <f>BMS!F383</f>
        <v>0</v>
      </c>
      <c r="AH73" s="18">
        <f>BMS!G383</f>
        <v>0</v>
      </c>
      <c r="AI73" s="19">
        <f t="shared" si="3"/>
        <v>0</v>
      </c>
      <c r="AJ73" s="18" t="e">
        <f t="shared" si="4"/>
        <v>#DIV/0!</v>
      </c>
      <c r="AK73" s="18" t="e">
        <f t="shared" si="5"/>
        <v>#DIV/0!</v>
      </c>
      <c r="AL73" s="20"/>
      <c r="AM73" s="43"/>
      <c r="AN73" s="26"/>
      <c r="AO73" s="55"/>
      <c r="AP73" s="43"/>
      <c r="AQ73" s="26"/>
      <c r="AR73" s="55"/>
    </row>
    <row r="74" spans="1:44" ht="12.75" thickBot="1" x14ac:dyDescent="0.25">
      <c r="A74" s="16"/>
      <c r="B74" s="21"/>
      <c r="C74" s="21">
        <v>37</v>
      </c>
      <c r="D74" s="22">
        <f>TM!B384</f>
        <v>0</v>
      </c>
      <c r="E74" s="23">
        <f>TM!C384</f>
        <v>0</v>
      </c>
      <c r="F74" s="23">
        <f>TM!D384</f>
        <v>0</v>
      </c>
      <c r="G74" s="23">
        <f>TM!E384</f>
        <v>0</v>
      </c>
      <c r="H74" s="23">
        <f>TM!F384</f>
        <v>0</v>
      </c>
      <c r="I74" s="23">
        <f>TM!G384</f>
        <v>0</v>
      </c>
      <c r="J74" s="24">
        <f t="shared" si="6"/>
        <v>0</v>
      </c>
      <c r="L74" s="22">
        <f>Test!B384</f>
        <v>0</v>
      </c>
      <c r="M74" s="23">
        <f>Test!C384</f>
        <v>0</v>
      </c>
      <c r="N74" s="23">
        <f>Test!D384</f>
        <v>0</v>
      </c>
      <c r="O74" s="23">
        <f>Test!E384</f>
        <v>0</v>
      </c>
      <c r="P74" s="23">
        <f>Test!F384</f>
        <v>0</v>
      </c>
      <c r="Q74" s="23">
        <f>Test!G384</f>
        <v>0</v>
      </c>
      <c r="R74" s="24">
        <f t="shared" si="1"/>
        <v>0</v>
      </c>
      <c r="S74" s="18" t="e">
        <f t="shared" si="8"/>
        <v>#DIV/0!</v>
      </c>
      <c r="T74" s="18" t="e">
        <f t="shared" si="8"/>
        <v>#DIV/0!</v>
      </c>
      <c r="U74" s="60"/>
      <c r="V74" s="44"/>
      <c r="W74" s="56"/>
      <c r="X74" s="56"/>
      <c r="Y74" s="44"/>
      <c r="Z74" s="56"/>
      <c r="AA74" s="57"/>
      <c r="AB74" s="20"/>
      <c r="AC74" s="22">
        <f>BMS!B384</f>
        <v>0</v>
      </c>
      <c r="AD74" s="23">
        <f>BMS!C384</f>
        <v>0</v>
      </c>
      <c r="AE74" s="23">
        <f>BMS!D384</f>
        <v>0</v>
      </c>
      <c r="AF74" s="23">
        <f>BMS!E384</f>
        <v>0</v>
      </c>
      <c r="AG74" s="23">
        <f>BMS!F384</f>
        <v>0</v>
      </c>
      <c r="AH74" s="23">
        <f>BMS!G384</f>
        <v>0</v>
      </c>
      <c r="AI74" s="24">
        <f t="shared" si="3"/>
        <v>0</v>
      </c>
      <c r="AJ74" s="18" t="e">
        <f t="shared" si="4"/>
        <v>#DIV/0!</v>
      </c>
      <c r="AK74" s="18" t="e">
        <f t="shared" si="5"/>
        <v>#DIV/0!</v>
      </c>
      <c r="AL74" s="20"/>
      <c r="AM74" s="44"/>
      <c r="AN74" s="56"/>
      <c r="AO74" s="57"/>
      <c r="AP74" s="44"/>
      <c r="AQ74" s="56"/>
      <c r="AR74" s="57"/>
    </row>
    <row r="75" spans="1:44" x14ac:dyDescent="0.2">
      <c r="A75" s="16"/>
      <c r="B75" s="11" t="s">
        <v>57</v>
      </c>
      <c r="C75" s="11">
        <v>22</v>
      </c>
      <c r="D75" s="12">
        <f>TM!B385</f>
        <v>0</v>
      </c>
      <c r="E75" s="13">
        <f>TM!C385</f>
        <v>0</v>
      </c>
      <c r="F75" s="13">
        <f>TM!D385</f>
        <v>0</v>
      </c>
      <c r="G75" s="13">
        <f>TM!E385</f>
        <v>0</v>
      </c>
      <c r="H75" s="13">
        <f>TM!F385</f>
        <v>0</v>
      </c>
      <c r="I75" s="13">
        <f>TM!G385</f>
        <v>0</v>
      </c>
      <c r="J75" s="14">
        <f t="shared" si="6"/>
        <v>0</v>
      </c>
      <c r="L75" s="12">
        <f>Test!B385</f>
        <v>0</v>
      </c>
      <c r="M75" s="13">
        <f>Test!C385</f>
        <v>0</v>
      </c>
      <c r="N75" s="13">
        <f>Test!D385</f>
        <v>0</v>
      </c>
      <c r="O75" s="13">
        <f>Test!E385</f>
        <v>0</v>
      </c>
      <c r="P75" s="13">
        <f>Test!F385</f>
        <v>0</v>
      </c>
      <c r="Q75" s="13">
        <f>Test!G385</f>
        <v>0</v>
      </c>
      <c r="R75" s="14">
        <f t="shared" si="1"/>
        <v>0</v>
      </c>
      <c r="S75" s="18" t="e">
        <f t="shared" si="8"/>
        <v>#DIV/0!</v>
      </c>
      <c r="T75" s="18" t="e">
        <f t="shared" si="8"/>
        <v>#DIV/0!</v>
      </c>
      <c r="U75" s="60"/>
      <c r="V75" s="42" t="e">
        <f>bdrate($D75:$D78,E75:E78,$L75:$L78,M75:M78)</f>
        <v>#VALUE!</v>
      </c>
      <c r="W75" s="47" t="e">
        <f>bdrate($D75:$D78,F75:F78,$L75:$L78,N75:N78)</f>
        <v>#VALUE!</v>
      </c>
      <c r="X75" s="47" t="e">
        <f>bdrate($D75:$D78,G75:G78,$L75:$L78,O75:O78)</f>
        <v>#VALUE!</v>
      </c>
      <c r="Y75" s="45" t="e">
        <f>bdrateOld($D75:$D78,E75:E78,$L75:$L78,M75:M78)</f>
        <v>#VALUE!</v>
      </c>
      <c r="Z75" s="49" t="e">
        <f>bdrateOld($D75:$D78,F75:F78,$L75:$L78,N75:N78)</f>
        <v>#VALUE!</v>
      </c>
      <c r="AA75" s="50" t="e">
        <f>bdrateOld($D75:$D78,G75:G78,$L75:$L78,O75:O78)</f>
        <v>#VALUE!</v>
      </c>
      <c r="AB75" s="20"/>
      <c r="AC75" s="12">
        <f>BMS!B385</f>
        <v>0</v>
      </c>
      <c r="AD75" s="13">
        <f>BMS!C385</f>
        <v>0</v>
      </c>
      <c r="AE75" s="13">
        <f>BMS!D385</f>
        <v>0</v>
      </c>
      <c r="AF75" s="13">
        <f>BMS!E385</f>
        <v>0</v>
      </c>
      <c r="AG75" s="13">
        <f>BMS!F385</f>
        <v>0</v>
      </c>
      <c r="AH75" s="13">
        <f>BMS!G385</f>
        <v>0</v>
      </c>
      <c r="AI75" s="14">
        <f t="shared" si="3"/>
        <v>0</v>
      </c>
      <c r="AJ75" s="18" t="e">
        <f t="shared" si="4"/>
        <v>#DIV/0!</v>
      </c>
      <c r="AK75" s="18" t="e">
        <f t="shared" si="5"/>
        <v>#DIV/0!</v>
      </c>
      <c r="AL75" s="20"/>
      <c r="AM75" s="42" t="e">
        <f>bdrate($AC75:$AC78,AD75:AD78,$L75:$L78, M75:M78)</f>
        <v>#VALUE!</v>
      </c>
      <c r="AN75" s="47" t="e">
        <f>bdrate($AC75:$AC78,AE75:AE78,$L75:$L78, N75:N78)</f>
        <v>#VALUE!</v>
      </c>
      <c r="AO75" s="48" t="e">
        <f>bdrate($AC75:$AC78,AF75:AF78,$L75:$L78, O75:O78)</f>
        <v>#VALUE!</v>
      </c>
      <c r="AP75" s="42" t="e">
        <f>bdrateOld($AC75:$AC78,AD75:AD78,$L75:$L78, M75:M78)</f>
        <v>#VALUE!</v>
      </c>
      <c r="AQ75" s="47" t="e">
        <f>bdrateOld($AC75:$AC78,AE75:AE78,$L75:$L78, N75:N78)</f>
        <v>#VALUE!</v>
      </c>
      <c r="AR75" s="48" t="e">
        <f>bdrateOld($AC75:$AC78,AF75:AF78,$L75:$L78, O75:O78)</f>
        <v>#VALUE!</v>
      </c>
    </row>
    <row r="76" spans="1:44" x14ac:dyDescent="0.2">
      <c r="A76" s="16"/>
      <c r="B76" s="16"/>
      <c r="C76" s="16">
        <v>27</v>
      </c>
      <c r="D76" s="17">
        <f>TM!B386</f>
        <v>0</v>
      </c>
      <c r="E76" s="18">
        <f>TM!C386</f>
        <v>0</v>
      </c>
      <c r="F76" s="18">
        <f>TM!D386</f>
        <v>0</v>
      </c>
      <c r="G76" s="18">
        <f>TM!E386</f>
        <v>0</v>
      </c>
      <c r="H76" s="18">
        <f>TM!F386</f>
        <v>0</v>
      </c>
      <c r="I76" s="18">
        <f>TM!G386</f>
        <v>0</v>
      </c>
      <c r="J76" s="19">
        <f t="shared" si="6"/>
        <v>0</v>
      </c>
      <c r="L76" s="17">
        <f>Test!B386</f>
        <v>0</v>
      </c>
      <c r="M76" s="18">
        <f>Test!C386</f>
        <v>0</v>
      </c>
      <c r="N76" s="18">
        <f>Test!D386</f>
        <v>0</v>
      </c>
      <c r="O76" s="18">
        <f>Test!E386</f>
        <v>0</v>
      </c>
      <c r="P76" s="18">
        <f>Test!F386</f>
        <v>0</v>
      </c>
      <c r="Q76" s="18">
        <f>Test!G386</f>
        <v>0</v>
      </c>
      <c r="R76" s="19">
        <f t="shared" si="1"/>
        <v>0</v>
      </c>
      <c r="S76" s="18" t="e">
        <f t="shared" si="8"/>
        <v>#DIV/0!</v>
      </c>
      <c r="T76" s="18" t="e">
        <f t="shared" si="8"/>
        <v>#DIV/0!</v>
      </c>
      <c r="U76" s="60"/>
      <c r="V76" s="43"/>
      <c r="W76" s="26"/>
      <c r="X76" s="26"/>
      <c r="Y76" s="43"/>
      <c r="Z76" s="26"/>
      <c r="AA76" s="55"/>
      <c r="AB76" s="20"/>
      <c r="AC76" s="17">
        <f>BMS!B386</f>
        <v>0</v>
      </c>
      <c r="AD76" s="18">
        <f>BMS!C386</f>
        <v>0</v>
      </c>
      <c r="AE76" s="18">
        <f>BMS!D386</f>
        <v>0</v>
      </c>
      <c r="AF76" s="18">
        <f>BMS!E386</f>
        <v>0</v>
      </c>
      <c r="AG76" s="18">
        <f>BMS!F386</f>
        <v>0</v>
      </c>
      <c r="AH76" s="18">
        <f>BMS!G386</f>
        <v>0</v>
      </c>
      <c r="AI76" s="19">
        <f t="shared" si="3"/>
        <v>0</v>
      </c>
      <c r="AJ76" s="18" t="e">
        <f t="shared" ref="AJ76:AJ106" si="9">R76/AI76</f>
        <v>#DIV/0!</v>
      </c>
      <c r="AK76" s="18" t="e">
        <f t="shared" ref="AK76:AK106" si="10">Q76/AH76</f>
        <v>#DIV/0!</v>
      </c>
      <c r="AL76" s="20"/>
      <c r="AM76" s="43"/>
      <c r="AN76" s="26"/>
      <c r="AO76" s="55"/>
      <c r="AP76" s="43"/>
      <c r="AQ76" s="26"/>
      <c r="AR76" s="55"/>
    </row>
    <row r="77" spans="1:44" x14ac:dyDescent="0.2">
      <c r="A77" s="16"/>
      <c r="B77" s="16"/>
      <c r="C77" s="16">
        <v>32</v>
      </c>
      <c r="D77" s="17">
        <f>TM!B387</f>
        <v>0</v>
      </c>
      <c r="E77" s="18">
        <f>TM!C387</f>
        <v>0</v>
      </c>
      <c r="F77" s="18">
        <f>TM!D387</f>
        <v>0</v>
      </c>
      <c r="G77" s="18">
        <f>TM!E387</f>
        <v>0</v>
      </c>
      <c r="H77" s="18">
        <f>TM!F387</f>
        <v>0</v>
      </c>
      <c r="I77" s="18">
        <f>TM!G387</f>
        <v>0</v>
      </c>
      <c r="J77" s="19">
        <f t="shared" si="6"/>
        <v>0</v>
      </c>
      <c r="L77" s="17">
        <f>Test!B387</f>
        <v>0</v>
      </c>
      <c r="M77" s="18">
        <f>Test!C387</f>
        <v>0</v>
      </c>
      <c r="N77" s="18">
        <f>Test!D387</f>
        <v>0</v>
      </c>
      <c r="O77" s="18">
        <f>Test!E387</f>
        <v>0</v>
      </c>
      <c r="P77" s="18">
        <f>Test!F387</f>
        <v>0</v>
      </c>
      <c r="Q77" s="18">
        <f>Test!G387</f>
        <v>0</v>
      </c>
      <c r="R77" s="19">
        <f t="shared" si="1"/>
        <v>0</v>
      </c>
      <c r="S77" s="18" t="e">
        <f t="shared" si="8"/>
        <v>#DIV/0!</v>
      </c>
      <c r="T77" s="18" t="e">
        <f t="shared" si="8"/>
        <v>#DIV/0!</v>
      </c>
      <c r="U77" s="60"/>
      <c r="V77" s="43"/>
      <c r="W77" s="26"/>
      <c r="X77" s="26"/>
      <c r="Y77" s="43"/>
      <c r="Z77" s="26"/>
      <c r="AA77" s="55"/>
      <c r="AB77" s="20"/>
      <c r="AC77" s="17">
        <f>BMS!B387</f>
        <v>0</v>
      </c>
      <c r="AD77" s="18">
        <f>BMS!C387</f>
        <v>0</v>
      </c>
      <c r="AE77" s="18">
        <f>BMS!D387</f>
        <v>0</v>
      </c>
      <c r="AF77" s="18">
        <f>BMS!E387</f>
        <v>0</v>
      </c>
      <c r="AG77" s="18">
        <f>BMS!F387</f>
        <v>0</v>
      </c>
      <c r="AH77" s="18">
        <f>BMS!G387</f>
        <v>0</v>
      </c>
      <c r="AI77" s="19">
        <f t="shared" si="3"/>
        <v>0</v>
      </c>
      <c r="AJ77" s="18" t="e">
        <f t="shared" si="9"/>
        <v>#DIV/0!</v>
      </c>
      <c r="AK77" s="18" t="e">
        <f t="shared" si="10"/>
        <v>#DIV/0!</v>
      </c>
      <c r="AL77" s="20"/>
      <c r="AM77" s="43"/>
      <c r="AN77" s="26"/>
      <c r="AO77" s="55"/>
      <c r="AP77" s="43"/>
      <c r="AQ77" s="26"/>
      <c r="AR77" s="55"/>
    </row>
    <row r="78" spans="1:44" ht="12.75" thickBot="1" x14ac:dyDescent="0.25">
      <c r="A78" s="21"/>
      <c r="B78" s="21"/>
      <c r="C78" s="21">
        <v>37</v>
      </c>
      <c r="D78" s="22">
        <f>TM!B388</f>
        <v>0</v>
      </c>
      <c r="E78" s="23">
        <f>TM!C388</f>
        <v>0</v>
      </c>
      <c r="F78" s="23">
        <f>TM!D388</f>
        <v>0</v>
      </c>
      <c r="G78" s="23">
        <f>TM!E388</f>
        <v>0</v>
      </c>
      <c r="H78" s="23">
        <f>TM!F388</f>
        <v>0</v>
      </c>
      <c r="I78" s="23">
        <f>TM!G388</f>
        <v>0</v>
      </c>
      <c r="J78" s="24">
        <f t="shared" si="6"/>
        <v>0</v>
      </c>
      <c r="L78" s="22">
        <f>Test!B388</f>
        <v>0</v>
      </c>
      <c r="M78" s="23">
        <f>Test!C388</f>
        <v>0</v>
      </c>
      <c r="N78" s="23">
        <f>Test!D388</f>
        <v>0</v>
      </c>
      <c r="O78" s="23">
        <f>Test!E388</f>
        <v>0</v>
      </c>
      <c r="P78" s="23">
        <f>Test!F388</f>
        <v>0</v>
      </c>
      <c r="Q78" s="23">
        <f>Test!G388</f>
        <v>0</v>
      </c>
      <c r="R78" s="24">
        <f t="shared" si="1"/>
        <v>0</v>
      </c>
      <c r="S78" s="23" t="e">
        <f t="shared" si="8"/>
        <v>#DIV/0!</v>
      </c>
      <c r="T78" s="23" t="e">
        <f t="shared" si="8"/>
        <v>#DIV/0!</v>
      </c>
      <c r="U78" s="61"/>
      <c r="V78" s="44"/>
      <c r="W78" s="56"/>
      <c r="X78" s="56"/>
      <c r="Y78" s="44"/>
      <c r="Z78" s="56"/>
      <c r="AA78" s="57"/>
      <c r="AB78" s="25"/>
      <c r="AC78" s="22">
        <f>BMS!B388</f>
        <v>0</v>
      </c>
      <c r="AD78" s="23">
        <f>BMS!C388</f>
        <v>0</v>
      </c>
      <c r="AE78" s="23">
        <f>BMS!D388</f>
        <v>0</v>
      </c>
      <c r="AF78" s="23">
        <f>BMS!E388</f>
        <v>0</v>
      </c>
      <c r="AG78" s="23">
        <f>BMS!F388</f>
        <v>0</v>
      </c>
      <c r="AH78" s="23">
        <f>BMS!G388</f>
        <v>0</v>
      </c>
      <c r="AI78" s="24">
        <f t="shared" si="3"/>
        <v>0</v>
      </c>
      <c r="AJ78" s="23" t="e">
        <f t="shared" si="9"/>
        <v>#DIV/0!</v>
      </c>
      <c r="AK78" s="23" t="e">
        <f t="shared" si="10"/>
        <v>#DIV/0!</v>
      </c>
      <c r="AL78" s="25"/>
      <c r="AM78" s="44"/>
      <c r="AN78" s="56"/>
      <c r="AO78" s="57"/>
      <c r="AP78" s="44"/>
      <c r="AQ78" s="56"/>
      <c r="AR78" s="57"/>
    </row>
    <row r="79" spans="1:44" x14ac:dyDescent="0.2">
      <c r="A79" s="11" t="s">
        <v>52</v>
      </c>
      <c r="B79" s="11" t="s">
        <v>61</v>
      </c>
      <c r="C79" s="11">
        <v>22</v>
      </c>
      <c r="D79" s="12">
        <f>TM!B389</f>
        <v>0</v>
      </c>
      <c r="E79" s="13">
        <f>TM!C389</f>
        <v>0</v>
      </c>
      <c r="F79" s="13">
        <f>TM!D389</f>
        <v>0</v>
      </c>
      <c r="G79" s="13">
        <f>TM!E389</f>
        <v>0</v>
      </c>
      <c r="H79" s="13">
        <f>TM!F389</f>
        <v>0</v>
      </c>
      <c r="I79" s="13">
        <f>TM!G389</f>
        <v>0</v>
      </c>
      <c r="J79" s="14">
        <f t="shared" si="6"/>
        <v>0</v>
      </c>
      <c r="L79" s="12">
        <f>Test!B389</f>
        <v>0</v>
      </c>
      <c r="M79" s="13">
        <f>Test!C389</f>
        <v>0</v>
      </c>
      <c r="N79" s="13">
        <f>Test!D389</f>
        <v>0</v>
      </c>
      <c r="O79" s="13">
        <f>Test!E389</f>
        <v>0</v>
      </c>
      <c r="P79" s="13">
        <f>Test!F389</f>
        <v>0</v>
      </c>
      <c r="Q79" s="13">
        <f>Test!G389</f>
        <v>0</v>
      </c>
      <c r="R79" s="14">
        <f t="shared" si="1"/>
        <v>0</v>
      </c>
      <c r="S79" s="13" t="e">
        <f t="shared" si="8"/>
        <v>#DIV/0!</v>
      </c>
      <c r="T79" s="13" t="e">
        <f t="shared" si="8"/>
        <v>#DIV/0!</v>
      </c>
      <c r="U79" s="59"/>
      <c r="V79" s="42" t="e">
        <f>bdrate($D79:$D82,E79:E82,$L79:$L82,M79:M82)</f>
        <v>#VALUE!</v>
      </c>
      <c r="W79" s="47" t="e">
        <f>bdrate($D79:$D82,F79:F82,$L79:$L82,N79:N82)</f>
        <v>#VALUE!</v>
      </c>
      <c r="X79" s="48" t="e">
        <f>bdrate($D79:$D82,G79:G82,$L79:$L82,O79:O82)</f>
        <v>#VALUE!</v>
      </c>
      <c r="Y79" s="42" t="e">
        <f>bdrateOld($D79:$D82,E79:E82,$L79:$L82,M79:M82)</f>
        <v>#VALUE!</v>
      </c>
      <c r="Z79" s="47" t="e">
        <f>bdrateOld($D79:$D82,F79:F82,$L79:$L82,N79:N82)</f>
        <v>#VALUE!</v>
      </c>
      <c r="AA79" s="48" t="e">
        <f>bdrateOld($D79:$D82,G79:G82,$L79:$L82,O79:O82)</f>
        <v>#VALUE!</v>
      </c>
      <c r="AB79" s="54"/>
      <c r="AC79" s="12">
        <f>BMS!B389</f>
        <v>0</v>
      </c>
      <c r="AD79" s="13">
        <f>BMS!C389</f>
        <v>0</v>
      </c>
      <c r="AE79" s="13">
        <f>BMS!D389</f>
        <v>0</v>
      </c>
      <c r="AF79" s="13">
        <f>BMS!E389</f>
        <v>0</v>
      </c>
      <c r="AG79" s="13">
        <f>BMS!F389</f>
        <v>0</v>
      </c>
      <c r="AH79" s="13">
        <f>BMS!G389</f>
        <v>0</v>
      </c>
      <c r="AI79" s="14">
        <f t="shared" si="3"/>
        <v>0</v>
      </c>
      <c r="AJ79" s="13" t="e">
        <f t="shared" si="9"/>
        <v>#DIV/0!</v>
      </c>
      <c r="AK79" s="13" t="e">
        <f t="shared" si="10"/>
        <v>#DIV/0!</v>
      </c>
      <c r="AL79" s="54"/>
      <c r="AM79" s="42" t="e">
        <f>bdrate($AC79:$AC82,AD79:AD82,$L79:$L82, M79:M82)</f>
        <v>#VALUE!</v>
      </c>
      <c r="AN79" s="47" t="e">
        <f>bdrate($AC79:$AC82,AE79:AE82,$L79:$L82, N79:N82)</f>
        <v>#VALUE!</v>
      </c>
      <c r="AO79" s="48" t="e">
        <f>bdrate($AC79:$AC82,AF79:AF82,$L79:$L82, O79:O82)</f>
        <v>#VALUE!</v>
      </c>
      <c r="AP79" s="42" t="e">
        <f>bdrateOld($AC79:$AC82,AD79:AD82,$L79:$L82, M79:M82)</f>
        <v>#VALUE!</v>
      </c>
      <c r="AQ79" s="47" t="e">
        <f>bdrateOld($AC79:$AC82,AE79:AE82,$L79:$L82, N79:N82)</f>
        <v>#VALUE!</v>
      </c>
      <c r="AR79" s="48" t="e">
        <f>bdrateOld($AC79:$AC82,AF79:AF82,$L79:$L82, O79:O82)</f>
        <v>#VALUE!</v>
      </c>
    </row>
    <row r="80" spans="1:44" x14ac:dyDescent="0.2">
      <c r="A80" s="16" t="s">
        <v>53</v>
      </c>
      <c r="B80" s="16"/>
      <c r="C80" s="16">
        <v>27</v>
      </c>
      <c r="D80" s="17">
        <f>TM!B390</f>
        <v>0</v>
      </c>
      <c r="E80" s="18">
        <f>TM!C390</f>
        <v>0</v>
      </c>
      <c r="F80" s="18">
        <f>TM!D390</f>
        <v>0</v>
      </c>
      <c r="G80" s="18">
        <f>TM!E390</f>
        <v>0</v>
      </c>
      <c r="H80" s="18">
        <f>TM!F390</f>
        <v>0</v>
      </c>
      <c r="I80" s="18">
        <f>TM!G390</f>
        <v>0</v>
      </c>
      <c r="J80" s="19">
        <f t="shared" si="6"/>
        <v>0</v>
      </c>
      <c r="L80" s="17">
        <f>Test!B390</f>
        <v>0</v>
      </c>
      <c r="M80" s="18">
        <f>Test!C390</f>
        <v>0</v>
      </c>
      <c r="N80" s="18">
        <f>Test!D390</f>
        <v>0</v>
      </c>
      <c r="O80" s="18">
        <f>Test!E390</f>
        <v>0</v>
      </c>
      <c r="P80" s="18">
        <f>Test!F390</f>
        <v>0</v>
      </c>
      <c r="Q80" s="18">
        <f>Test!G390</f>
        <v>0</v>
      </c>
      <c r="R80" s="19">
        <f t="shared" ref="R80:R106" si="11">P80/3600</f>
        <v>0</v>
      </c>
      <c r="S80" s="18" t="e">
        <f t="shared" si="8"/>
        <v>#DIV/0!</v>
      </c>
      <c r="T80" s="18" t="e">
        <f t="shared" si="8"/>
        <v>#DIV/0!</v>
      </c>
      <c r="U80" s="60"/>
      <c r="V80" s="43"/>
      <c r="W80" s="26"/>
      <c r="X80" s="55"/>
      <c r="Y80" s="43"/>
      <c r="Z80" s="26"/>
      <c r="AA80" s="55"/>
      <c r="AB80" s="20"/>
      <c r="AC80" s="17">
        <f>BMS!B390</f>
        <v>0</v>
      </c>
      <c r="AD80" s="18">
        <f>BMS!C390</f>
        <v>0</v>
      </c>
      <c r="AE80" s="18">
        <f>BMS!D390</f>
        <v>0</v>
      </c>
      <c r="AF80" s="18">
        <f>BMS!E390</f>
        <v>0</v>
      </c>
      <c r="AG80" s="18">
        <f>BMS!F390</f>
        <v>0</v>
      </c>
      <c r="AH80" s="18">
        <f>BMS!G390</f>
        <v>0</v>
      </c>
      <c r="AI80" s="19">
        <f t="shared" ref="AI80:AI106" si="12">AG80/3600</f>
        <v>0</v>
      </c>
      <c r="AJ80" s="18" t="e">
        <f t="shared" si="9"/>
        <v>#DIV/0!</v>
      </c>
      <c r="AK80" s="18" t="e">
        <f t="shared" si="10"/>
        <v>#DIV/0!</v>
      </c>
      <c r="AL80" s="20"/>
      <c r="AM80" s="43"/>
      <c r="AN80" s="26"/>
      <c r="AO80" s="55"/>
      <c r="AP80" s="43"/>
      <c r="AQ80" s="26"/>
      <c r="AR80" s="55"/>
    </row>
    <row r="81" spans="1:44" x14ac:dyDescent="0.2">
      <c r="A81" s="16"/>
      <c r="B81" s="16"/>
      <c r="C81" s="16">
        <v>32</v>
      </c>
      <c r="D81" s="17">
        <f>TM!B391</f>
        <v>0</v>
      </c>
      <c r="E81" s="18">
        <f>TM!C391</f>
        <v>0</v>
      </c>
      <c r="F81" s="18">
        <f>TM!D391</f>
        <v>0</v>
      </c>
      <c r="G81" s="18">
        <f>TM!E391</f>
        <v>0</v>
      </c>
      <c r="H81" s="18">
        <f>TM!F391</f>
        <v>0</v>
      </c>
      <c r="I81" s="18">
        <f>TM!G391</f>
        <v>0</v>
      </c>
      <c r="J81" s="19">
        <f t="shared" si="6"/>
        <v>0</v>
      </c>
      <c r="L81" s="17">
        <f>Test!B391</f>
        <v>0</v>
      </c>
      <c r="M81" s="18">
        <f>Test!C391</f>
        <v>0</v>
      </c>
      <c r="N81" s="18">
        <f>Test!D391</f>
        <v>0</v>
      </c>
      <c r="O81" s="18">
        <f>Test!E391</f>
        <v>0</v>
      </c>
      <c r="P81" s="18">
        <f>Test!F391</f>
        <v>0</v>
      </c>
      <c r="Q81" s="18">
        <f>Test!G391</f>
        <v>0</v>
      </c>
      <c r="R81" s="19">
        <f t="shared" si="11"/>
        <v>0</v>
      </c>
      <c r="S81" s="18" t="e">
        <f t="shared" si="8"/>
        <v>#DIV/0!</v>
      </c>
      <c r="T81" s="18" t="e">
        <f t="shared" si="8"/>
        <v>#DIV/0!</v>
      </c>
      <c r="U81" s="60"/>
      <c r="V81" s="43"/>
      <c r="W81" s="26"/>
      <c r="X81" s="55"/>
      <c r="Y81" s="43"/>
      <c r="Z81" s="26"/>
      <c r="AA81" s="55"/>
      <c r="AB81" s="20"/>
      <c r="AC81" s="17">
        <f>BMS!B391</f>
        <v>0</v>
      </c>
      <c r="AD81" s="18">
        <f>BMS!C391</f>
        <v>0</v>
      </c>
      <c r="AE81" s="18">
        <f>BMS!D391</f>
        <v>0</v>
      </c>
      <c r="AF81" s="18">
        <f>BMS!E391</f>
        <v>0</v>
      </c>
      <c r="AG81" s="18">
        <f>BMS!F391</f>
        <v>0</v>
      </c>
      <c r="AH81" s="18">
        <f>BMS!G391</f>
        <v>0</v>
      </c>
      <c r="AI81" s="19">
        <f t="shared" si="12"/>
        <v>0</v>
      </c>
      <c r="AJ81" s="18" t="e">
        <f t="shared" si="9"/>
        <v>#DIV/0!</v>
      </c>
      <c r="AK81" s="18" t="e">
        <f t="shared" si="10"/>
        <v>#DIV/0!</v>
      </c>
      <c r="AL81" s="20"/>
      <c r="AM81" s="43"/>
      <c r="AN81" s="26"/>
      <c r="AO81" s="55"/>
      <c r="AP81" s="43"/>
      <c r="AQ81" s="26"/>
      <c r="AR81" s="55"/>
    </row>
    <row r="82" spans="1:44" ht="12.75" thickBot="1" x14ac:dyDescent="0.25">
      <c r="A82" s="16"/>
      <c r="B82" s="21"/>
      <c r="C82" s="21">
        <v>37</v>
      </c>
      <c r="D82" s="22">
        <f>TM!B392</f>
        <v>0</v>
      </c>
      <c r="E82" s="23">
        <f>TM!C392</f>
        <v>0</v>
      </c>
      <c r="F82" s="23">
        <f>TM!D392</f>
        <v>0</v>
      </c>
      <c r="G82" s="23">
        <f>TM!E392</f>
        <v>0</v>
      </c>
      <c r="H82" s="23">
        <f>TM!F392</f>
        <v>0</v>
      </c>
      <c r="I82" s="23">
        <f>TM!G392</f>
        <v>0</v>
      </c>
      <c r="J82" s="24">
        <f t="shared" si="6"/>
        <v>0</v>
      </c>
      <c r="L82" s="22">
        <f>Test!B392</f>
        <v>0</v>
      </c>
      <c r="M82" s="23">
        <f>Test!C392</f>
        <v>0</v>
      </c>
      <c r="N82" s="23">
        <f>Test!D392</f>
        <v>0</v>
      </c>
      <c r="O82" s="23">
        <f>Test!E392</f>
        <v>0</v>
      </c>
      <c r="P82" s="23">
        <f>Test!F392</f>
        <v>0</v>
      </c>
      <c r="Q82" s="23">
        <f>Test!G392</f>
        <v>0</v>
      </c>
      <c r="R82" s="24">
        <f t="shared" si="11"/>
        <v>0</v>
      </c>
      <c r="S82" s="18" t="e">
        <f t="shared" si="8"/>
        <v>#DIV/0!</v>
      </c>
      <c r="T82" s="18" t="e">
        <f t="shared" si="8"/>
        <v>#DIV/0!</v>
      </c>
      <c r="U82" s="60"/>
      <c r="V82" s="44"/>
      <c r="W82" s="56"/>
      <c r="X82" s="57"/>
      <c r="Y82" s="44"/>
      <c r="Z82" s="56"/>
      <c r="AA82" s="57"/>
      <c r="AB82" s="20"/>
      <c r="AC82" s="22">
        <f>BMS!B392</f>
        <v>0</v>
      </c>
      <c r="AD82" s="23">
        <f>BMS!C392</f>
        <v>0</v>
      </c>
      <c r="AE82" s="23">
        <f>BMS!D392</f>
        <v>0</v>
      </c>
      <c r="AF82" s="23">
        <f>BMS!E392</f>
        <v>0</v>
      </c>
      <c r="AG82" s="23">
        <f>BMS!F392</f>
        <v>0</v>
      </c>
      <c r="AH82" s="23">
        <f>BMS!G392</f>
        <v>0</v>
      </c>
      <c r="AI82" s="24">
        <f t="shared" si="12"/>
        <v>0</v>
      </c>
      <c r="AJ82" s="18" t="e">
        <f t="shared" si="9"/>
        <v>#DIV/0!</v>
      </c>
      <c r="AK82" s="18" t="e">
        <f t="shared" si="10"/>
        <v>#DIV/0!</v>
      </c>
      <c r="AL82" s="20"/>
      <c r="AM82" s="44"/>
      <c r="AN82" s="56"/>
      <c r="AO82" s="57"/>
      <c r="AP82" s="44"/>
      <c r="AQ82" s="56"/>
      <c r="AR82" s="57"/>
    </row>
    <row r="83" spans="1:44" x14ac:dyDescent="0.2">
      <c r="A83" s="16"/>
      <c r="B83" s="11" t="s">
        <v>62</v>
      </c>
      <c r="C83" s="11">
        <v>22</v>
      </c>
      <c r="D83" s="12">
        <f>TM!B393</f>
        <v>0</v>
      </c>
      <c r="E83" s="13">
        <f>TM!C393</f>
        <v>0</v>
      </c>
      <c r="F83" s="13">
        <f>TM!D393</f>
        <v>0</v>
      </c>
      <c r="G83" s="13">
        <f>TM!E393</f>
        <v>0</v>
      </c>
      <c r="H83" s="13">
        <f>TM!F393</f>
        <v>0</v>
      </c>
      <c r="I83" s="13">
        <f>TM!G393</f>
        <v>0</v>
      </c>
      <c r="J83" s="14">
        <f t="shared" si="6"/>
        <v>0</v>
      </c>
      <c r="L83" s="12">
        <f>Test!B393</f>
        <v>0</v>
      </c>
      <c r="M83" s="13">
        <f>Test!C393</f>
        <v>0</v>
      </c>
      <c r="N83" s="13">
        <f>Test!D393</f>
        <v>0</v>
      </c>
      <c r="O83" s="13">
        <f>Test!E393</f>
        <v>0</v>
      </c>
      <c r="P83" s="13">
        <f>Test!F393</f>
        <v>0</v>
      </c>
      <c r="Q83" s="13">
        <f>Test!G393</f>
        <v>0</v>
      </c>
      <c r="R83" s="14">
        <f t="shared" si="11"/>
        <v>0</v>
      </c>
      <c r="S83" s="18" t="e">
        <f t="shared" si="8"/>
        <v>#DIV/0!</v>
      </c>
      <c r="T83" s="18" t="e">
        <f t="shared" si="8"/>
        <v>#DIV/0!</v>
      </c>
      <c r="U83" s="60"/>
      <c r="V83" s="42" t="e">
        <f>bdrate($D83:$D86,E83:E86,$L83:$L86,M83:M86)</f>
        <v>#VALUE!</v>
      </c>
      <c r="W83" s="47" t="e">
        <f>bdrate($D83:$D86,F83:F86,$L83:$L86,N83:N86)</f>
        <v>#VALUE!</v>
      </c>
      <c r="X83" s="47" t="e">
        <f>bdrate($D83:$D86,G83:G86,$L83:$L86,O83:O86)</f>
        <v>#VALUE!</v>
      </c>
      <c r="Y83" s="45" t="e">
        <f>bdrateOld($D83:$D86,E83:E86,$L83:$L86,M83:M86)</f>
        <v>#VALUE!</v>
      </c>
      <c r="Z83" s="49" t="e">
        <f>bdrateOld($D83:$D86,F83:F86,$L83:$L86,N83:N86)</f>
        <v>#VALUE!</v>
      </c>
      <c r="AA83" s="50" t="e">
        <f>bdrateOld($D83:$D86,G83:G86,$L83:$L86,O83:O86)</f>
        <v>#VALUE!</v>
      </c>
      <c r="AB83" s="20"/>
      <c r="AC83" s="12">
        <f>BMS!B393</f>
        <v>0</v>
      </c>
      <c r="AD83" s="13">
        <f>BMS!C393</f>
        <v>0</v>
      </c>
      <c r="AE83" s="13">
        <f>BMS!D393</f>
        <v>0</v>
      </c>
      <c r="AF83" s="13">
        <f>BMS!E393</f>
        <v>0</v>
      </c>
      <c r="AG83" s="13">
        <f>BMS!F393</f>
        <v>0</v>
      </c>
      <c r="AH83" s="13">
        <f>BMS!G393</f>
        <v>0</v>
      </c>
      <c r="AI83" s="14">
        <f t="shared" si="12"/>
        <v>0</v>
      </c>
      <c r="AJ83" s="18" t="e">
        <f t="shared" si="9"/>
        <v>#DIV/0!</v>
      </c>
      <c r="AK83" s="18" t="e">
        <f t="shared" si="10"/>
        <v>#DIV/0!</v>
      </c>
      <c r="AL83" s="20"/>
      <c r="AM83" s="42" t="e">
        <f>bdrate($AC83:$AC86,AD83:AD86,$L83:$L86, M83:M86)</f>
        <v>#VALUE!</v>
      </c>
      <c r="AN83" s="47" t="e">
        <f>bdrate($AC83:$AC86,AE83:AE86,$L83:$L86, N83:N86)</f>
        <v>#VALUE!</v>
      </c>
      <c r="AO83" s="48" t="e">
        <f>bdrate($AC83:$AC86,AF83:AF86,$L83:$L86, O83:O86)</f>
        <v>#VALUE!</v>
      </c>
      <c r="AP83" s="42" t="e">
        <f>bdrateOld($AC83:$AC86,AD83:AD86,$L83:$L86, M83:M86)</f>
        <v>#VALUE!</v>
      </c>
      <c r="AQ83" s="47" t="e">
        <f>bdrateOld($AC83:$AC86,AE83:AE86,$L83:$L86, N83:N86)</f>
        <v>#VALUE!</v>
      </c>
      <c r="AR83" s="48" t="e">
        <f>bdrateOld($AC83:$AC86,AF83:AF86,$L83:$L86, O83:O86)</f>
        <v>#VALUE!</v>
      </c>
    </row>
    <row r="84" spans="1:44" x14ac:dyDescent="0.2">
      <c r="A84" s="16"/>
      <c r="B84" s="16"/>
      <c r="C84" s="16">
        <v>27</v>
      </c>
      <c r="D84" s="17">
        <f>TM!B394</f>
        <v>0</v>
      </c>
      <c r="E84" s="18">
        <f>TM!C394</f>
        <v>0</v>
      </c>
      <c r="F84" s="18">
        <f>TM!D394</f>
        <v>0</v>
      </c>
      <c r="G84" s="18">
        <f>TM!E394</f>
        <v>0</v>
      </c>
      <c r="H84" s="18">
        <f>TM!F394</f>
        <v>0</v>
      </c>
      <c r="I84" s="18">
        <f>TM!G394</f>
        <v>0</v>
      </c>
      <c r="J84" s="19">
        <f t="shared" si="6"/>
        <v>0</v>
      </c>
      <c r="L84" s="17">
        <f>Test!B394</f>
        <v>0</v>
      </c>
      <c r="M84" s="18">
        <f>Test!C394</f>
        <v>0</v>
      </c>
      <c r="N84" s="18">
        <f>Test!D394</f>
        <v>0</v>
      </c>
      <c r="O84" s="18">
        <f>Test!E394</f>
        <v>0</v>
      </c>
      <c r="P84" s="18">
        <f>Test!F394</f>
        <v>0</v>
      </c>
      <c r="Q84" s="18">
        <f>Test!G394</f>
        <v>0</v>
      </c>
      <c r="R84" s="19">
        <f t="shared" si="11"/>
        <v>0</v>
      </c>
      <c r="S84" s="18" t="e">
        <f t="shared" si="8"/>
        <v>#DIV/0!</v>
      </c>
      <c r="T84" s="18" t="e">
        <f t="shared" si="8"/>
        <v>#DIV/0!</v>
      </c>
      <c r="U84" s="60"/>
      <c r="V84" s="43"/>
      <c r="W84" s="26"/>
      <c r="X84" s="26"/>
      <c r="Y84" s="43"/>
      <c r="Z84" s="26"/>
      <c r="AA84" s="55"/>
      <c r="AB84" s="20"/>
      <c r="AC84" s="17">
        <f>BMS!B394</f>
        <v>0</v>
      </c>
      <c r="AD84" s="18">
        <f>BMS!C394</f>
        <v>0</v>
      </c>
      <c r="AE84" s="18">
        <f>BMS!D394</f>
        <v>0</v>
      </c>
      <c r="AF84" s="18">
        <f>BMS!E394</f>
        <v>0</v>
      </c>
      <c r="AG84" s="18">
        <f>BMS!F394</f>
        <v>0</v>
      </c>
      <c r="AH84" s="18">
        <f>BMS!G394</f>
        <v>0</v>
      </c>
      <c r="AI84" s="19">
        <f t="shared" si="12"/>
        <v>0</v>
      </c>
      <c r="AJ84" s="18" t="e">
        <f t="shared" si="9"/>
        <v>#DIV/0!</v>
      </c>
      <c r="AK84" s="18" t="e">
        <f t="shared" si="10"/>
        <v>#DIV/0!</v>
      </c>
      <c r="AL84" s="20"/>
      <c r="AM84" s="43"/>
      <c r="AN84" s="26"/>
      <c r="AO84" s="55"/>
      <c r="AP84" s="43"/>
      <c r="AQ84" s="26"/>
      <c r="AR84" s="55"/>
    </row>
    <row r="85" spans="1:44" x14ac:dyDescent="0.2">
      <c r="A85" s="16"/>
      <c r="B85" s="16"/>
      <c r="C85" s="16">
        <v>32</v>
      </c>
      <c r="D85" s="17">
        <f>TM!B395</f>
        <v>0</v>
      </c>
      <c r="E85" s="18">
        <f>TM!C395</f>
        <v>0</v>
      </c>
      <c r="F85" s="18">
        <f>TM!D395</f>
        <v>0</v>
      </c>
      <c r="G85" s="18">
        <f>TM!E395</f>
        <v>0</v>
      </c>
      <c r="H85" s="18">
        <f>TM!F395</f>
        <v>0</v>
      </c>
      <c r="I85" s="18">
        <f>TM!G395</f>
        <v>0</v>
      </c>
      <c r="J85" s="19">
        <f t="shared" si="6"/>
        <v>0</v>
      </c>
      <c r="L85" s="17">
        <f>Test!B395</f>
        <v>0</v>
      </c>
      <c r="M85" s="18">
        <f>Test!C395</f>
        <v>0</v>
      </c>
      <c r="N85" s="18">
        <f>Test!D395</f>
        <v>0</v>
      </c>
      <c r="O85" s="18">
        <f>Test!E395</f>
        <v>0</v>
      </c>
      <c r="P85" s="18">
        <f>Test!F395</f>
        <v>0</v>
      </c>
      <c r="Q85" s="18">
        <f>Test!G395</f>
        <v>0</v>
      </c>
      <c r="R85" s="19">
        <f t="shared" si="11"/>
        <v>0</v>
      </c>
      <c r="S85" s="18" t="e">
        <f t="shared" si="8"/>
        <v>#DIV/0!</v>
      </c>
      <c r="T85" s="18" t="e">
        <f t="shared" si="8"/>
        <v>#DIV/0!</v>
      </c>
      <c r="U85" s="60"/>
      <c r="V85" s="43"/>
      <c r="W85" s="26"/>
      <c r="X85" s="26"/>
      <c r="Y85" s="43"/>
      <c r="Z85" s="26"/>
      <c r="AA85" s="55"/>
      <c r="AB85" s="20"/>
      <c r="AC85" s="17">
        <f>BMS!B395</f>
        <v>0</v>
      </c>
      <c r="AD85" s="18">
        <f>BMS!C395</f>
        <v>0</v>
      </c>
      <c r="AE85" s="18">
        <f>BMS!D395</f>
        <v>0</v>
      </c>
      <c r="AF85" s="18">
        <f>BMS!E395</f>
        <v>0</v>
      </c>
      <c r="AG85" s="18">
        <f>BMS!F395</f>
        <v>0</v>
      </c>
      <c r="AH85" s="18">
        <f>BMS!G395</f>
        <v>0</v>
      </c>
      <c r="AI85" s="19">
        <f t="shared" si="12"/>
        <v>0</v>
      </c>
      <c r="AJ85" s="18" t="e">
        <f t="shared" si="9"/>
        <v>#DIV/0!</v>
      </c>
      <c r="AK85" s="18" t="e">
        <f t="shared" si="10"/>
        <v>#DIV/0!</v>
      </c>
      <c r="AL85" s="20"/>
      <c r="AM85" s="43"/>
      <c r="AN85" s="26"/>
      <c r="AO85" s="55"/>
      <c r="AP85" s="43"/>
      <c r="AQ85" s="26"/>
      <c r="AR85" s="55"/>
    </row>
    <row r="86" spans="1:44" ht="12.75" thickBot="1" x14ac:dyDescent="0.25">
      <c r="A86" s="16"/>
      <c r="B86" s="21"/>
      <c r="C86" s="21">
        <v>37</v>
      </c>
      <c r="D86" s="22">
        <f>TM!B396</f>
        <v>0</v>
      </c>
      <c r="E86" s="23">
        <f>TM!C396</f>
        <v>0</v>
      </c>
      <c r="F86" s="23">
        <f>TM!D396</f>
        <v>0</v>
      </c>
      <c r="G86" s="23">
        <f>TM!E396</f>
        <v>0</v>
      </c>
      <c r="H86" s="23">
        <f>TM!F396</f>
        <v>0</v>
      </c>
      <c r="I86" s="23">
        <f>TM!G396</f>
        <v>0</v>
      </c>
      <c r="J86" s="24">
        <f t="shared" si="6"/>
        <v>0</v>
      </c>
      <c r="L86" s="22">
        <f>Test!B396</f>
        <v>0</v>
      </c>
      <c r="M86" s="23">
        <f>Test!C396</f>
        <v>0</v>
      </c>
      <c r="N86" s="23">
        <f>Test!D396</f>
        <v>0</v>
      </c>
      <c r="O86" s="23">
        <f>Test!E396</f>
        <v>0</v>
      </c>
      <c r="P86" s="23">
        <f>Test!F396</f>
        <v>0</v>
      </c>
      <c r="Q86" s="23">
        <f>Test!G396</f>
        <v>0</v>
      </c>
      <c r="R86" s="24">
        <f t="shared" si="11"/>
        <v>0</v>
      </c>
      <c r="S86" s="18" t="e">
        <f t="shared" si="8"/>
        <v>#DIV/0!</v>
      </c>
      <c r="T86" s="18" t="e">
        <f t="shared" si="8"/>
        <v>#DIV/0!</v>
      </c>
      <c r="U86" s="60"/>
      <c r="V86" s="44"/>
      <c r="W86" s="56"/>
      <c r="X86" s="56"/>
      <c r="Y86" s="44"/>
      <c r="Z86" s="56"/>
      <c r="AA86" s="57"/>
      <c r="AB86" s="20"/>
      <c r="AC86" s="22">
        <f>BMS!B396</f>
        <v>0</v>
      </c>
      <c r="AD86" s="23">
        <f>BMS!C396</f>
        <v>0</v>
      </c>
      <c r="AE86" s="23">
        <f>BMS!D396</f>
        <v>0</v>
      </c>
      <c r="AF86" s="23">
        <f>BMS!E396</f>
        <v>0</v>
      </c>
      <c r="AG86" s="23">
        <f>BMS!F396</f>
        <v>0</v>
      </c>
      <c r="AH86" s="23">
        <f>BMS!G396</f>
        <v>0</v>
      </c>
      <c r="AI86" s="24">
        <f t="shared" si="12"/>
        <v>0</v>
      </c>
      <c r="AJ86" s="18" t="e">
        <f t="shared" si="9"/>
        <v>#DIV/0!</v>
      </c>
      <c r="AK86" s="18" t="e">
        <f t="shared" si="10"/>
        <v>#DIV/0!</v>
      </c>
      <c r="AL86" s="20"/>
      <c r="AM86" s="44"/>
      <c r="AN86" s="56"/>
      <c r="AO86" s="57"/>
      <c r="AP86" s="44"/>
      <c r="AQ86" s="56"/>
      <c r="AR86" s="57"/>
    </row>
    <row r="87" spans="1:44" x14ac:dyDescent="0.2">
      <c r="A87" s="16"/>
      <c r="B87" s="11" t="s">
        <v>63</v>
      </c>
      <c r="C87" s="11">
        <v>22</v>
      </c>
      <c r="D87" s="12">
        <f>TM!B397</f>
        <v>0</v>
      </c>
      <c r="E87" s="13">
        <f>TM!C397</f>
        <v>0</v>
      </c>
      <c r="F87" s="13">
        <f>TM!D397</f>
        <v>0</v>
      </c>
      <c r="G87" s="13">
        <f>TM!E397</f>
        <v>0</v>
      </c>
      <c r="H87" s="13">
        <f>TM!F397</f>
        <v>0</v>
      </c>
      <c r="I87" s="13">
        <f>TM!G397</f>
        <v>0</v>
      </c>
      <c r="J87" s="14">
        <f t="shared" si="6"/>
        <v>0</v>
      </c>
      <c r="L87" s="12">
        <f>Test!B397</f>
        <v>0</v>
      </c>
      <c r="M87" s="13">
        <f>Test!C397</f>
        <v>0</v>
      </c>
      <c r="N87" s="13">
        <f>Test!D397</f>
        <v>0</v>
      </c>
      <c r="O87" s="13">
        <f>Test!E397</f>
        <v>0</v>
      </c>
      <c r="P87" s="13">
        <f>Test!F397</f>
        <v>0</v>
      </c>
      <c r="Q87" s="13">
        <f>Test!G397</f>
        <v>0</v>
      </c>
      <c r="R87" s="14">
        <f t="shared" si="11"/>
        <v>0</v>
      </c>
      <c r="S87" s="18" t="e">
        <f t="shared" ref="S87:T106" si="13">P87/H87</f>
        <v>#DIV/0!</v>
      </c>
      <c r="T87" s="18" t="e">
        <f t="shared" si="13"/>
        <v>#DIV/0!</v>
      </c>
      <c r="U87" s="60"/>
      <c r="V87" s="42" t="e">
        <f>bdrate($D87:$D90,E87:E90,$L87:$L90,M87:M90)</f>
        <v>#VALUE!</v>
      </c>
      <c r="W87" s="47" t="e">
        <f>bdrate($D87:$D90,F87:F90,$L87:$L90,N87:N90)</f>
        <v>#VALUE!</v>
      </c>
      <c r="X87" s="47" t="e">
        <f>bdrate($D87:$D90,G87:G90,$L87:$L90,O87:O90)</f>
        <v>#VALUE!</v>
      </c>
      <c r="Y87" s="45" t="e">
        <f>bdrateOld($D87:$D90,E87:E90,$L87:$L90,M87:M90)</f>
        <v>#VALUE!</v>
      </c>
      <c r="Z87" s="49" t="e">
        <f>bdrateOld($D87:$D90,F87:F90,$L87:$L90,N87:N90)</f>
        <v>#VALUE!</v>
      </c>
      <c r="AA87" s="50" t="e">
        <f>bdrateOld($D87:$D90,G87:G90,$L87:$L90,O87:O90)</f>
        <v>#VALUE!</v>
      </c>
      <c r="AB87" s="20"/>
      <c r="AC87" s="12">
        <f>BMS!B397</f>
        <v>0</v>
      </c>
      <c r="AD87" s="13">
        <f>BMS!C397</f>
        <v>0</v>
      </c>
      <c r="AE87" s="13">
        <f>BMS!D397</f>
        <v>0</v>
      </c>
      <c r="AF87" s="13">
        <f>BMS!E397</f>
        <v>0</v>
      </c>
      <c r="AG87" s="13">
        <f>BMS!F397</f>
        <v>0</v>
      </c>
      <c r="AH87" s="13">
        <f>BMS!G397</f>
        <v>0</v>
      </c>
      <c r="AI87" s="14">
        <f t="shared" si="12"/>
        <v>0</v>
      </c>
      <c r="AJ87" s="18" t="e">
        <f t="shared" si="9"/>
        <v>#DIV/0!</v>
      </c>
      <c r="AK87" s="18" t="e">
        <f t="shared" si="10"/>
        <v>#DIV/0!</v>
      </c>
      <c r="AL87" s="20"/>
      <c r="AM87" s="42" t="e">
        <f>bdrate($AC87:$AC90,AD87:AD90,$L87:$L90, M87:M90)</f>
        <v>#VALUE!</v>
      </c>
      <c r="AN87" s="47" t="e">
        <f>bdrate($AC87:$AC90,AE87:AE90,$L87:$L90, N87:N90)</f>
        <v>#VALUE!</v>
      </c>
      <c r="AO87" s="48" t="e">
        <f>bdrate($AC87:$AC90,AF87:AF90,$L87:$L90, O87:O90)</f>
        <v>#VALUE!</v>
      </c>
      <c r="AP87" s="42" t="e">
        <f>bdrateOld($AC87:$AC90,AD87:AD90,$L87:$L90, M87:M90)</f>
        <v>#VALUE!</v>
      </c>
      <c r="AQ87" s="47" t="e">
        <f>bdrateOld($AC87:$AC90,AE87:AE90,$L87:$L90, N87:N90)</f>
        <v>#VALUE!</v>
      </c>
      <c r="AR87" s="48" t="e">
        <f>bdrateOld($AC87:$AC90,AF87:AF90,$L87:$L90, O87:O90)</f>
        <v>#VALUE!</v>
      </c>
    </row>
    <row r="88" spans="1:44" x14ac:dyDescent="0.2">
      <c r="A88" s="16"/>
      <c r="B88" s="16"/>
      <c r="C88" s="16">
        <v>27</v>
      </c>
      <c r="D88" s="17">
        <f>TM!B398</f>
        <v>0</v>
      </c>
      <c r="E88" s="18">
        <f>TM!C398</f>
        <v>0</v>
      </c>
      <c r="F88" s="18">
        <f>TM!D398</f>
        <v>0</v>
      </c>
      <c r="G88" s="18">
        <f>TM!E398</f>
        <v>0</v>
      </c>
      <c r="H88" s="18">
        <f>TM!F398</f>
        <v>0</v>
      </c>
      <c r="I88" s="18">
        <f>TM!G398</f>
        <v>0</v>
      </c>
      <c r="J88" s="19">
        <f t="shared" si="6"/>
        <v>0</v>
      </c>
      <c r="L88" s="17">
        <f>Test!B398</f>
        <v>0</v>
      </c>
      <c r="M88" s="18">
        <f>Test!C398</f>
        <v>0</v>
      </c>
      <c r="N88" s="18">
        <f>Test!D398</f>
        <v>0</v>
      </c>
      <c r="O88" s="18">
        <f>Test!E398</f>
        <v>0</v>
      </c>
      <c r="P88" s="18">
        <f>Test!F398</f>
        <v>0</v>
      </c>
      <c r="Q88" s="18">
        <f>Test!G398</f>
        <v>0</v>
      </c>
      <c r="R88" s="19">
        <f t="shared" si="11"/>
        <v>0</v>
      </c>
      <c r="S88" s="18" t="e">
        <f t="shared" si="13"/>
        <v>#DIV/0!</v>
      </c>
      <c r="T88" s="18" t="e">
        <f t="shared" si="13"/>
        <v>#DIV/0!</v>
      </c>
      <c r="U88" s="60"/>
      <c r="V88" s="43"/>
      <c r="W88" s="26"/>
      <c r="X88" s="26"/>
      <c r="Y88" s="43"/>
      <c r="Z88" s="26"/>
      <c r="AA88" s="55"/>
      <c r="AB88" s="20"/>
      <c r="AC88" s="17">
        <f>BMS!B398</f>
        <v>0</v>
      </c>
      <c r="AD88" s="18">
        <f>BMS!C398</f>
        <v>0</v>
      </c>
      <c r="AE88" s="18">
        <f>BMS!D398</f>
        <v>0</v>
      </c>
      <c r="AF88" s="18">
        <f>BMS!E398</f>
        <v>0</v>
      </c>
      <c r="AG88" s="18">
        <f>BMS!F398</f>
        <v>0</v>
      </c>
      <c r="AH88" s="18">
        <f>BMS!G398</f>
        <v>0</v>
      </c>
      <c r="AI88" s="19">
        <f t="shared" si="12"/>
        <v>0</v>
      </c>
      <c r="AJ88" s="18" t="e">
        <f t="shared" si="9"/>
        <v>#DIV/0!</v>
      </c>
      <c r="AK88" s="18" t="e">
        <f t="shared" si="10"/>
        <v>#DIV/0!</v>
      </c>
      <c r="AL88" s="20"/>
      <c r="AM88" s="43"/>
      <c r="AN88" s="26"/>
      <c r="AO88" s="55"/>
      <c r="AP88" s="43"/>
      <c r="AQ88" s="26"/>
      <c r="AR88" s="55"/>
    </row>
    <row r="89" spans="1:44" x14ac:dyDescent="0.2">
      <c r="A89" s="16"/>
      <c r="B89" s="16"/>
      <c r="C89" s="16">
        <v>32</v>
      </c>
      <c r="D89" s="17">
        <f>TM!B399</f>
        <v>0</v>
      </c>
      <c r="E89" s="18">
        <f>TM!C399</f>
        <v>0</v>
      </c>
      <c r="F89" s="18">
        <f>TM!D399</f>
        <v>0</v>
      </c>
      <c r="G89" s="18">
        <f>TM!E399</f>
        <v>0</v>
      </c>
      <c r="H89" s="18">
        <f>TM!F399</f>
        <v>0</v>
      </c>
      <c r="I89" s="18">
        <f>TM!G399</f>
        <v>0</v>
      </c>
      <c r="J89" s="19">
        <f t="shared" si="6"/>
        <v>0</v>
      </c>
      <c r="L89" s="17">
        <f>Test!B399</f>
        <v>0</v>
      </c>
      <c r="M89" s="18">
        <f>Test!C399</f>
        <v>0</v>
      </c>
      <c r="N89" s="18">
        <f>Test!D399</f>
        <v>0</v>
      </c>
      <c r="O89" s="18">
        <f>Test!E399</f>
        <v>0</v>
      </c>
      <c r="P89" s="18">
        <f>Test!F399</f>
        <v>0</v>
      </c>
      <c r="Q89" s="18">
        <f>Test!G399</f>
        <v>0</v>
      </c>
      <c r="R89" s="19">
        <f t="shared" si="11"/>
        <v>0</v>
      </c>
      <c r="S89" s="18" t="e">
        <f t="shared" si="13"/>
        <v>#DIV/0!</v>
      </c>
      <c r="T89" s="18" t="e">
        <f t="shared" si="13"/>
        <v>#DIV/0!</v>
      </c>
      <c r="U89" s="60"/>
      <c r="V89" s="43"/>
      <c r="W89" s="26"/>
      <c r="X89" s="26"/>
      <c r="Y89" s="43"/>
      <c r="Z89" s="26"/>
      <c r="AA89" s="55"/>
      <c r="AB89" s="20"/>
      <c r="AC89" s="17">
        <f>BMS!B399</f>
        <v>0</v>
      </c>
      <c r="AD89" s="18">
        <f>BMS!C399</f>
        <v>0</v>
      </c>
      <c r="AE89" s="18">
        <f>BMS!D399</f>
        <v>0</v>
      </c>
      <c r="AF89" s="18">
        <f>BMS!E399</f>
        <v>0</v>
      </c>
      <c r="AG89" s="18">
        <f>BMS!F399</f>
        <v>0</v>
      </c>
      <c r="AH89" s="18">
        <f>BMS!G399</f>
        <v>0</v>
      </c>
      <c r="AI89" s="19">
        <f t="shared" si="12"/>
        <v>0</v>
      </c>
      <c r="AJ89" s="18" t="e">
        <f t="shared" si="9"/>
        <v>#DIV/0!</v>
      </c>
      <c r="AK89" s="18" t="e">
        <f t="shared" si="10"/>
        <v>#DIV/0!</v>
      </c>
      <c r="AL89" s="20"/>
      <c r="AM89" s="43"/>
      <c r="AN89" s="26"/>
      <c r="AO89" s="55"/>
      <c r="AP89" s="43"/>
      <c r="AQ89" s="26"/>
      <c r="AR89" s="55"/>
    </row>
    <row r="90" spans="1:44" ht="12.75" thickBot="1" x14ac:dyDescent="0.25">
      <c r="A90" s="21"/>
      <c r="B90" s="21"/>
      <c r="C90" s="21">
        <v>37</v>
      </c>
      <c r="D90" s="22">
        <f>TM!B400</f>
        <v>0</v>
      </c>
      <c r="E90" s="23">
        <f>TM!C400</f>
        <v>0</v>
      </c>
      <c r="F90" s="23">
        <f>TM!D400</f>
        <v>0</v>
      </c>
      <c r="G90" s="23">
        <f>TM!E400</f>
        <v>0</v>
      </c>
      <c r="H90" s="23">
        <f>TM!F400</f>
        <v>0</v>
      </c>
      <c r="I90" s="23">
        <f>TM!G400</f>
        <v>0</v>
      </c>
      <c r="J90" s="24">
        <f t="shared" si="6"/>
        <v>0</v>
      </c>
      <c r="L90" s="22">
        <f>Test!B400</f>
        <v>0</v>
      </c>
      <c r="M90" s="23">
        <f>Test!C400</f>
        <v>0</v>
      </c>
      <c r="N90" s="23">
        <f>Test!D400</f>
        <v>0</v>
      </c>
      <c r="O90" s="23">
        <f>Test!E400</f>
        <v>0</v>
      </c>
      <c r="P90" s="23">
        <f>Test!F400</f>
        <v>0</v>
      </c>
      <c r="Q90" s="23">
        <f>Test!G400</f>
        <v>0</v>
      </c>
      <c r="R90" s="24">
        <f t="shared" si="11"/>
        <v>0</v>
      </c>
      <c r="S90" s="18" t="e">
        <f t="shared" si="13"/>
        <v>#DIV/0!</v>
      </c>
      <c r="T90" s="18" t="e">
        <f t="shared" si="13"/>
        <v>#DIV/0!</v>
      </c>
      <c r="U90" s="60"/>
      <c r="V90" s="44"/>
      <c r="W90" s="56"/>
      <c r="X90" s="56"/>
      <c r="Y90" s="44"/>
      <c r="Z90" s="56"/>
      <c r="AA90" s="57"/>
      <c r="AB90" s="20"/>
      <c r="AC90" s="22">
        <f>BMS!B400</f>
        <v>0</v>
      </c>
      <c r="AD90" s="23">
        <f>BMS!C400</f>
        <v>0</v>
      </c>
      <c r="AE90" s="23">
        <f>BMS!D400</f>
        <v>0</v>
      </c>
      <c r="AF90" s="23">
        <f>BMS!E400</f>
        <v>0</v>
      </c>
      <c r="AG90" s="23">
        <f>BMS!F400</f>
        <v>0</v>
      </c>
      <c r="AH90" s="23">
        <f>BMS!G400</f>
        <v>0</v>
      </c>
      <c r="AI90" s="24">
        <f t="shared" si="12"/>
        <v>0</v>
      </c>
      <c r="AJ90" s="18" t="e">
        <f t="shared" si="9"/>
        <v>#DIV/0!</v>
      </c>
      <c r="AK90" s="18" t="e">
        <f t="shared" si="10"/>
        <v>#DIV/0!</v>
      </c>
      <c r="AL90" s="20"/>
      <c r="AM90" s="44"/>
      <c r="AN90" s="56"/>
      <c r="AO90" s="57"/>
      <c r="AP90" s="44"/>
      <c r="AQ90" s="56"/>
      <c r="AR90" s="57"/>
    </row>
    <row r="91" spans="1:44" x14ac:dyDescent="0.2">
      <c r="A91" s="35" t="s">
        <v>54</v>
      </c>
      <c r="B91" s="35" t="s">
        <v>64</v>
      </c>
      <c r="C91" s="35">
        <v>22</v>
      </c>
      <c r="D91" s="12">
        <f>TM!B401</f>
        <v>0</v>
      </c>
      <c r="E91" s="13">
        <f>TM!C401</f>
        <v>0</v>
      </c>
      <c r="F91" s="13">
        <f>TM!D401</f>
        <v>0</v>
      </c>
      <c r="G91" s="13">
        <f>TM!E401</f>
        <v>0</v>
      </c>
      <c r="H91" s="13">
        <f>TM!F401</f>
        <v>0</v>
      </c>
      <c r="I91" s="13">
        <f>TM!G401</f>
        <v>0</v>
      </c>
      <c r="J91" s="14">
        <f t="shared" si="6"/>
        <v>0</v>
      </c>
      <c r="L91" s="12">
        <f>Test!B401</f>
        <v>0</v>
      </c>
      <c r="M91" s="13">
        <f>Test!C401</f>
        <v>0</v>
      </c>
      <c r="N91" s="13">
        <f>Test!D401</f>
        <v>0</v>
      </c>
      <c r="O91" s="13">
        <f>Test!E401</f>
        <v>0</v>
      </c>
      <c r="P91" s="13">
        <f>Test!F401</f>
        <v>0</v>
      </c>
      <c r="Q91" s="13">
        <f>Test!G401</f>
        <v>0</v>
      </c>
      <c r="R91" s="14">
        <f t="shared" si="11"/>
        <v>0</v>
      </c>
      <c r="S91" s="13" t="e">
        <f t="shared" si="13"/>
        <v>#DIV/0!</v>
      </c>
      <c r="T91" s="13" t="e">
        <f t="shared" si="13"/>
        <v>#DIV/0!</v>
      </c>
      <c r="U91" s="59"/>
      <c r="V91" s="42" t="e">
        <f>bdrate($D91:$D94,E91:E94,$L91:$L94,M91:M94)</f>
        <v>#VALUE!</v>
      </c>
      <c r="W91" s="47" t="e">
        <f>bdrate($D91:$D94,F91:F94,$L91:$L94,N91:N94)</f>
        <v>#VALUE!</v>
      </c>
      <c r="X91" s="48" t="e">
        <f>bdrate($D91:$D94,G91:G94,$L91:$L94,O91:O94)</f>
        <v>#VALUE!</v>
      </c>
      <c r="Y91" s="42" t="e">
        <f>bdrateOld($D91:$D94,E91:E94,$L91:$L94,M91:M94)</f>
        <v>#VALUE!</v>
      </c>
      <c r="Z91" s="47" t="e">
        <f>bdrateOld($D91:$D94,F91:F94,$L91:$L94,N91:N94)</f>
        <v>#VALUE!</v>
      </c>
      <c r="AA91" s="48" t="e">
        <f>bdrateOld($D91:$D94,G91:G94,$L91:$L94,O91:O94)</f>
        <v>#VALUE!</v>
      </c>
      <c r="AB91" s="54"/>
      <c r="AC91" s="12">
        <f>BMS!B401</f>
        <v>0</v>
      </c>
      <c r="AD91" s="13">
        <f>BMS!C401</f>
        <v>0</v>
      </c>
      <c r="AE91" s="13">
        <f>BMS!D401</f>
        <v>0</v>
      </c>
      <c r="AF91" s="13">
        <f>BMS!E401</f>
        <v>0</v>
      </c>
      <c r="AG91" s="13">
        <f>BMS!F401</f>
        <v>0</v>
      </c>
      <c r="AH91" s="13">
        <f>BMS!G401</f>
        <v>0</v>
      </c>
      <c r="AI91" s="14">
        <f t="shared" si="12"/>
        <v>0</v>
      </c>
      <c r="AJ91" s="13" t="e">
        <f t="shared" si="9"/>
        <v>#DIV/0!</v>
      </c>
      <c r="AK91" s="13" t="e">
        <f t="shared" si="10"/>
        <v>#DIV/0!</v>
      </c>
      <c r="AL91" s="54"/>
      <c r="AM91" s="42" t="e">
        <f>bdrate($AC91:$AC94,AD91:AD94,$L91:$L94, M91:M94)</f>
        <v>#VALUE!</v>
      </c>
      <c r="AN91" s="47" t="e">
        <f>bdrate($AC91:$AC94,AE91:AE94,$L91:$L94, N91:N94)</f>
        <v>#VALUE!</v>
      </c>
      <c r="AO91" s="48" t="e">
        <f>bdrate($AC91:$AC94,AF91:AF94,$L91:$L94, O91:O94)</f>
        <v>#VALUE!</v>
      </c>
      <c r="AP91" s="42" t="e">
        <f>bdrateOld($AC91:$AC94,AD91:AD94,$L91:$L94, M91:M94)</f>
        <v>#VALUE!</v>
      </c>
      <c r="AQ91" s="47" t="e">
        <f>bdrateOld($AC91:$AC94,AE91:AE94,$L91:$L94, N91:N94)</f>
        <v>#VALUE!</v>
      </c>
      <c r="AR91" s="48" t="e">
        <f>bdrateOld($AC91:$AC94,AF91:AF94,$L91:$L94, O91:O94)</f>
        <v>#VALUE!</v>
      </c>
    </row>
    <row r="92" spans="1:44" x14ac:dyDescent="0.2">
      <c r="A92" s="36"/>
      <c r="B92" s="36"/>
      <c r="C92" s="36">
        <v>27</v>
      </c>
      <c r="D92" s="17">
        <f>TM!B402</f>
        <v>0</v>
      </c>
      <c r="E92" s="18">
        <f>TM!C402</f>
        <v>0</v>
      </c>
      <c r="F92" s="18">
        <f>TM!D402</f>
        <v>0</v>
      </c>
      <c r="G92" s="18">
        <f>TM!E402</f>
        <v>0</v>
      </c>
      <c r="H92" s="18">
        <f>TM!F402</f>
        <v>0</v>
      </c>
      <c r="I92" s="18">
        <f>TM!G402</f>
        <v>0</v>
      </c>
      <c r="J92" s="19">
        <f t="shared" ref="J92:J106" si="14">H92/3600</f>
        <v>0</v>
      </c>
      <c r="L92" s="17">
        <f>Test!B402</f>
        <v>0</v>
      </c>
      <c r="M92" s="18">
        <f>Test!C402</f>
        <v>0</v>
      </c>
      <c r="N92" s="18">
        <f>Test!D402</f>
        <v>0</v>
      </c>
      <c r="O92" s="18">
        <f>Test!E402</f>
        <v>0</v>
      </c>
      <c r="P92" s="18">
        <f>Test!F402</f>
        <v>0</v>
      </c>
      <c r="Q92" s="18">
        <f>Test!G402</f>
        <v>0</v>
      </c>
      <c r="R92" s="19">
        <f t="shared" si="11"/>
        <v>0</v>
      </c>
      <c r="S92" s="18" t="e">
        <f t="shared" si="13"/>
        <v>#DIV/0!</v>
      </c>
      <c r="T92" s="18" t="e">
        <f t="shared" si="13"/>
        <v>#DIV/0!</v>
      </c>
      <c r="U92" s="60"/>
      <c r="V92" s="43"/>
      <c r="W92" s="26"/>
      <c r="X92" s="55"/>
      <c r="Y92" s="43"/>
      <c r="Z92" s="26"/>
      <c r="AA92" s="55"/>
      <c r="AB92" s="20"/>
      <c r="AC92" s="17">
        <f>BMS!B402</f>
        <v>0</v>
      </c>
      <c r="AD92" s="18">
        <f>BMS!C402</f>
        <v>0</v>
      </c>
      <c r="AE92" s="18">
        <f>BMS!D402</f>
        <v>0</v>
      </c>
      <c r="AF92" s="18">
        <f>BMS!E402</f>
        <v>0</v>
      </c>
      <c r="AG92" s="18">
        <f>BMS!F402</f>
        <v>0</v>
      </c>
      <c r="AH92" s="18">
        <f>BMS!G402</f>
        <v>0</v>
      </c>
      <c r="AI92" s="19">
        <f t="shared" si="12"/>
        <v>0</v>
      </c>
      <c r="AJ92" s="18" t="e">
        <f t="shared" si="9"/>
        <v>#DIV/0!</v>
      </c>
      <c r="AK92" s="18" t="e">
        <f t="shared" si="10"/>
        <v>#DIV/0!</v>
      </c>
      <c r="AL92" s="20"/>
      <c r="AM92" s="43"/>
      <c r="AN92" s="26"/>
      <c r="AO92" s="55"/>
      <c r="AP92" s="43"/>
      <c r="AQ92" s="26"/>
      <c r="AR92" s="55"/>
    </row>
    <row r="93" spans="1:44" x14ac:dyDescent="0.2">
      <c r="A93" s="36"/>
      <c r="B93" s="36"/>
      <c r="C93" s="36">
        <v>32</v>
      </c>
      <c r="D93" s="17">
        <f>TM!B403</f>
        <v>0</v>
      </c>
      <c r="E93" s="18">
        <f>TM!C403</f>
        <v>0</v>
      </c>
      <c r="F93" s="18">
        <f>TM!D403</f>
        <v>0</v>
      </c>
      <c r="G93" s="18">
        <f>TM!E403</f>
        <v>0</v>
      </c>
      <c r="H93" s="18">
        <f>TM!F403</f>
        <v>0</v>
      </c>
      <c r="I93" s="18">
        <f>TM!G403</f>
        <v>0</v>
      </c>
      <c r="J93" s="19">
        <f t="shared" si="14"/>
        <v>0</v>
      </c>
      <c r="L93" s="17">
        <f>Test!B403</f>
        <v>0</v>
      </c>
      <c r="M93" s="18">
        <f>Test!C403</f>
        <v>0</v>
      </c>
      <c r="N93" s="18">
        <f>Test!D403</f>
        <v>0</v>
      </c>
      <c r="O93" s="18">
        <f>Test!E403</f>
        <v>0</v>
      </c>
      <c r="P93" s="18">
        <f>Test!F403</f>
        <v>0</v>
      </c>
      <c r="Q93" s="18">
        <f>Test!G403</f>
        <v>0</v>
      </c>
      <c r="R93" s="19">
        <f t="shared" si="11"/>
        <v>0</v>
      </c>
      <c r="S93" s="18" t="e">
        <f t="shared" si="13"/>
        <v>#DIV/0!</v>
      </c>
      <c r="T93" s="18" t="e">
        <f t="shared" si="13"/>
        <v>#DIV/0!</v>
      </c>
      <c r="U93" s="60"/>
      <c r="V93" s="43"/>
      <c r="W93" s="26"/>
      <c r="X93" s="55"/>
      <c r="Y93" s="43"/>
      <c r="Z93" s="26"/>
      <c r="AA93" s="55"/>
      <c r="AB93" s="20"/>
      <c r="AC93" s="17">
        <f>BMS!B403</f>
        <v>0</v>
      </c>
      <c r="AD93" s="18">
        <f>BMS!C403</f>
        <v>0</v>
      </c>
      <c r="AE93" s="18">
        <f>BMS!D403</f>
        <v>0</v>
      </c>
      <c r="AF93" s="18">
        <f>BMS!E403</f>
        <v>0</v>
      </c>
      <c r="AG93" s="18">
        <f>BMS!F403</f>
        <v>0</v>
      </c>
      <c r="AH93" s="18">
        <f>BMS!G403</f>
        <v>0</v>
      </c>
      <c r="AI93" s="19">
        <f t="shared" si="12"/>
        <v>0</v>
      </c>
      <c r="AJ93" s="18" t="e">
        <f t="shared" si="9"/>
        <v>#DIV/0!</v>
      </c>
      <c r="AK93" s="18" t="e">
        <f t="shared" si="10"/>
        <v>#DIV/0!</v>
      </c>
      <c r="AL93" s="20"/>
      <c r="AM93" s="43"/>
      <c r="AN93" s="26"/>
      <c r="AO93" s="55"/>
      <c r="AP93" s="43"/>
      <c r="AQ93" s="26"/>
      <c r="AR93" s="55"/>
    </row>
    <row r="94" spans="1:44" ht="12.75" thickBot="1" x14ac:dyDescent="0.25">
      <c r="A94" s="36"/>
      <c r="B94" s="37"/>
      <c r="C94" s="37">
        <v>37</v>
      </c>
      <c r="D94" s="22">
        <f>TM!B404</f>
        <v>0</v>
      </c>
      <c r="E94" s="23">
        <f>TM!C404</f>
        <v>0</v>
      </c>
      <c r="F94" s="23">
        <f>TM!D404</f>
        <v>0</v>
      </c>
      <c r="G94" s="23">
        <f>TM!E404</f>
        <v>0</v>
      </c>
      <c r="H94" s="23">
        <f>TM!F404</f>
        <v>0</v>
      </c>
      <c r="I94" s="23">
        <f>TM!G404</f>
        <v>0</v>
      </c>
      <c r="J94" s="24">
        <f t="shared" si="14"/>
        <v>0</v>
      </c>
      <c r="L94" s="22">
        <f>Test!B404</f>
        <v>0</v>
      </c>
      <c r="M94" s="23">
        <f>Test!C404</f>
        <v>0</v>
      </c>
      <c r="N94" s="23">
        <f>Test!D404</f>
        <v>0</v>
      </c>
      <c r="O94" s="23">
        <f>Test!E404</f>
        <v>0</v>
      </c>
      <c r="P94" s="23">
        <f>Test!F404</f>
        <v>0</v>
      </c>
      <c r="Q94" s="23">
        <f>Test!G404</f>
        <v>0</v>
      </c>
      <c r="R94" s="24">
        <f t="shared" si="11"/>
        <v>0</v>
      </c>
      <c r="S94" s="18" t="e">
        <f t="shared" si="13"/>
        <v>#DIV/0!</v>
      </c>
      <c r="T94" s="18" t="e">
        <f t="shared" si="13"/>
        <v>#DIV/0!</v>
      </c>
      <c r="U94" s="60"/>
      <c r="V94" s="44"/>
      <c r="W94" s="56"/>
      <c r="X94" s="57"/>
      <c r="Y94" s="44"/>
      <c r="Z94" s="56"/>
      <c r="AA94" s="57"/>
      <c r="AB94" s="20"/>
      <c r="AC94" s="22">
        <f>BMS!B404</f>
        <v>0</v>
      </c>
      <c r="AD94" s="23">
        <f>BMS!C404</f>
        <v>0</v>
      </c>
      <c r="AE94" s="23">
        <f>BMS!D404</f>
        <v>0</v>
      </c>
      <c r="AF94" s="23">
        <f>BMS!E404</f>
        <v>0</v>
      </c>
      <c r="AG94" s="23">
        <f>BMS!F404</f>
        <v>0</v>
      </c>
      <c r="AH94" s="23">
        <f>BMS!G404</f>
        <v>0</v>
      </c>
      <c r="AI94" s="24">
        <f t="shared" si="12"/>
        <v>0</v>
      </c>
      <c r="AJ94" s="18" t="e">
        <f t="shared" si="9"/>
        <v>#DIV/0!</v>
      </c>
      <c r="AK94" s="18" t="e">
        <f t="shared" si="10"/>
        <v>#DIV/0!</v>
      </c>
      <c r="AL94" s="20"/>
      <c r="AM94" s="44"/>
      <c r="AN94" s="56"/>
      <c r="AO94" s="57"/>
      <c r="AP94" s="44"/>
      <c r="AQ94" s="56"/>
      <c r="AR94" s="57"/>
    </row>
    <row r="95" spans="1:44" x14ac:dyDescent="0.2">
      <c r="A95" s="36"/>
      <c r="B95" s="35" t="s">
        <v>65</v>
      </c>
      <c r="C95" s="35">
        <v>22</v>
      </c>
      <c r="D95" s="12">
        <f>TM!B405</f>
        <v>0</v>
      </c>
      <c r="E95" s="13">
        <f>TM!C405</f>
        <v>0</v>
      </c>
      <c r="F95" s="13">
        <f>TM!D405</f>
        <v>0</v>
      </c>
      <c r="G95" s="13">
        <f>TM!E405</f>
        <v>0</v>
      </c>
      <c r="H95" s="13">
        <f>TM!F405</f>
        <v>0</v>
      </c>
      <c r="I95" s="13">
        <f>TM!G405</f>
        <v>0</v>
      </c>
      <c r="J95" s="14">
        <f t="shared" si="14"/>
        <v>0</v>
      </c>
      <c r="L95" s="12">
        <f>Test!B405</f>
        <v>0</v>
      </c>
      <c r="M95" s="13">
        <f>Test!C405</f>
        <v>0</v>
      </c>
      <c r="N95" s="13">
        <f>Test!D405</f>
        <v>0</v>
      </c>
      <c r="O95" s="13">
        <f>Test!E405</f>
        <v>0</v>
      </c>
      <c r="P95" s="13">
        <f>Test!F405</f>
        <v>0</v>
      </c>
      <c r="Q95" s="13">
        <f>Test!G405</f>
        <v>0</v>
      </c>
      <c r="R95" s="14">
        <f t="shared" si="11"/>
        <v>0</v>
      </c>
      <c r="S95" s="18" t="e">
        <f t="shared" si="13"/>
        <v>#DIV/0!</v>
      </c>
      <c r="T95" s="18" t="e">
        <f t="shared" si="13"/>
        <v>#DIV/0!</v>
      </c>
      <c r="U95" s="60"/>
      <c r="V95" s="42" t="e">
        <f>bdrate($D95:$D98,E95:E98,$L95:$L98,M95:M98)</f>
        <v>#VALUE!</v>
      </c>
      <c r="W95" s="47" t="e">
        <f>bdrate($D95:$D98,F95:F98,$L95:$L98,N95:N98)</f>
        <v>#VALUE!</v>
      </c>
      <c r="X95" s="47" t="e">
        <f>bdrate($D95:$D98,G95:G98,$L95:$L98,O95:O98)</f>
        <v>#VALUE!</v>
      </c>
      <c r="Y95" s="45" t="e">
        <f>bdrateOld($D95:$D98,E95:E98,$L95:$L98,M95:M98)</f>
        <v>#VALUE!</v>
      </c>
      <c r="Z95" s="49" t="e">
        <f>bdrateOld($D95:$D98,F95:F98,$L95:$L98,N95:N98)</f>
        <v>#VALUE!</v>
      </c>
      <c r="AA95" s="50" t="e">
        <f>bdrateOld($D95:$D98,G95:G98,$L95:$L98,O95:O98)</f>
        <v>#VALUE!</v>
      </c>
      <c r="AB95" s="20"/>
      <c r="AC95" s="12">
        <f>BMS!B405</f>
        <v>0</v>
      </c>
      <c r="AD95" s="13">
        <f>BMS!C405</f>
        <v>0</v>
      </c>
      <c r="AE95" s="13">
        <f>BMS!D405</f>
        <v>0</v>
      </c>
      <c r="AF95" s="13">
        <f>BMS!E405</f>
        <v>0</v>
      </c>
      <c r="AG95" s="13">
        <f>BMS!F405</f>
        <v>0</v>
      </c>
      <c r="AH95" s="13">
        <f>BMS!G405</f>
        <v>0</v>
      </c>
      <c r="AI95" s="14">
        <f t="shared" si="12"/>
        <v>0</v>
      </c>
      <c r="AJ95" s="18" t="e">
        <f t="shared" si="9"/>
        <v>#DIV/0!</v>
      </c>
      <c r="AK95" s="18" t="e">
        <f t="shared" si="10"/>
        <v>#DIV/0!</v>
      </c>
      <c r="AL95" s="20"/>
      <c r="AM95" s="42" t="e">
        <f>bdrate($AC95:$AC98,AD95:AD98,$L95:$L98, M95:M98)</f>
        <v>#VALUE!</v>
      </c>
      <c r="AN95" s="47" t="e">
        <f>bdrate($AC95:$AC98,AE95:AE98,$L95:$L98, N95:N98)</f>
        <v>#VALUE!</v>
      </c>
      <c r="AO95" s="48" t="e">
        <f>bdrate($AC95:$AC98,AF95:AF98,$L95:$L98, O95:O98)</f>
        <v>#VALUE!</v>
      </c>
      <c r="AP95" s="42" t="e">
        <f>bdrateOld($AC95:$AC98,AD95:AD98,$L95:$L98, M95:M98)</f>
        <v>#VALUE!</v>
      </c>
      <c r="AQ95" s="47" t="e">
        <f>bdrateOld($AC95:$AC98,AE95:AE98,$L95:$L98, N95:N98)</f>
        <v>#VALUE!</v>
      </c>
      <c r="AR95" s="48" t="e">
        <f>bdrateOld($AC95:$AC98,AF95:AF98,$L95:$L98, O95:O98)</f>
        <v>#VALUE!</v>
      </c>
    </row>
    <row r="96" spans="1:44" x14ac:dyDescent="0.2">
      <c r="A96" s="36"/>
      <c r="B96" s="36"/>
      <c r="C96" s="36">
        <v>27</v>
      </c>
      <c r="D96" s="17">
        <f>TM!B406</f>
        <v>0</v>
      </c>
      <c r="E96" s="18">
        <f>TM!C406</f>
        <v>0</v>
      </c>
      <c r="F96" s="18">
        <f>TM!D406</f>
        <v>0</v>
      </c>
      <c r="G96" s="18">
        <f>TM!E406</f>
        <v>0</v>
      </c>
      <c r="H96" s="18">
        <f>TM!F406</f>
        <v>0</v>
      </c>
      <c r="I96" s="18">
        <f>TM!G406</f>
        <v>0</v>
      </c>
      <c r="J96" s="19">
        <f t="shared" si="14"/>
        <v>0</v>
      </c>
      <c r="L96" s="17">
        <f>Test!B406</f>
        <v>0</v>
      </c>
      <c r="M96" s="18">
        <f>Test!C406</f>
        <v>0</v>
      </c>
      <c r="N96" s="18">
        <f>Test!D406</f>
        <v>0</v>
      </c>
      <c r="O96" s="18">
        <f>Test!E406</f>
        <v>0</v>
      </c>
      <c r="P96" s="18">
        <f>Test!F406</f>
        <v>0</v>
      </c>
      <c r="Q96" s="18">
        <f>Test!G406</f>
        <v>0</v>
      </c>
      <c r="R96" s="19">
        <f t="shared" si="11"/>
        <v>0</v>
      </c>
      <c r="S96" s="18" t="e">
        <f t="shared" si="13"/>
        <v>#DIV/0!</v>
      </c>
      <c r="T96" s="18" t="e">
        <f t="shared" si="13"/>
        <v>#DIV/0!</v>
      </c>
      <c r="U96" s="60"/>
      <c r="V96" s="43"/>
      <c r="W96" s="26"/>
      <c r="X96" s="26"/>
      <c r="Y96" s="43"/>
      <c r="Z96" s="26"/>
      <c r="AA96" s="55"/>
      <c r="AB96" s="20"/>
      <c r="AC96" s="17">
        <f>BMS!B406</f>
        <v>0</v>
      </c>
      <c r="AD96" s="18">
        <f>BMS!C406</f>
        <v>0</v>
      </c>
      <c r="AE96" s="18">
        <f>BMS!D406</f>
        <v>0</v>
      </c>
      <c r="AF96" s="18">
        <f>BMS!E406</f>
        <v>0</v>
      </c>
      <c r="AG96" s="18">
        <f>BMS!F406</f>
        <v>0</v>
      </c>
      <c r="AH96" s="18">
        <f>BMS!G406</f>
        <v>0</v>
      </c>
      <c r="AI96" s="19">
        <f t="shared" si="12"/>
        <v>0</v>
      </c>
      <c r="AJ96" s="18" t="e">
        <f t="shared" si="9"/>
        <v>#DIV/0!</v>
      </c>
      <c r="AK96" s="18" t="e">
        <f t="shared" si="10"/>
        <v>#DIV/0!</v>
      </c>
      <c r="AL96" s="20"/>
      <c r="AM96" s="43"/>
      <c r="AN96" s="26"/>
      <c r="AO96" s="55"/>
      <c r="AP96" s="43"/>
      <c r="AQ96" s="26"/>
      <c r="AR96" s="55"/>
    </row>
    <row r="97" spans="1:44" x14ac:dyDescent="0.2">
      <c r="A97" s="36"/>
      <c r="B97" s="36"/>
      <c r="C97" s="36">
        <v>32</v>
      </c>
      <c r="D97" s="17">
        <f>TM!B407</f>
        <v>0</v>
      </c>
      <c r="E97" s="18">
        <f>TM!C407</f>
        <v>0</v>
      </c>
      <c r="F97" s="18">
        <f>TM!D407</f>
        <v>0</v>
      </c>
      <c r="G97" s="18">
        <f>TM!E407</f>
        <v>0</v>
      </c>
      <c r="H97" s="18">
        <f>TM!F407</f>
        <v>0</v>
      </c>
      <c r="I97" s="18">
        <f>TM!G407</f>
        <v>0</v>
      </c>
      <c r="J97" s="19">
        <f t="shared" si="14"/>
        <v>0</v>
      </c>
      <c r="L97" s="17">
        <f>Test!B407</f>
        <v>0</v>
      </c>
      <c r="M97" s="18">
        <f>Test!C407</f>
        <v>0</v>
      </c>
      <c r="N97" s="18">
        <f>Test!D407</f>
        <v>0</v>
      </c>
      <c r="O97" s="18">
        <f>Test!E407</f>
        <v>0</v>
      </c>
      <c r="P97" s="18">
        <f>Test!F407</f>
        <v>0</v>
      </c>
      <c r="Q97" s="18">
        <f>Test!G407</f>
        <v>0</v>
      </c>
      <c r="R97" s="19">
        <f t="shared" si="11"/>
        <v>0</v>
      </c>
      <c r="S97" s="18" t="e">
        <f t="shared" si="13"/>
        <v>#DIV/0!</v>
      </c>
      <c r="T97" s="18" t="e">
        <f t="shared" si="13"/>
        <v>#DIV/0!</v>
      </c>
      <c r="U97" s="60"/>
      <c r="V97" s="43"/>
      <c r="W97" s="26"/>
      <c r="X97" s="26"/>
      <c r="Y97" s="43"/>
      <c r="Z97" s="26"/>
      <c r="AA97" s="55"/>
      <c r="AB97" s="20"/>
      <c r="AC97" s="17">
        <f>BMS!B407</f>
        <v>0</v>
      </c>
      <c r="AD97" s="18">
        <f>BMS!C407</f>
        <v>0</v>
      </c>
      <c r="AE97" s="18">
        <f>BMS!D407</f>
        <v>0</v>
      </c>
      <c r="AF97" s="18">
        <f>BMS!E407</f>
        <v>0</v>
      </c>
      <c r="AG97" s="18">
        <f>BMS!F407</f>
        <v>0</v>
      </c>
      <c r="AH97" s="18">
        <f>BMS!G407</f>
        <v>0</v>
      </c>
      <c r="AI97" s="19">
        <f t="shared" si="12"/>
        <v>0</v>
      </c>
      <c r="AJ97" s="18" t="e">
        <f t="shared" si="9"/>
        <v>#DIV/0!</v>
      </c>
      <c r="AK97" s="18" t="e">
        <f t="shared" si="10"/>
        <v>#DIV/0!</v>
      </c>
      <c r="AL97" s="20"/>
      <c r="AM97" s="43"/>
      <c r="AN97" s="26"/>
      <c r="AO97" s="55"/>
      <c r="AP97" s="43"/>
      <c r="AQ97" s="26"/>
      <c r="AR97" s="55"/>
    </row>
    <row r="98" spans="1:44" ht="12.75" thickBot="1" x14ac:dyDescent="0.25">
      <c r="A98" s="36"/>
      <c r="B98" s="37"/>
      <c r="C98" s="37">
        <v>37</v>
      </c>
      <c r="D98" s="22">
        <f>TM!B408</f>
        <v>0</v>
      </c>
      <c r="E98" s="23">
        <f>TM!C408</f>
        <v>0</v>
      </c>
      <c r="F98" s="23">
        <f>TM!D408</f>
        <v>0</v>
      </c>
      <c r="G98" s="23">
        <f>TM!E408</f>
        <v>0</v>
      </c>
      <c r="H98" s="23">
        <f>TM!F408</f>
        <v>0</v>
      </c>
      <c r="I98" s="23">
        <f>TM!G408</f>
        <v>0</v>
      </c>
      <c r="J98" s="24">
        <f t="shared" si="14"/>
        <v>0</v>
      </c>
      <c r="L98" s="22">
        <f>Test!B408</f>
        <v>0</v>
      </c>
      <c r="M98" s="23">
        <f>Test!C408</f>
        <v>0</v>
      </c>
      <c r="N98" s="23">
        <f>Test!D408</f>
        <v>0</v>
      </c>
      <c r="O98" s="23">
        <f>Test!E408</f>
        <v>0</v>
      </c>
      <c r="P98" s="23">
        <f>Test!F408</f>
        <v>0</v>
      </c>
      <c r="Q98" s="23">
        <f>Test!G408</f>
        <v>0</v>
      </c>
      <c r="R98" s="24">
        <f t="shared" si="11"/>
        <v>0</v>
      </c>
      <c r="S98" s="18" t="e">
        <f t="shared" si="13"/>
        <v>#DIV/0!</v>
      </c>
      <c r="T98" s="18" t="e">
        <f t="shared" si="13"/>
        <v>#DIV/0!</v>
      </c>
      <c r="U98" s="60"/>
      <c r="V98" s="44"/>
      <c r="W98" s="56"/>
      <c r="X98" s="56"/>
      <c r="Y98" s="44"/>
      <c r="Z98" s="56"/>
      <c r="AA98" s="57"/>
      <c r="AB98" s="20"/>
      <c r="AC98" s="22">
        <f>BMS!B408</f>
        <v>0</v>
      </c>
      <c r="AD98" s="23">
        <f>BMS!C408</f>
        <v>0</v>
      </c>
      <c r="AE98" s="23">
        <f>BMS!D408</f>
        <v>0</v>
      </c>
      <c r="AF98" s="23">
        <f>BMS!E408</f>
        <v>0</v>
      </c>
      <c r="AG98" s="23">
        <f>BMS!F408</f>
        <v>0</v>
      </c>
      <c r="AH98" s="23">
        <f>BMS!G408</f>
        <v>0</v>
      </c>
      <c r="AI98" s="24">
        <f t="shared" si="12"/>
        <v>0</v>
      </c>
      <c r="AJ98" s="18" t="e">
        <f t="shared" si="9"/>
        <v>#DIV/0!</v>
      </c>
      <c r="AK98" s="18" t="e">
        <f t="shared" si="10"/>
        <v>#DIV/0!</v>
      </c>
      <c r="AL98" s="20"/>
      <c r="AM98" s="44"/>
      <c r="AN98" s="56"/>
      <c r="AO98" s="57"/>
      <c r="AP98" s="44"/>
      <c r="AQ98" s="56"/>
      <c r="AR98" s="57"/>
    </row>
    <row r="99" spans="1:44" x14ac:dyDescent="0.2">
      <c r="A99" s="36"/>
      <c r="B99" s="35" t="s">
        <v>66</v>
      </c>
      <c r="C99" s="35">
        <v>22</v>
      </c>
      <c r="D99" s="12">
        <f>TM!B409</f>
        <v>0</v>
      </c>
      <c r="E99" s="13">
        <f>TM!C409</f>
        <v>0</v>
      </c>
      <c r="F99" s="13">
        <f>TM!D409</f>
        <v>0</v>
      </c>
      <c r="G99" s="13">
        <f>TM!E409</f>
        <v>0</v>
      </c>
      <c r="H99" s="13">
        <f>TM!F409</f>
        <v>0</v>
      </c>
      <c r="I99" s="13">
        <f>TM!G409</f>
        <v>0</v>
      </c>
      <c r="J99" s="14">
        <f t="shared" si="14"/>
        <v>0</v>
      </c>
      <c r="L99" s="12">
        <f>Test!B409</f>
        <v>0</v>
      </c>
      <c r="M99" s="13">
        <f>Test!C409</f>
        <v>0</v>
      </c>
      <c r="N99" s="13">
        <f>Test!D409</f>
        <v>0</v>
      </c>
      <c r="O99" s="13">
        <f>Test!E409</f>
        <v>0</v>
      </c>
      <c r="P99" s="13">
        <f>Test!F409</f>
        <v>0</v>
      </c>
      <c r="Q99" s="13">
        <f>Test!G409</f>
        <v>0</v>
      </c>
      <c r="R99" s="14">
        <f t="shared" si="11"/>
        <v>0</v>
      </c>
      <c r="S99" s="18" t="e">
        <f t="shared" si="13"/>
        <v>#DIV/0!</v>
      </c>
      <c r="T99" s="18" t="e">
        <f t="shared" si="13"/>
        <v>#DIV/0!</v>
      </c>
      <c r="U99" s="60"/>
      <c r="V99" s="42" t="e">
        <f>bdrate($D99:$D102,E99:E102,$L99:$L102,M99:M102)</f>
        <v>#VALUE!</v>
      </c>
      <c r="W99" s="47" t="e">
        <f>bdrate($D99:$D102,F99:F102,$L99:$L102,N99:N102)</f>
        <v>#VALUE!</v>
      </c>
      <c r="X99" s="47" t="e">
        <f>bdrate($D99:$D102,G99:G102,$L99:$L102,O99:O102)</f>
        <v>#VALUE!</v>
      </c>
      <c r="Y99" s="45" t="e">
        <f>bdrateOld($D99:$D102,E99:E102,$L99:$L102,M99:M102)</f>
        <v>#VALUE!</v>
      </c>
      <c r="Z99" s="49" t="e">
        <f>bdrateOld($D99:$D102,F99:F102,$L99:$L102,N99:N102)</f>
        <v>#VALUE!</v>
      </c>
      <c r="AA99" s="50" t="e">
        <f>bdrateOld($D99:$D102,G99:G102,$L99:$L102,O99:O102)</f>
        <v>#VALUE!</v>
      </c>
      <c r="AB99" s="20"/>
      <c r="AC99" s="12">
        <f>BMS!B409</f>
        <v>0</v>
      </c>
      <c r="AD99" s="13">
        <f>BMS!C409</f>
        <v>0</v>
      </c>
      <c r="AE99" s="13">
        <f>BMS!D409</f>
        <v>0</v>
      </c>
      <c r="AF99" s="13">
        <f>BMS!E409</f>
        <v>0</v>
      </c>
      <c r="AG99" s="13">
        <f>BMS!F409</f>
        <v>0</v>
      </c>
      <c r="AH99" s="13">
        <f>BMS!G409</f>
        <v>0</v>
      </c>
      <c r="AI99" s="14">
        <f t="shared" si="12"/>
        <v>0</v>
      </c>
      <c r="AJ99" s="18" t="e">
        <f t="shared" si="9"/>
        <v>#DIV/0!</v>
      </c>
      <c r="AK99" s="18" t="e">
        <f t="shared" si="10"/>
        <v>#DIV/0!</v>
      </c>
      <c r="AL99" s="20"/>
      <c r="AM99" s="42" t="e">
        <f>bdrate($AC99:$AC102,AD99:AD102,$L99:$L102, M99:M102)</f>
        <v>#VALUE!</v>
      </c>
      <c r="AN99" s="47" t="e">
        <f>bdrate($AC99:$AC102,AE99:AE102,$L99:$L102, N99:N102)</f>
        <v>#VALUE!</v>
      </c>
      <c r="AO99" s="48" t="e">
        <f>bdrate($AC99:$AC102,AF99:AF102,$L99:$L102, O99:O102)</f>
        <v>#VALUE!</v>
      </c>
      <c r="AP99" s="42" t="e">
        <f>bdrateOld($AC99:$AC102,AD99:AD102,$L99:$L102, M99:M102)</f>
        <v>#VALUE!</v>
      </c>
      <c r="AQ99" s="47" t="e">
        <f>bdrateOld($AC99:$AC102,AE99:AE102,$L99:$L102, N99:N102)</f>
        <v>#VALUE!</v>
      </c>
      <c r="AR99" s="48" t="e">
        <f>bdrateOld($AC99:$AC102,AF99:AF102,$L99:$L102, O99:O102)</f>
        <v>#VALUE!</v>
      </c>
    </row>
    <row r="100" spans="1:44" x14ac:dyDescent="0.2">
      <c r="A100" s="36"/>
      <c r="B100" s="36"/>
      <c r="C100" s="36">
        <v>27</v>
      </c>
      <c r="D100" s="17">
        <f>TM!B410</f>
        <v>0</v>
      </c>
      <c r="E100" s="18">
        <f>TM!C410</f>
        <v>0</v>
      </c>
      <c r="F100" s="18">
        <f>TM!D410</f>
        <v>0</v>
      </c>
      <c r="G100" s="18">
        <f>TM!E410</f>
        <v>0</v>
      </c>
      <c r="H100" s="18">
        <f>TM!F410</f>
        <v>0</v>
      </c>
      <c r="I100" s="18">
        <f>TM!G410</f>
        <v>0</v>
      </c>
      <c r="J100" s="19">
        <f t="shared" si="14"/>
        <v>0</v>
      </c>
      <c r="L100" s="17">
        <f>Test!B410</f>
        <v>0</v>
      </c>
      <c r="M100" s="18">
        <f>Test!C410</f>
        <v>0</v>
      </c>
      <c r="N100" s="18">
        <f>Test!D410</f>
        <v>0</v>
      </c>
      <c r="O100" s="18">
        <f>Test!E410</f>
        <v>0</v>
      </c>
      <c r="P100" s="18">
        <f>Test!F410</f>
        <v>0</v>
      </c>
      <c r="Q100" s="18">
        <f>Test!G410</f>
        <v>0</v>
      </c>
      <c r="R100" s="19">
        <f t="shared" si="11"/>
        <v>0</v>
      </c>
      <c r="S100" s="18" t="e">
        <f t="shared" si="13"/>
        <v>#DIV/0!</v>
      </c>
      <c r="T100" s="18" t="e">
        <f t="shared" si="13"/>
        <v>#DIV/0!</v>
      </c>
      <c r="U100" s="60"/>
      <c r="V100" s="43"/>
      <c r="W100" s="26"/>
      <c r="X100" s="26"/>
      <c r="Y100" s="43"/>
      <c r="Z100" s="26"/>
      <c r="AA100" s="55"/>
      <c r="AB100" s="20"/>
      <c r="AC100" s="17">
        <f>BMS!B410</f>
        <v>0</v>
      </c>
      <c r="AD100" s="18">
        <f>BMS!C410</f>
        <v>0</v>
      </c>
      <c r="AE100" s="18">
        <f>BMS!D410</f>
        <v>0</v>
      </c>
      <c r="AF100" s="18">
        <f>BMS!E410</f>
        <v>0</v>
      </c>
      <c r="AG100" s="18">
        <f>BMS!F410</f>
        <v>0</v>
      </c>
      <c r="AH100" s="18">
        <f>BMS!G410</f>
        <v>0</v>
      </c>
      <c r="AI100" s="19">
        <f t="shared" si="12"/>
        <v>0</v>
      </c>
      <c r="AJ100" s="18" t="e">
        <f t="shared" si="9"/>
        <v>#DIV/0!</v>
      </c>
      <c r="AK100" s="18" t="e">
        <f t="shared" si="10"/>
        <v>#DIV/0!</v>
      </c>
      <c r="AL100" s="20"/>
      <c r="AM100" s="43"/>
      <c r="AN100" s="26"/>
      <c r="AO100" s="55"/>
      <c r="AP100" s="43"/>
      <c r="AQ100" s="26"/>
      <c r="AR100" s="55"/>
    </row>
    <row r="101" spans="1:44" x14ac:dyDescent="0.2">
      <c r="A101" s="36"/>
      <c r="B101" s="36"/>
      <c r="C101" s="36">
        <v>32</v>
      </c>
      <c r="D101" s="17">
        <f>TM!B411</f>
        <v>0</v>
      </c>
      <c r="E101" s="18">
        <f>TM!C411</f>
        <v>0</v>
      </c>
      <c r="F101" s="18">
        <f>TM!D411</f>
        <v>0</v>
      </c>
      <c r="G101" s="18">
        <f>TM!E411</f>
        <v>0</v>
      </c>
      <c r="H101" s="18">
        <f>TM!F411</f>
        <v>0</v>
      </c>
      <c r="I101" s="18">
        <f>TM!G411</f>
        <v>0</v>
      </c>
      <c r="J101" s="19">
        <f t="shared" si="14"/>
        <v>0</v>
      </c>
      <c r="L101" s="17">
        <f>Test!B411</f>
        <v>0</v>
      </c>
      <c r="M101" s="18">
        <f>Test!C411</f>
        <v>0</v>
      </c>
      <c r="N101" s="18">
        <f>Test!D411</f>
        <v>0</v>
      </c>
      <c r="O101" s="18">
        <f>Test!E411</f>
        <v>0</v>
      </c>
      <c r="P101" s="18">
        <f>Test!F411</f>
        <v>0</v>
      </c>
      <c r="Q101" s="18">
        <f>Test!G411</f>
        <v>0</v>
      </c>
      <c r="R101" s="19">
        <f t="shared" si="11"/>
        <v>0</v>
      </c>
      <c r="S101" s="18" t="e">
        <f t="shared" si="13"/>
        <v>#DIV/0!</v>
      </c>
      <c r="T101" s="18" t="e">
        <f t="shared" si="13"/>
        <v>#DIV/0!</v>
      </c>
      <c r="U101" s="60"/>
      <c r="V101" s="43"/>
      <c r="W101" s="26"/>
      <c r="X101" s="26"/>
      <c r="Y101" s="43"/>
      <c r="Z101" s="26"/>
      <c r="AA101" s="55"/>
      <c r="AB101" s="20"/>
      <c r="AC101" s="17">
        <f>BMS!B411</f>
        <v>0</v>
      </c>
      <c r="AD101" s="18">
        <f>BMS!C411</f>
        <v>0</v>
      </c>
      <c r="AE101" s="18">
        <f>BMS!D411</f>
        <v>0</v>
      </c>
      <c r="AF101" s="18">
        <f>BMS!E411</f>
        <v>0</v>
      </c>
      <c r="AG101" s="18">
        <f>BMS!F411</f>
        <v>0</v>
      </c>
      <c r="AH101" s="18">
        <f>BMS!G411</f>
        <v>0</v>
      </c>
      <c r="AI101" s="19">
        <f t="shared" si="12"/>
        <v>0</v>
      </c>
      <c r="AJ101" s="18" t="e">
        <f t="shared" si="9"/>
        <v>#DIV/0!</v>
      </c>
      <c r="AK101" s="18" t="e">
        <f t="shared" si="10"/>
        <v>#DIV/0!</v>
      </c>
      <c r="AL101" s="20"/>
      <c r="AM101" s="43"/>
      <c r="AN101" s="26"/>
      <c r="AO101" s="55"/>
      <c r="AP101" s="43"/>
      <c r="AQ101" s="26"/>
      <c r="AR101" s="55"/>
    </row>
    <row r="102" spans="1:44" ht="12.75" thickBot="1" x14ac:dyDescent="0.25">
      <c r="A102" s="36"/>
      <c r="B102" s="37"/>
      <c r="C102" s="37">
        <v>37</v>
      </c>
      <c r="D102" s="22">
        <f>TM!B412</f>
        <v>0</v>
      </c>
      <c r="E102" s="23">
        <f>TM!C412</f>
        <v>0</v>
      </c>
      <c r="F102" s="23">
        <f>TM!D412</f>
        <v>0</v>
      </c>
      <c r="G102" s="23">
        <f>TM!E412</f>
        <v>0</v>
      </c>
      <c r="H102" s="23">
        <f>TM!F412</f>
        <v>0</v>
      </c>
      <c r="I102" s="23">
        <f>TM!G412</f>
        <v>0</v>
      </c>
      <c r="J102" s="24">
        <f t="shared" si="14"/>
        <v>0</v>
      </c>
      <c r="L102" s="22">
        <f>Test!B412</f>
        <v>0</v>
      </c>
      <c r="M102" s="23">
        <f>Test!C412</f>
        <v>0</v>
      </c>
      <c r="N102" s="23">
        <f>Test!D412</f>
        <v>0</v>
      </c>
      <c r="O102" s="23">
        <f>Test!E412</f>
        <v>0</v>
      </c>
      <c r="P102" s="23">
        <f>Test!F412</f>
        <v>0</v>
      </c>
      <c r="Q102" s="23">
        <f>Test!G412</f>
        <v>0</v>
      </c>
      <c r="R102" s="24">
        <f t="shared" si="11"/>
        <v>0</v>
      </c>
      <c r="S102" s="18" t="e">
        <f t="shared" si="13"/>
        <v>#DIV/0!</v>
      </c>
      <c r="T102" s="18" t="e">
        <f t="shared" si="13"/>
        <v>#DIV/0!</v>
      </c>
      <c r="U102" s="60"/>
      <c r="V102" s="44"/>
      <c r="W102" s="56"/>
      <c r="X102" s="56"/>
      <c r="Y102" s="44"/>
      <c r="Z102" s="56"/>
      <c r="AA102" s="57"/>
      <c r="AB102" s="20"/>
      <c r="AC102" s="22">
        <f>BMS!B412</f>
        <v>0</v>
      </c>
      <c r="AD102" s="23">
        <f>BMS!C412</f>
        <v>0</v>
      </c>
      <c r="AE102" s="23">
        <f>BMS!D412</f>
        <v>0</v>
      </c>
      <c r="AF102" s="23">
        <f>BMS!E412</f>
        <v>0</v>
      </c>
      <c r="AG102" s="23">
        <f>BMS!F412</f>
        <v>0</v>
      </c>
      <c r="AH102" s="23">
        <f>BMS!G412</f>
        <v>0</v>
      </c>
      <c r="AI102" s="24">
        <f t="shared" si="12"/>
        <v>0</v>
      </c>
      <c r="AJ102" s="18" t="e">
        <f t="shared" si="9"/>
        <v>#DIV/0!</v>
      </c>
      <c r="AK102" s="18" t="e">
        <f t="shared" si="10"/>
        <v>#DIV/0!</v>
      </c>
      <c r="AL102" s="20"/>
      <c r="AM102" s="44"/>
      <c r="AN102" s="56"/>
      <c r="AO102" s="57"/>
      <c r="AP102" s="44"/>
      <c r="AQ102" s="56"/>
      <c r="AR102" s="57"/>
    </row>
    <row r="103" spans="1:44" x14ac:dyDescent="0.2">
      <c r="A103" s="36"/>
      <c r="B103" s="35" t="s">
        <v>67</v>
      </c>
      <c r="C103" s="35">
        <v>22</v>
      </c>
      <c r="D103" s="12">
        <f>TM!B413</f>
        <v>0</v>
      </c>
      <c r="E103" s="13">
        <f>TM!C413</f>
        <v>0</v>
      </c>
      <c r="F103" s="13">
        <f>TM!D413</f>
        <v>0</v>
      </c>
      <c r="G103" s="13">
        <f>TM!E413</f>
        <v>0</v>
      </c>
      <c r="H103" s="13">
        <f>TM!F413</f>
        <v>0</v>
      </c>
      <c r="I103" s="13">
        <f>TM!G413</f>
        <v>0</v>
      </c>
      <c r="J103" s="14">
        <f t="shared" si="14"/>
        <v>0</v>
      </c>
      <c r="L103" s="12">
        <f>Test!B413</f>
        <v>0</v>
      </c>
      <c r="M103" s="13">
        <f>Test!C413</f>
        <v>0</v>
      </c>
      <c r="N103" s="13">
        <f>Test!D413</f>
        <v>0</v>
      </c>
      <c r="O103" s="13">
        <f>Test!E413</f>
        <v>0</v>
      </c>
      <c r="P103" s="13">
        <f>Test!F413</f>
        <v>0</v>
      </c>
      <c r="Q103" s="13">
        <f>Test!G413</f>
        <v>0</v>
      </c>
      <c r="R103" s="14">
        <f t="shared" si="11"/>
        <v>0</v>
      </c>
      <c r="S103" s="18" t="e">
        <f t="shared" si="13"/>
        <v>#DIV/0!</v>
      </c>
      <c r="T103" s="18" t="e">
        <f t="shared" si="13"/>
        <v>#DIV/0!</v>
      </c>
      <c r="U103" s="60"/>
      <c r="V103" s="42" t="e">
        <f>bdrate($D103:$D106,E103:E106,$L103:$L106,M103:M106)</f>
        <v>#VALUE!</v>
      </c>
      <c r="W103" s="47" t="e">
        <f>bdrate($D103:$D106,F103:F106,$L103:$L106,N103:N106)</f>
        <v>#VALUE!</v>
      </c>
      <c r="X103" s="47" t="e">
        <f>bdrate($D103:$D106,G103:G106,$L103:$L106,O103:O106)</f>
        <v>#VALUE!</v>
      </c>
      <c r="Y103" s="45" t="e">
        <f>bdrateOld($D103:$D106,E103:E106,$L103:$L106,M103:M106)</f>
        <v>#VALUE!</v>
      </c>
      <c r="Z103" s="49" t="e">
        <f>bdrateOld($D103:$D106,F103:F106,$L103:$L106,N103:N106)</f>
        <v>#VALUE!</v>
      </c>
      <c r="AA103" s="50" t="e">
        <f>bdrateOld($D103:$D106,G103:G106,$L103:$L106,O103:O106)</f>
        <v>#VALUE!</v>
      </c>
      <c r="AB103" s="20"/>
      <c r="AC103" s="12">
        <f>BMS!B413</f>
        <v>0</v>
      </c>
      <c r="AD103" s="13">
        <f>BMS!C413</f>
        <v>0</v>
      </c>
      <c r="AE103" s="13">
        <f>BMS!D413</f>
        <v>0</v>
      </c>
      <c r="AF103" s="13">
        <f>BMS!E413</f>
        <v>0</v>
      </c>
      <c r="AG103" s="13">
        <f>BMS!F413</f>
        <v>0</v>
      </c>
      <c r="AH103" s="13">
        <f>BMS!G413</f>
        <v>0</v>
      </c>
      <c r="AI103" s="14">
        <f t="shared" si="12"/>
        <v>0</v>
      </c>
      <c r="AJ103" s="18" t="e">
        <f t="shared" si="9"/>
        <v>#DIV/0!</v>
      </c>
      <c r="AK103" s="18" t="e">
        <f t="shared" si="10"/>
        <v>#DIV/0!</v>
      </c>
      <c r="AL103" s="20"/>
      <c r="AM103" s="42" t="e">
        <f>bdrate($AC103:$AC106,AD103:AD106,$L103:$L106, M103:M106)</f>
        <v>#VALUE!</v>
      </c>
      <c r="AN103" s="47" t="e">
        <f>bdrate($AC103:$AC106,AE103:AE106,$L103:$L106, N103:N106)</f>
        <v>#VALUE!</v>
      </c>
      <c r="AO103" s="48" t="e">
        <f>bdrate($AC103:$AC106,AF103:AF106,$L103:$L106, O103:O106)</f>
        <v>#VALUE!</v>
      </c>
      <c r="AP103" s="42" t="e">
        <f>bdrateOld($AC103:$AC106,AD103:AD106,$L103:$L106, M103:M106)</f>
        <v>#VALUE!</v>
      </c>
      <c r="AQ103" s="47" t="e">
        <f>bdrateOld($AC103:$AC106,AE103:AE106,$L103:$L106, N103:N106)</f>
        <v>#VALUE!</v>
      </c>
      <c r="AR103" s="48" t="e">
        <f>bdrateOld($AC103:$AC106,AF103:AF106,$L103:$L106, O103:O106)</f>
        <v>#VALUE!</v>
      </c>
    </row>
    <row r="104" spans="1:44" x14ac:dyDescent="0.2">
      <c r="A104" s="36"/>
      <c r="B104" s="36"/>
      <c r="C104" s="36">
        <v>27</v>
      </c>
      <c r="D104" s="17">
        <f>TM!B414</f>
        <v>0</v>
      </c>
      <c r="E104" s="18">
        <f>TM!C414</f>
        <v>0</v>
      </c>
      <c r="F104" s="18">
        <f>TM!D414</f>
        <v>0</v>
      </c>
      <c r="G104" s="18">
        <f>TM!E414</f>
        <v>0</v>
      </c>
      <c r="H104" s="18">
        <f>TM!F414</f>
        <v>0</v>
      </c>
      <c r="I104" s="18">
        <f>TM!G414</f>
        <v>0</v>
      </c>
      <c r="J104" s="19">
        <f t="shared" si="14"/>
        <v>0</v>
      </c>
      <c r="L104" s="17">
        <f>Test!B414</f>
        <v>0</v>
      </c>
      <c r="M104" s="18">
        <f>Test!C414</f>
        <v>0</v>
      </c>
      <c r="N104" s="18">
        <f>Test!D414</f>
        <v>0</v>
      </c>
      <c r="O104" s="18">
        <f>Test!E414</f>
        <v>0</v>
      </c>
      <c r="P104" s="18">
        <f>Test!F414</f>
        <v>0</v>
      </c>
      <c r="Q104" s="18">
        <f>Test!G414</f>
        <v>0</v>
      </c>
      <c r="R104" s="19">
        <f t="shared" si="11"/>
        <v>0</v>
      </c>
      <c r="S104" s="18" t="e">
        <f t="shared" si="13"/>
        <v>#DIV/0!</v>
      </c>
      <c r="T104" s="18" t="e">
        <f t="shared" si="13"/>
        <v>#DIV/0!</v>
      </c>
      <c r="U104" s="60"/>
      <c r="V104" s="43"/>
      <c r="W104" s="26"/>
      <c r="X104" s="26"/>
      <c r="Y104" s="43"/>
      <c r="Z104" s="26"/>
      <c r="AA104" s="55"/>
      <c r="AB104" s="20"/>
      <c r="AC104" s="17">
        <f>BMS!B414</f>
        <v>0</v>
      </c>
      <c r="AD104" s="18">
        <f>BMS!C414</f>
        <v>0</v>
      </c>
      <c r="AE104" s="18">
        <f>BMS!D414</f>
        <v>0</v>
      </c>
      <c r="AF104" s="18">
        <f>BMS!E414</f>
        <v>0</v>
      </c>
      <c r="AG104" s="18">
        <f>BMS!F414</f>
        <v>0</v>
      </c>
      <c r="AH104" s="18">
        <f>BMS!G414</f>
        <v>0</v>
      </c>
      <c r="AI104" s="19">
        <f t="shared" si="12"/>
        <v>0</v>
      </c>
      <c r="AJ104" s="18" t="e">
        <f t="shared" si="9"/>
        <v>#DIV/0!</v>
      </c>
      <c r="AK104" s="18" t="e">
        <f t="shared" si="10"/>
        <v>#DIV/0!</v>
      </c>
      <c r="AL104" s="20"/>
      <c r="AM104" s="43"/>
      <c r="AN104" s="26"/>
      <c r="AO104" s="55"/>
      <c r="AP104" s="43"/>
      <c r="AQ104" s="26"/>
      <c r="AR104" s="55"/>
    </row>
    <row r="105" spans="1:44" x14ac:dyDescent="0.2">
      <c r="A105" s="36"/>
      <c r="B105" s="36"/>
      <c r="C105" s="36">
        <v>32</v>
      </c>
      <c r="D105" s="17">
        <f>TM!B415</f>
        <v>0</v>
      </c>
      <c r="E105" s="18">
        <f>TM!C415</f>
        <v>0</v>
      </c>
      <c r="F105" s="18">
        <f>TM!D415</f>
        <v>0</v>
      </c>
      <c r="G105" s="18">
        <f>TM!E415</f>
        <v>0</v>
      </c>
      <c r="H105" s="18">
        <f>TM!F415</f>
        <v>0</v>
      </c>
      <c r="I105" s="18">
        <f>TM!G415</f>
        <v>0</v>
      </c>
      <c r="J105" s="19">
        <f t="shared" si="14"/>
        <v>0</v>
      </c>
      <c r="L105" s="17">
        <f>Test!B415</f>
        <v>0</v>
      </c>
      <c r="M105" s="18">
        <f>Test!C415</f>
        <v>0</v>
      </c>
      <c r="N105" s="18">
        <f>Test!D415</f>
        <v>0</v>
      </c>
      <c r="O105" s="18">
        <f>Test!E415</f>
        <v>0</v>
      </c>
      <c r="P105" s="18">
        <f>Test!F415</f>
        <v>0</v>
      </c>
      <c r="Q105" s="18">
        <f>Test!G415</f>
        <v>0</v>
      </c>
      <c r="R105" s="19">
        <f t="shared" si="11"/>
        <v>0</v>
      </c>
      <c r="S105" s="18" t="e">
        <f t="shared" si="13"/>
        <v>#DIV/0!</v>
      </c>
      <c r="T105" s="18" t="e">
        <f t="shared" si="13"/>
        <v>#DIV/0!</v>
      </c>
      <c r="U105" s="60"/>
      <c r="V105" s="43"/>
      <c r="W105" s="26"/>
      <c r="X105" s="26"/>
      <c r="Y105" s="43"/>
      <c r="Z105" s="26"/>
      <c r="AA105" s="55"/>
      <c r="AB105" s="20"/>
      <c r="AC105" s="17">
        <f>BMS!B415</f>
        <v>0</v>
      </c>
      <c r="AD105" s="18">
        <f>BMS!C415</f>
        <v>0</v>
      </c>
      <c r="AE105" s="18">
        <f>BMS!D415</f>
        <v>0</v>
      </c>
      <c r="AF105" s="18">
        <f>BMS!E415</f>
        <v>0</v>
      </c>
      <c r="AG105" s="18">
        <f>BMS!F415</f>
        <v>0</v>
      </c>
      <c r="AH105" s="18">
        <f>BMS!G415</f>
        <v>0</v>
      </c>
      <c r="AI105" s="19">
        <f t="shared" si="12"/>
        <v>0</v>
      </c>
      <c r="AJ105" s="18" t="e">
        <f t="shared" si="9"/>
        <v>#DIV/0!</v>
      </c>
      <c r="AK105" s="18" t="e">
        <f t="shared" si="10"/>
        <v>#DIV/0!</v>
      </c>
      <c r="AL105" s="20"/>
      <c r="AM105" s="43"/>
      <c r="AN105" s="26"/>
      <c r="AO105" s="55"/>
      <c r="AP105" s="43"/>
      <c r="AQ105" s="26"/>
      <c r="AR105" s="55"/>
    </row>
    <row r="106" spans="1:44" ht="12.75" thickBot="1" x14ac:dyDescent="0.25">
      <c r="A106" s="37"/>
      <c r="B106" s="37"/>
      <c r="C106" s="37">
        <v>37</v>
      </c>
      <c r="D106" s="22">
        <f>TM!B416</f>
        <v>0</v>
      </c>
      <c r="E106" s="23">
        <f>TM!C416</f>
        <v>0</v>
      </c>
      <c r="F106" s="23">
        <f>TM!D416</f>
        <v>0</v>
      </c>
      <c r="G106" s="23">
        <f>TM!E416</f>
        <v>0</v>
      </c>
      <c r="H106" s="23">
        <f>TM!F416</f>
        <v>0</v>
      </c>
      <c r="I106" s="23">
        <f>TM!G416</f>
        <v>0</v>
      </c>
      <c r="J106" s="24">
        <f t="shared" si="14"/>
        <v>0</v>
      </c>
      <c r="L106" s="22">
        <f>Test!B416</f>
        <v>0</v>
      </c>
      <c r="M106" s="23">
        <f>Test!C416</f>
        <v>0</v>
      </c>
      <c r="N106" s="23">
        <f>Test!D416</f>
        <v>0</v>
      </c>
      <c r="O106" s="23">
        <f>Test!E416</f>
        <v>0</v>
      </c>
      <c r="P106" s="23">
        <f>Test!F416</f>
        <v>0</v>
      </c>
      <c r="Q106" s="23">
        <f>Test!G416</f>
        <v>0</v>
      </c>
      <c r="R106" s="24">
        <f t="shared" si="11"/>
        <v>0</v>
      </c>
      <c r="S106" s="23" t="e">
        <f t="shared" si="13"/>
        <v>#DIV/0!</v>
      </c>
      <c r="T106" s="23" t="e">
        <f t="shared" si="13"/>
        <v>#DIV/0!</v>
      </c>
      <c r="U106" s="61"/>
      <c r="V106" s="44"/>
      <c r="W106" s="56"/>
      <c r="X106" s="56"/>
      <c r="Y106" s="44"/>
      <c r="Z106" s="56"/>
      <c r="AA106" s="57"/>
      <c r="AB106" s="25"/>
      <c r="AC106" s="22">
        <f>BMS!B416</f>
        <v>0</v>
      </c>
      <c r="AD106" s="23">
        <f>BMS!C416</f>
        <v>0</v>
      </c>
      <c r="AE106" s="23">
        <f>BMS!D416</f>
        <v>0</v>
      </c>
      <c r="AF106" s="23">
        <f>BMS!E416</f>
        <v>0</v>
      </c>
      <c r="AG106" s="23">
        <f>BMS!F416</f>
        <v>0</v>
      </c>
      <c r="AH106" s="23">
        <f>BMS!G416</f>
        <v>0</v>
      </c>
      <c r="AI106" s="24">
        <f t="shared" si="12"/>
        <v>0</v>
      </c>
      <c r="AJ106" s="23" t="e">
        <f t="shared" si="9"/>
        <v>#DIV/0!</v>
      </c>
      <c r="AK106" s="23" t="e">
        <f t="shared" si="10"/>
        <v>#DIV/0!</v>
      </c>
      <c r="AL106" s="25"/>
      <c r="AM106" s="44"/>
      <c r="AN106" s="56"/>
      <c r="AO106" s="57"/>
      <c r="AP106" s="44"/>
      <c r="AQ106" s="56"/>
      <c r="AR106" s="57"/>
    </row>
    <row r="107" spans="1:44" x14ac:dyDescent="0.2">
      <c r="B107" s="1" t="s">
        <v>75</v>
      </c>
      <c r="I107" s="15"/>
      <c r="J107" s="15"/>
      <c r="Q107" s="15"/>
      <c r="R107" s="15"/>
      <c r="S107" s="15"/>
      <c r="T107" s="15"/>
      <c r="V107" s="42"/>
      <c r="W107" s="47"/>
      <c r="X107" s="47"/>
      <c r="Y107" s="42"/>
      <c r="Z107" s="47"/>
      <c r="AA107" s="48"/>
      <c r="AH107" s="15"/>
      <c r="AI107" s="15"/>
      <c r="AJ107" s="15"/>
      <c r="AK107" s="15"/>
      <c r="AM107" s="42"/>
      <c r="AN107" s="47"/>
      <c r="AO107" s="47"/>
      <c r="AP107" s="42"/>
      <c r="AQ107" s="47"/>
      <c r="AR107" s="48"/>
    </row>
    <row r="108" spans="1:44" x14ac:dyDescent="0.2">
      <c r="B108" s="1" t="s">
        <v>76</v>
      </c>
      <c r="I108" s="15"/>
      <c r="J108" s="15"/>
      <c r="Q108" s="15"/>
      <c r="R108" s="15"/>
      <c r="S108" s="15"/>
      <c r="T108" s="15"/>
      <c r="V108" s="45"/>
      <c r="W108" s="49"/>
      <c r="X108" s="49"/>
      <c r="Y108" s="45"/>
      <c r="Z108" s="49"/>
      <c r="AA108" s="50"/>
      <c r="AH108" s="15"/>
      <c r="AI108" s="15"/>
      <c r="AJ108" s="15"/>
      <c r="AK108" s="15"/>
      <c r="AM108" s="45"/>
      <c r="AN108" s="49"/>
      <c r="AO108" s="49"/>
      <c r="AP108" s="45"/>
      <c r="AQ108" s="49"/>
      <c r="AR108" s="50"/>
    </row>
    <row r="109" spans="1:44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15">GEOMEAN(S27:S46)</f>
        <v>#DIV/0!</v>
      </c>
      <c r="T109" s="15" t="e">
        <f t="shared" si="15"/>
        <v>#DIV/0!</v>
      </c>
      <c r="V109" s="45" t="e">
        <f>AVERAGE(V27:V46)</f>
        <v>#VALUE!</v>
      </c>
      <c r="W109" s="49" t="e">
        <f t="shared" ref="W109:AA109" si="16">AVERAGE(W27:W46)</f>
        <v>#VALUE!</v>
      </c>
      <c r="X109" s="49" t="e">
        <f t="shared" si="16"/>
        <v>#VALUE!</v>
      </c>
      <c r="Y109" s="45" t="e">
        <f t="shared" si="16"/>
        <v>#VALUE!</v>
      </c>
      <c r="Z109" s="49" t="e">
        <f t="shared" si="16"/>
        <v>#VALUE!</v>
      </c>
      <c r="AA109" s="50" t="e">
        <f t="shared" si="16"/>
        <v>#VALUE!</v>
      </c>
      <c r="AH109" s="15" t="e">
        <f>GEOMEAN(AH27:AH46)</f>
        <v>#NUM!</v>
      </c>
      <c r="AI109" s="15" t="e">
        <f>GEOMEAN(AI27:AI46)</f>
        <v>#NUM!</v>
      </c>
      <c r="AJ109" s="15" t="e">
        <f t="shared" ref="AJ109:AK109" si="17">GEOMEAN(AJ27:AJ46)</f>
        <v>#DIV/0!</v>
      </c>
      <c r="AK109" s="15" t="e">
        <f t="shared" si="17"/>
        <v>#DIV/0!</v>
      </c>
      <c r="AM109" s="45" t="e">
        <f>AVERAGE(AM27:AM46)</f>
        <v>#VALUE!</v>
      </c>
      <c r="AN109" s="49" t="e">
        <f t="shared" ref="AN109:AR109" si="18">AVERAGE(AN27:AN46)</f>
        <v>#VALUE!</v>
      </c>
      <c r="AO109" s="49" t="e">
        <f t="shared" si="18"/>
        <v>#VALUE!</v>
      </c>
      <c r="AP109" s="45" t="e">
        <f t="shared" si="18"/>
        <v>#VALUE!</v>
      </c>
      <c r="AQ109" s="49" t="e">
        <f t="shared" si="18"/>
        <v>#VALUE!</v>
      </c>
      <c r="AR109" s="50" t="e">
        <f t="shared" si="18"/>
        <v>#VALUE!</v>
      </c>
    </row>
    <row r="110" spans="1:44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9">GEOMEAN(S47:S62)</f>
        <v>#DIV/0!</v>
      </c>
      <c r="T110" s="15" t="e">
        <f t="shared" si="19"/>
        <v>#DIV/0!</v>
      </c>
      <c r="V110" s="45" t="e">
        <f>AVERAGE(V47:V62)</f>
        <v>#VALUE!</v>
      </c>
      <c r="W110" s="49" t="e">
        <f t="shared" ref="W110:AA110" si="20">AVERAGE(W47:W62)</f>
        <v>#VALUE!</v>
      </c>
      <c r="X110" s="49" t="e">
        <f t="shared" si="20"/>
        <v>#VALUE!</v>
      </c>
      <c r="Y110" s="45" t="e">
        <f t="shared" si="20"/>
        <v>#VALUE!</v>
      </c>
      <c r="Z110" s="49" t="e">
        <f t="shared" si="20"/>
        <v>#VALUE!</v>
      </c>
      <c r="AA110" s="50" t="e">
        <f t="shared" si="20"/>
        <v>#VALUE!</v>
      </c>
      <c r="AH110" s="15" t="e">
        <f>GEOMEAN(AH47:AH62)</f>
        <v>#NUM!</v>
      </c>
      <c r="AI110" s="15" t="e">
        <f>GEOMEAN(AI47:AI62)</f>
        <v>#NUM!</v>
      </c>
      <c r="AJ110" s="15" t="e">
        <f t="shared" ref="AJ110:AK110" si="21">GEOMEAN(AJ47:AJ62)</f>
        <v>#DIV/0!</v>
      </c>
      <c r="AK110" s="15" t="e">
        <f t="shared" si="21"/>
        <v>#DIV/0!</v>
      </c>
      <c r="AM110" s="45" t="e">
        <f>AVERAGE(AM47:AM62)</f>
        <v>#VALUE!</v>
      </c>
      <c r="AN110" s="49" t="e">
        <f t="shared" ref="AN110:AR110" si="22">AVERAGE(AN47:AN62)</f>
        <v>#VALUE!</v>
      </c>
      <c r="AO110" s="49" t="e">
        <f t="shared" si="22"/>
        <v>#VALUE!</v>
      </c>
      <c r="AP110" s="45" t="e">
        <f t="shared" si="22"/>
        <v>#VALUE!</v>
      </c>
      <c r="AQ110" s="49" t="e">
        <f t="shared" si="22"/>
        <v>#VALUE!</v>
      </c>
      <c r="AR110" s="50" t="e">
        <f t="shared" si="22"/>
        <v>#VALUE!</v>
      </c>
    </row>
    <row r="111" spans="1:44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23">GEOMEAN(S63:S78)</f>
        <v>#DIV/0!</v>
      </c>
      <c r="T111" s="15" t="e">
        <f t="shared" si="23"/>
        <v>#DIV/0!</v>
      </c>
      <c r="V111" s="45" t="e">
        <f>AVERAGE(V63:V78)</f>
        <v>#VALUE!</v>
      </c>
      <c r="W111" s="49" t="e">
        <f t="shared" ref="W111:AA111" si="24">AVERAGE(W63:W78)</f>
        <v>#VALUE!</v>
      </c>
      <c r="X111" s="49" t="e">
        <f t="shared" si="24"/>
        <v>#VALUE!</v>
      </c>
      <c r="Y111" s="45" t="e">
        <f t="shared" si="24"/>
        <v>#VALUE!</v>
      </c>
      <c r="Z111" s="49" t="e">
        <f t="shared" si="24"/>
        <v>#VALUE!</v>
      </c>
      <c r="AA111" s="50" t="e">
        <f t="shared" si="24"/>
        <v>#VALUE!</v>
      </c>
      <c r="AH111" s="15" t="e">
        <f>GEOMEAN(AH63:AH78)</f>
        <v>#NUM!</v>
      </c>
      <c r="AI111" s="15" t="e">
        <f>GEOMEAN(AI63:AI78)</f>
        <v>#NUM!</v>
      </c>
      <c r="AJ111" s="15" t="e">
        <f t="shared" ref="AJ111:AK111" si="25">GEOMEAN(AJ63:AJ78)</f>
        <v>#DIV/0!</v>
      </c>
      <c r="AK111" s="15" t="e">
        <f t="shared" si="25"/>
        <v>#DIV/0!</v>
      </c>
      <c r="AM111" s="45" t="e">
        <f>AVERAGE(AM63:AM78)</f>
        <v>#VALUE!</v>
      </c>
      <c r="AN111" s="49" t="e">
        <f t="shared" ref="AN111:AR111" si="26">AVERAGE(AN63:AN78)</f>
        <v>#VALUE!</v>
      </c>
      <c r="AO111" s="49" t="e">
        <f t="shared" si="26"/>
        <v>#VALUE!</v>
      </c>
      <c r="AP111" s="45" t="e">
        <f t="shared" si="26"/>
        <v>#VALUE!</v>
      </c>
      <c r="AQ111" s="49" t="e">
        <f t="shared" si="26"/>
        <v>#VALUE!</v>
      </c>
      <c r="AR111" s="50" t="e">
        <f t="shared" si="26"/>
        <v>#VALUE!</v>
      </c>
    </row>
    <row r="112" spans="1:44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27">GEOMEAN(S79:S90)</f>
        <v>#DIV/0!</v>
      </c>
      <c r="T112" s="15" t="e">
        <f t="shared" si="27"/>
        <v>#DIV/0!</v>
      </c>
      <c r="V112" s="45" t="e">
        <f>AVERAGE(V79:V88)</f>
        <v>#VALUE!</v>
      </c>
      <c r="W112" s="49" t="e">
        <f t="shared" ref="W112:AA112" si="28">AVERAGE(W79:W88)</f>
        <v>#VALUE!</v>
      </c>
      <c r="X112" s="49" t="e">
        <f t="shared" si="28"/>
        <v>#VALUE!</v>
      </c>
      <c r="Y112" s="45" t="e">
        <f t="shared" si="28"/>
        <v>#VALUE!</v>
      </c>
      <c r="Z112" s="49" t="e">
        <f t="shared" si="28"/>
        <v>#VALUE!</v>
      </c>
      <c r="AA112" s="50" t="e">
        <f t="shared" si="28"/>
        <v>#VALUE!</v>
      </c>
      <c r="AH112" s="15" t="e">
        <f>GEOMEAN(AH79:AH90)</f>
        <v>#NUM!</v>
      </c>
      <c r="AI112" s="15" t="e">
        <f>GEOMEAN(AI79:AI90)</f>
        <v>#NUM!</v>
      </c>
      <c r="AJ112" s="15" t="e">
        <f t="shared" ref="AJ112:AK112" si="29">GEOMEAN(AJ79:AJ90)</f>
        <v>#DIV/0!</v>
      </c>
      <c r="AK112" s="15" t="e">
        <f t="shared" si="29"/>
        <v>#DIV/0!</v>
      </c>
      <c r="AM112" s="45" t="e">
        <f>AVERAGE(AM79:AM88)</f>
        <v>#VALUE!</v>
      </c>
      <c r="AN112" s="49" t="e">
        <f t="shared" ref="AN112:AR112" si="30">AVERAGE(AN79:AN88)</f>
        <v>#VALUE!</v>
      </c>
      <c r="AO112" s="49" t="e">
        <f t="shared" si="30"/>
        <v>#VALUE!</v>
      </c>
      <c r="AP112" s="45" t="e">
        <f t="shared" si="30"/>
        <v>#VALUE!</v>
      </c>
      <c r="AQ112" s="49" t="e">
        <f t="shared" si="30"/>
        <v>#VALUE!</v>
      </c>
      <c r="AR112" s="50" t="e">
        <f t="shared" si="30"/>
        <v>#VALUE!</v>
      </c>
    </row>
    <row r="113" spans="1:44" ht="12.75" thickBot="1" x14ac:dyDescent="0.25">
      <c r="B113" s="1" t="s">
        <v>46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1">GEOMEAN(S91:S106)</f>
        <v>#DIV/0!</v>
      </c>
      <c r="T113" s="15" t="e">
        <f t="shared" si="31"/>
        <v>#DIV/0!</v>
      </c>
      <c r="V113" s="45" t="e">
        <f>AVERAGE(V91:V106)</f>
        <v>#VALUE!</v>
      </c>
      <c r="W113" s="49" t="e">
        <f t="shared" ref="W113:AA113" si="32">AVERAGE(W91:W106)</f>
        <v>#VALUE!</v>
      </c>
      <c r="X113" s="49" t="e">
        <f t="shared" si="32"/>
        <v>#VALUE!</v>
      </c>
      <c r="Y113" s="45" t="e">
        <f t="shared" si="32"/>
        <v>#VALUE!</v>
      </c>
      <c r="Z113" s="49" t="e">
        <f t="shared" si="32"/>
        <v>#VALUE!</v>
      </c>
      <c r="AA113" s="50" t="e">
        <f t="shared" si="32"/>
        <v>#VALUE!</v>
      </c>
      <c r="AH113" s="15" t="e">
        <f>GEOMEAN(AH91:AH106)</f>
        <v>#NUM!</v>
      </c>
      <c r="AI113" s="15" t="e">
        <f>GEOMEAN(AI91:AI106)</f>
        <v>#NUM!</v>
      </c>
      <c r="AJ113" s="15" t="e">
        <f t="shared" ref="AJ113:AK113" si="33">GEOMEAN(AJ91:AJ106)</f>
        <v>#DIV/0!</v>
      </c>
      <c r="AK113" s="15" t="e">
        <f t="shared" si="33"/>
        <v>#DIV/0!</v>
      </c>
      <c r="AM113" s="45" t="e">
        <f>AVERAGE(AM91:AM106)</f>
        <v>#VALUE!</v>
      </c>
      <c r="AN113" s="49" t="e">
        <f t="shared" ref="AN113:AR113" si="34">AVERAGE(AN91:AN106)</f>
        <v>#VALUE!</v>
      </c>
      <c r="AO113" s="49" t="e">
        <f t="shared" si="34"/>
        <v>#VALUE!</v>
      </c>
      <c r="AP113" s="45" t="e">
        <f t="shared" si="34"/>
        <v>#VALUE!</v>
      </c>
      <c r="AQ113" s="49" t="e">
        <f t="shared" si="34"/>
        <v>#VALUE!</v>
      </c>
      <c r="AR113" s="50" t="e">
        <f t="shared" si="34"/>
        <v>#VALUE!</v>
      </c>
    </row>
    <row r="114" spans="1:44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2" t="e">
        <f>GEOMEAN(I3:I62,I79:I90)</f>
        <v>#NUM!</v>
      </c>
      <c r="J114" s="62" t="e">
        <f>GEOMEAN(J3:J62,J79:J90)</f>
        <v>#NUM!</v>
      </c>
      <c r="K114" s="4"/>
      <c r="L114" s="4"/>
      <c r="M114" s="4"/>
      <c r="N114" s="4"/>
      <c r="O114" s="4"/>
      <c r="P114" s="4"/>
      <c r="Q114" s="62" t="e">
        <f>GEOMEAN(Q3:Q62,Q79:Q90)</f>
        <v>#NUM!</v>
      </c>
      <c r="R114" s="62" t="e">
        <f t="shared" ref="R114:T114" si="35">GEOMEAN(R3:R62,R79:R90)</f>
        <v>#NUM!</v>
      </c>
      <c r="S114" s="62" t="e">
        <f t="shared" si="35"/>
        <v>#DIV/0!</v>
      </c>
      <c r="T114" s="62" t="e">
        <f t="shared" si="35"/>
        <v>#DIV/0!</v>
      </c>
      <c r="U114" s="4"/>
      <c r="V114" s="46" t="e">
        <f>AVERAGE(V3:V62,V79:V90)</f>
        <v>#VALUE!</v>
      </c>
      <c r="W114" s="51" t="e">
        <f t="shared" ref="W114:AA114" si="36">AVERAGE(W3:W62,W79:W90)</f>
        <v>#VALUE!</v>
      </c>
      <c r="X114" s="51" t="e">
        <f t="shared" si="36"/>
        <v>#VALUE!</v>
      </c>
      <c r="Y114" s="46" t="e">
        <f t="shared" si="36"/>
        <v>#VALUE!</v>
      </c>
      <c r="Z114" s="51" t="e">
        <f t="shared" si="36"/>
        <v>#VALUE!</v>
      </c>
      <c r="AA114" s="52" t="e">
        <f t="shared" si="36"/>
        <v>#VALUE!</v>
      </c>
      <c r="AC114" s="4"/>
      <c r="AD114" s="4"/>
      <c r="AE114" s="4"/>
      <c r="AF114" s="4"/>
      <c r="AG114" s="4"/>
      <c r="AH114" s="62" t="e">
        <f>GEOMEAN(AH3:AH62,AH79:AH90)</f>
        <v>#NUM!</v>
      </c>
      <c r="AI114" s="62" t="e">
        <f t="shared" ref="AI114:AK114" si="37">GEOMEAN(AI3:AI62,AI79:AI90)</f>
        <v>#NUM!</v>
      </c>
      <c r="AJ114" s="62" t="e">
        <f t="shared" si="37"/>
        <v>#DIV/0!</v>
      </c>
      <c r="AK114" s="62" t="e">
        <f t="shared" si="37"/>
        <v>#DIV/0!</v>
      </c>
      <c r="AM114" s="46" t="e">
        <f>AVERAGE(AM3:AM62,AM79:AM90)</f>
        <v>#VALUE!</v>
      </c>
      <c r="AN114" s="51" t="e">
        <f t="shared" ref="AN114:AR114" si="38">AVERAGE(AN3:AN62,AN79:AN90)</f>
        <v>#VALUE!</v>
      </c>
      <c r="AO114" s="51" t="e">
        <f t="shared" si="38"/>
        <v>#VALUE!</v>
      </c>
      <c r="AP114" s="46" t="e">
        <f t="shared" si="38"/>
        <v>#VALUE!</v>
      </c>
      <c r="AQ114" s="51" t="e">
        <f t="shared" si="38"/>
        <v>#VALUE!</v>
      </c>
      <c r="AR114" s="52" t="e">
        <f t="shared" si="38"/>
        <v>#VALUE!</v>
      </c>
    </row>
    <row r="115" spans="1:44" x14ac:dyDescent="0.2">
      <c r="B115" s="1" t="s">
        <v>9</v>
      </c>
      <c r="I115" s="27" t="e">
        <f>GEOMEAN(I3:I106)</f>
        <v>#NUM!</v>
      </c>
      <c r="J115" s="27" t="e">
        <f>GEOMEAN(J3:J106)</f>
        <v>#NUM!</v>
      </c>
      <c r="Q115" s="27" t="e">
        <f>GEOMEAN(Q3:Q106)</f>
        <v>#NUM!</v>
      </c>
      <c r="R115" s="27" t="e">
        <f>GEOMEAN(R3:R106)</f>
        <v>#NUM!</v>
      </c>
      <c r="S115" s="27"/>
      <c r="T115" s="27"/>
      <c r="AH115" s="27" t="e">
        <f>GEOMEAN(AH3:AH106)</f>
        <v>#NUM!</v>
      </c>
      <c r="AI115" s="27" t="e">
        <f>GEOMEAN(AI3:AI106)</f>
        <v>#NUM!</v>
      </c>
      <c r="AJ115" s="27"/>
      <c r="AK115" s="27"/>
    </row>
    <row r="116" spans="1:44" x14ac:dyDescent="0.2">
      <c r="B116" s="1" t="s">
        <v>10</v>
      </c>
      <c r="Q116" s="28" t="e">
        <f>Q115/I115</f>
        <v>#NUM!</v>
      </c>
      <c r="R116" s="28" t="e">
        <f>R115/J115</f>
        <v>#NUM!</v>
      </c>
      <c r="S116" s="28"/>
      <c r="T116" s="28"/>
      <c r="AJ116" s="28"/>
      <c r="AK116" s="28"/>
    </row>
    <row r="117" spans="1:44" x14ac:dyDescent="0.2">
      <c r="B117" s="1" t="s">
        <v>11</v>
      </c>
      <c r="I117" s="27"/>
      <c r="J117" s="27"/>
      <c r="Q117" s="27"/>
      <c r="R117" s="27"/>
      <c r="S117" s="27"/>
      <c r="T117" s="27"/>
      <c r="AH117" s="27">
        <f>SUM(AH3:AH106)/3600</f>
        <v>0</v>
      </c>
      <c r="AI117" s="27">
        <f>SUM(AI3:AI106)</f>
        <v>0</v>
      </c>
      <c r="AJ117" s="27"/>
      <c r="AK117" s="27"/>
    </row>
  </sheetData>
  <mergeCells count="7">
    <mergeCell ref="AP1:AR1"/>
    <mergeCell ref="D1:J1"/>
    <mergeCell ref="L1:R1"/>
    <mergeCell ref="V1:X1"/>
    <mergeCell ref="Y1:AA1"/>
    <mergeCell ref="AC1:AI1"/>
    <mergeCell ref="AM1:AO1"/>
  </mergeCells>
  <conditionalFormatting sqref="AA7">
    <cfRule type="cellIs" dxfId="509" priority="533" operator="greaterThan">
      <formula>0.03</formula>
    </cfRule>
    <cfRule type="cellIs" dxfId="508" priority="534" stopIfTrue="1" operator="lessThan">
      <formula>-0.03</formula>
    </cfRule>
  </conditionalFormatting>
  <conditionalFormatting sqref="AM7:AO10">
    <cfRule type="cellIs" dxfId="507" priority="501" operator="greaterThan">
      <formula>0.03</formula>
    </cfRule>
    <cfRule type="cellIs" dxfId="506" priority="502" stopIfTrue="1" operator="lessThan">
      <formula>-0.03</formula>
    </cfRule>
  </conditionalFormatting>
  <conditionalFormatting sqref="Z11">
    <cfRule type="cellIs" dxfId="505" priority="529" operator="greaterThan">
      <formula>0.03</formula>
    </cfRule>
    <cfRule type="cellIs" dxfId="504" priority="530" stopIfTrue="1" operator="lessThan">
      <formula>-0.03</formula>
    </cfRule>
  </conditionalFormatting>
  <conditionalFormatting sqref="AQ7">
    <cfRule type="cellIs" dxfId="503" priority="497" operator="greaterThan">
      <formula>0.03</formula>
    </cfRule>
    <cfRule type="cellIs" dxfId="502" priority="498" stopIfTrue="1" operator="lessThan">
      <formula>-0.03</formula>
    </cfRule>
  </conditionalFormatting>
  <conditionalFormatting sqref="AR7">
    <cfRule type="cellIs" dxfId="501" priority="495" operator="greaterThan">
      <formula>0.03</formula>
    </cfRule>
    <cfRule type="cellIs" dxfId="500" priority="496" stopIfTrue="1" operator="lessThan">
      <formula>-0.03</formula>
    </cfRule>
  </conditionalFormatting>
  <conditionalFormatting sqref="AP10:AQ10">
    <cfRule type="cellIs" dxfId="499" priority="493" operator="greaterThan">
      <formula>0.03</formula>
    </cfRule>
    <cfRule type="cellIs" dxfId="498" priority="494" stopIfTrue="1" operator="lessThan">
      <formula>-0.03</formula>
    </cfRule>
  </conditionalFormatting>
  <conditionalFormatting sqref="AM3:AO6">
    <cfRule type="cellIs" dxfId="497" priority="511" operator="greaterThan">
      <formula>0.03</formula>
    </cfRule>
    <cfRule type="cellIs" dxfId="496" priority="512" stopIfTrue="1" operator="lessThan">
      <formula>-0.03</formula>
    </cfRule>
  </conditionalFormatting>
  <conditionalFormatting sqref="Y6:Z6">
    <cfRule type="cellIs" dxfId="495" priority="519" operator="greaterThan">
      <formula>0.03</formula>
    </cfRule>
    <cfRule type="cellIs" dxfId="494" priority="520" stopIfTrue="1" operator="lessThan">
      <formula>-0.03</formula>
    </cfRule>
  </conditionalFormatting>
  <conditionalFormatting sqref="Y14:Z14">
    <cfRule type="cellIs" dxfId="493" priority="515" operator="greaterThan">
      <formula>0.03</formula>
    </cfRule>
    <cfRule type="cellIs" dxfId="492" priority="516" stopIfTrue="1" operator="lessThan">
      <formula>-0.03</formula>
    </cfRule>
  </conditionalFormatting>
  <conditionalFormatting sqref="AP3">
    <cfRule type="cellIs" dxfId="491" priority="509" operator="greaterThan">
      <formula>0.03</formula>
    </cfRule>
    <cfRule type="cellIs" dxfId="490" priority="510" stopIfTrue="1" operator="lessThan">
      <formula>-0.03</formula>
    </cfRule>
  </conditionalFormatting>
  <conditionalFormatting sqref="AP6:AQ6">
    <cfRule type="cellIs" dxfId="489" priority="503" operator="greaterThan">
      <formula>0.03</formula>
    </cfRule>
    <cfRule type="cellIs" dxfId="488" priority="504" stopIfTrue="1" operator="lessThan">
      <formula>-0.03</formula>
    </cfRule>
  </conditionalFormatting>
  <conditionalFormatting sqref="AP7">
    <cfRule type="cellIs" dxfId="487" priority="499" operator="greaterThan">
      <formula>0.03</formula>
    </cfRule>
    <cfRule type="cellIs" dxfId="486" priority="500" stopIfTrue="1" operator="lessThan">
      <formula>-0.03</formula>
    </cfRule>
  </conditionalFormatting>
  <conditionalFormatting sqref="V114:AA114">
    <cfRule type="cellIs" dxfId="485" priority="471" operator="greaterThan">
      <formula>0.03</formula>
    </cfRule>
    <cfRule type="cellIs" dxfId="484" priority="472" stopIfTrue="1" operator="lessThan">
      <formula>-0.03</formula>
    </cfRule>
  </conditionalFormatting>
  <conditionalFormatting sqref="Y23">
    <cfRule type="cellIs" dxfId="483" priority="433" operator="greaterThan">
      <formula>0.03</formula>
    </cfRule>
    <cfRule type="cellIs" dxfId="482" priority="434" stopIfTrue="1" operator="lessThan">
      <formula>-0.03</formula>
    </cfRule>
  </conditionalFormatting>
  <conditionalFormatting sqref="AR3">
    <cfRule type="cellIs" dxfId="481" priority="505" operator="greaterThan">
      <formula>0.03</formula>
    </cfRule>
    <cfRule type="cellIs" dxfId="480" priority="506" stopIfTrue="1" operator="lessThan">
      <formula>-0.03</formula>
    </cfRule>
  </conditionalFormatting>
  <conditionalFormatting sqref="AQ15">
    <cfRule type="cellIs" dxfId="479" priority="409" operator="greaterThan">
      <formula>0.03</formula>
    </cfRule>
    <cfRule type="cellIs" dxfId="478" priority="410" stopIfTrue="1" operator="lessThan">
      <formula>-0.03</formula>
    </cfRule>
  </conditionalFormatting>
  <conditionalFormatting sqref="AP18:AQ18">
    <cfRule type="cellIs" dxfId="477" priority="405" operator="greaterThan">
      <formula>0.03</formula>
    </cfRule>
    <cfRule type="cellIs" dxfId="476" priority="406" stopIfTrue="1" operator="lessThan">
      <formula>-0.03</formula>
    </cfRule>
  </conditionalFormatting>
  <conditionalFormatting sqref="AP19">
    <cfRule type="cellIs" dxfId="475" priority="401" operator="greaterThan">
      <formula>0.03</formula>
    </cfRule>
    <cfRule type="cellIs" dxfId="474" priority="402" stopIfTrue="1" operator="lessThan">
      <formula>-0.03</formula>
    </cfRule>
  </conditionalFormatting>
  <conditionalFormatting sqref="AM19:AO22">
    <cfRule type="cellIs" dxfId="473" priority="403" operator="greaterThan">
      <formula>0.03</formula>
    </cfRule>
    <cfRule type="cellIs" dxfId="472" priority="404" stopIfTrue="1" operator="lessThan">
      <formula>-0.03</formula>
    </cfRule>
  </conditionalFormatting>
  <conditionalFormatting sqref="Z19">
    <cfRule type="cellIs" dxfId="471" priority="437" operator="greaterThan">
      <formula>0.03</formula>
    </cfRule>
    <cfRule type="cellIs" dxfId="470" priority="438" stopIfTrue="1" operator="lessThan">
      <formula>-0.03</formula>
    </cfRule>
  </conditionalFormatting>
  <conditionalFormatting sqref="AA19">
    <cfRule type="cellIs" dxfId="469" priority="435" operator="greaterThan">
      <formula>0.03</formula>
    </cfRule>
    <cfRule type="cellIs" dxfId="468" priority="436" stopIfTrue="1" operator="lessThan">
      <formula>-0.03</formula>
    </cfRule>
  </conditionalFormatting>
  <conditionalFormatting sqref="AP30:AQ30">
    <cfRule type="cellIs" dxfId="467" priority="355" operator="greaterThan">
      <formula>0.03</formula>
    </cfRule>
    <cfRule type="cellIs" dxfId="466" priority="356" stopIfTrue="1" operator="lessThan">
      <formula>-0.03</formula>
    </cfRule>
  </conditionalFormatting>
  <conditionalFormatting sqref="AM111:AR112">
    <cfRule type="cellIs" dxfId="465" priority="457" operator="greaterThan">
      <formula>0.03</formula>
    </cfRule>
    <cfRule type="cellIs" dxfId="464" priority="458" stopIfTrue="1" operator="lessThan">
      <formula>-0.03</formula>
    </cfRule>
  </conditionalFormatting>
  <conditionalFormatting sqref="Z35">
    <cfRule type="cellIs" dxfId="463" priority="343" operator="greaterThan">
      <formula>0.03</formula>
    </cfRule>
    <cfRule type="cellIs" dxfId="462" priority="344" stopIfTrue="1" operator="lessThan">
      <formula>-0.03</formula>
    </cfRule>
  </conditionalFormatting>
  <conditionalFormatting sqref="Y31">
    <cfRule type="cellIs" dxfId="461" priority="351" operator="greaterThan">
      <formula>0.03</formula>
    </cfRule>
    <cfRule type="cellIs" dxfId="460" priority="352" stopIfTrue="1" operator="lessThan">
      <formula>-0.03</formula>
    </cfRule>
  </conditionalFormatting>
  <conditionalFormatting sqref="AQ27">
    <cfRule type="cellIs" dxfId="459" priority="359" operator="greaterThan">
      <formula>0.03</formula>
    </cfRule>
    <cfRule type="cellIs" dxfId="458" priority="360" stopIfTrue="1" operator="lessThan">
      <formula>-0.03</formula>
    </cfRule>
  </conditionalFormatting>
  <conditionalFormatting sqref="AA27">
    <cfRule type="cellIs" dxfId="457" priority="367" operator="greaterThan">
      <formula>0.03</formula>
    </cfRule>
    <cfRule type="cellIs" dxfId="456" priority="368" stopIfTrue="1" operator="lessThan">
      <formula>-0.03</formula>
    </cfRule>
  </conditionalFormatting>
  <conditionalFormatting sqref="AQ31">
    <cfRule type="cellIs" dxfId="455" priority="331" operator="greaterThan">
      <formula>0.03</formula>
    </cfRule>
    <cfRule type="cellIs" dxfId="454" priority="332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M27:AO30">
    <cfRule type="cellIs" dxfId="451" priority="363" operator="greaterThan">
      <formula>0.03</formula>
    </cfRule>
    <cfRule type="cellIs" dxfId="450" priority="364" stopIfTrue="1" operator="lessThan">
      <formula>-0.03</formula>
    </cfRule>
  </conditionalFormatting>
  <conditionalFormatting sqref="AP27">
    <cfRule type="cellIs" dxfId="449" priority="361" operator="greaterThan">
      <formula>0.03</formula>
    </cfRule>
    <cfRule type="cellIs" dxfId="448" priority="362" stopIfTrue="1" operator="lessThan">
      <formula>-0.03</formula>
    </cfRule>
  </conditionalFormatting>
  <conditionalFormatting sqref="AA35">
    <cfRule type="cellIs" dxfId="447" priority="341" operator="greaterThan">
      <formula>0.03</formula>
    </cfRule>
    <cfRule type="cellIs" dxfId="446" priority="342" stopIfTrue="1" operator="lessThan">
      <formula>-0.03</formula>
    </cfRule>
  </conditionalFormatting>
  <conditionalFormatting sqref="Y34:Z34">
    <cfRule type="cellIs" dxfId="445" priority="339" operator="greaterThan">
      <formula>0.03</formula>
    </cfRule>
    <cfRule type="cellIs" dxfId="444" priority="340" stopIfTrue="1" operator="lessThan">
      <formula>-0.03</formula>
    </cfRule>
  </conditionalFormatting>
  <conditionalFormatting sqref="Y38:Z38">
    <cfRule type="cellIs" dxfId="443" priority="337" operator="greaterThan">
      <formula>0.03</formula>
    </cfRule>
    <cfRule type="cellIs" dxfId="442" priority="338" stopIfTrue="1" operator="lessThan">
      <formula>-0.03</formula>
    </cfRule>
  </conditionalFormatting>
  <conditionalFormatting sqref="AR27">
    <cfRule type="cellIs" dxfId="441" priority="357" operator="greaterThan">
      <formula>0.03</formula>
    </cfRule>
    <cfRule type="cellIs" dxfId="440" priority="358" stopIfTrue="1" operator="lessThan">
      <formula>-0.03</formula>
    </cfRule>
  </conditionalFormatting>
  <conditionalFormatting sqref="V31:X38">
    <cfRule type="cellIs" dxfId="439" priority="353" operator="greaterThan">
      <formula>0.03</formula>
    </cfRule>
    <cfRule type="cellIs" dxfId="438" priority="354" stopIfTrue="1" operator="lessThan">
      <formula>-0.03</formula>
    </cfRule>
  </conditionalFormatting>
  <conditionalFormatting sqref="Z31">
    <cfRule type="cellIs" dxfId="437" priority="349" operator="greaterThan">
      <formula>0.03</formula>
    </cfRule>
    <cfRule type="cellIs" dxfId="436" priority="350" stopIfTrue="1" operator="lessThan">
      <formula>-0.03</formula>
    </cfRule>
  </conditionalFormatting>
  <conditionalFormatting sqref="AA31">
    <cfRule type="cellIs" dxfId="435" priority="347" operator="greaterThan">
      <formula>0.03</formula>
    </cfRule>
    <cfRule type="cellIs" dxfId="434" priority="348" stopIfTrue="1" operator="lessThan">
      <formula>-0.03</formula>
    </cfRule>
  </conditionalFormatting>
  <conditionalFormatting sqref="Y35">
    <cfRule type="cellIs" dxfId="433" priority="345" operator="greaterThan">
      <formula>0.03</formula>
    </cfRule>
    <cfRule type="cellIs" dxfId="432" priority="346" stopIfTrue="1" operator="lessThan">
      <formula>-0.03</formula>
    </cfRule>
  </conditionalFormatting>
  <conditionalFormatting sqref="AM31:AO34">
    <cfRule type="cellIs" dxfId="431" priority="335" operator="greaterThan">
      <formula>0.03</formula>
    </cfRule>
    <cfRule type="cellIs" dxfId="430" priority="336" stopIfTrue="1" operator="lessThan">
      <formula>-0.03</formula>
    </cfRule>
  </conditionalFormatting>
  <conditionalFormatting sqref="AP31">
    <cfRule type="cellIs" dxfId="429" priority="333" operator="greaterThan">
      <formula>0.03</formula>
    </cfRule>
    <cfRule type="cellIs" dxfId="428" priority="334" stopIfTrue="1" operator="lessThan">
      <formula>-0.03</formula>
    </cfRule>
  </conditionalFormatting>
  <conditionalFormatting sqref="AR31">
    <cfRule type="cellIs" dxfId="427" priority="329" operator="greaterThan">
      <formula>0.03</formula>
    </cfRule>
    <cfRule type="cellIs" dxfId="426" priority="330" stopIfTrue="1" operator="lessThan">
      <formula>-0.03</formula>
    </cfRule>
  </conditionalFormatting>
  <conditionalFormatting sqref="AP34:AQ34">
    <cfRule type="cellIs" dxfId="425" priority="327" operator="greaterThan">
      <formula>0.03</formula>
    </cfRule>
    <cfRule type="cellIs" dxfId="424" priority="328" stopIfTrue="1" operator="lessThan">
      <formula>-0.03</formula>
    </cfRule>
  </conditionalFormatting>
  <conditionalFormatting sqref="AM35:AO38">
    <cfRule type="cellIs" dxfId="423" priority="325" operator="greaterThan">
      <formula>0.03</formula>
    </cfRule>
    <cfRule type="cellIs" dxfId="422" priority="326" stopIfTrue="1" operator="lessThan">
      <formula>-0.03</formula>
    </cfRule>
  </conditionalFormatting>
  <conditionalFormatting sqref="AP35">
    <cfRule type="cellIs" dxfId="421" priority="323" operator="greaterThan">
      <formula>0.03</formula>
    </cfRule>
    <cfRule type="cellIs" dxfId="420" priority="324" stopIfTrue="1" operator="lessThan">
      <formula>-0.03</formula>
    </cfRule>
  </conditionalFormatting>
  <conditionalFormatting sqref="AQ35">
    <cfRule type="cellIs" dxfId="419" priority="321" operator="greaterThan">
      <formula>0.03</formula>
    </cfRule>
    <cfRule type="cellIs" dxfId="418" priority="322" stopIfTrue="1" operator="lessThan">
      <formula>-0.03</formula>
    </cfRule>
  </conditionalFormatting>
  <conditionalFormatting sqref="AR35">
    <cfRule type="cellIs" dxfId="417" priority="319" operator="greaterThan">
      <formula>0.03</formula>
    </cfRule>
    <cfRule type="cellIs" dxfId="416" priority="320" stopIfTrue="1" operator="lessThan">
      <formula>-0.03</formula>
    </cfRule>
  </conditionalFormatting>
  <conditionalFormatting sqref="AP38:AQ38">
    <cfRule type="cellIs" dxfId="415" priority="317" operator="greaterThan">
      <formula>0.03</formula>
    </cfRule>
    <cfRule type="cellIs" dxfId="414" priority="318" stopIfTrue="1" operator="lessThan">
      <formula>-0.03</formula>
    </cfRule>
  </conditionalFormatting>
  <conditionalFormatting sqref="V39:X46">
    <cfRule type="cellIs" dxfId="413" priority="315" operator="greaterThan">
      <formula>0.03</formula>
    </cfRule>
    <cfRule type="cellIs" dxfId="412" priority="316" stopIfTrue="1" operator="lessThan">
      <formula>-0.03</formula>
    </cfRule>
  </conditionalFormatting>
  <conditionalFormatting sqref="Y39">
    <cfRule type="cellIs" dxfId="411" priority="313" operator="greaterThan">
      <formula>0.03</formula>
    </cfRule>
    <cfRule type="cellIs" dxfId="410" priority="314" stopIfTrue="1" operator="lessThan">
      <formula>-0.03</formula>
    </cfRule>
  </conditionalFormatting>
  <conditionalFormatting sqref="Z39">
    <cfRule type="cellIs" dxfId="409" priority="311" operator="greaterThan">
      <formula>0.03</formula>
    </cfRule>
    <cfRule type="cellIs" dxfId="408" priority="312" stopIfTrue="1" operator="lessThan">
      <formula>-0.03</formula>
    </cfRule>
  </conditionalFormatting>
  <conditionalFormatting sqref="AA39">
    <cfRule type="cellIs" dxfId="407" priority="309" operator="greaterThan">
      <formula>0.03</formula>
    </cfRule>
    <cfRule type="cellIs" dxfId="406" priority="310" stopIfTrue="1" operator="lessThan">
      <formula>-0.03</formula>
    </cfRule>
  </conditionalFormatting>
  <conditionalFormatting sqref="Y43">
    <cfRule type="cellIs" dxfId="405" priority="307" operator="greaterThan">
      <formula>0.03</formula>
    </cfRule>
    <cfRule type="cellIs" dxfId="404" priority="308" stopIfTrue="1" operator="lessThan">
      <formula>-0.03</formula>
    </cfRule>
  </conditionalFormatting>
  <conditionalFormatting sqref="Z43">
    <cfRule type="cellIs" dxfId="403" priority="305" operator="greaterThan">
      <formula>0.03</formula>
    </cfRule>
    <cfRule type="cellIs" dxfId="402" priority="306" stopIfTrue="1" operator="lessThan">
      <formula>-0.03</formula>
    </cfRule>
  </conditionalFormatting>
  <conditionalFormatting sqref="AA43">
    <cfRule type="cellIs" dxfId="401" priority="303" operator="greaterThan">
      <formula>0.03</formula>
    </cfRule>
    <cfRule type="cellIs" dxfId="400" priority="304" stopIfTrue="1" operator="lessThan">
      <formula>-0.03</formula>
    </cfRule>
  </conditionalFormatting>
  <conditionalFormatting sqref="Y42:Z42">
    <cfRule type="cellIs" dxfId="399" priority="301" operator="greaterThan">
      <formula>0.03</formula>
    </cfRule>
    <cfRule type="cellIs" dxfId="398" priority="302" stopIfTrue="1" operator="lessThan">
      <formula>-0.03</formula>
    </cfRule>
  </conditionalFormatting>
  <conditionalFormatting sqref="Y46:Z46">
    <cfRule type="cellIs" dxfId="397" priority="299" operator="greaterThan">
      <formula>0.03</formula>
    </cfRule>
    <cfRule type="cellIs" dxfId="396" priority="300" stopIfTrue="1" operator="lessThan">
      <formula>-0.03</formula>
    </cfRule>
  </conditionalFormatting>
  <conditionalFormatting sqref="AM39:AO42">
    <cfRule type="cellIs" dxfId="395" priority="297" operator="greaterThan">
      <formula>0.03</formula>
    </cfRule>
    <cfRule type="cellIs" dxfId="394" priority="298" stopIfTrue="1" operator="lessThan">
      <formula>-0.03</formula>
    </cfRule>
  </conditionalFormatting>
  <conditionalFormatting sqref="AP39">
    <cfRule type="cellIs" dxfId="393" priority="295" operator="greaterThan">
      <formula>0.03</formula>
    </cfRule>
    <cfRule type="cellIs" dxfId="392" priority="296" stopIfTrue="1" operator="lessThan">
      <formula>-0.03</formula>
    </cfRule>
  </conditionalFormatting>
  <conditionalFormatting sqref="AQ39">
    <cfRule type="cellIs" dxfId="391" priority="293" operator="greaterThan">
      <formula>0.03</formula>
    </cfRule>
    <cfRule type="cellIs" dxfId="390" priority="294" stopIfTrue="1" operator="lessThan">
      <formula>-0.03</formula>
    </cfRule>
  </conditionalFormatting>
  <conditionalFormatting sqref="AR39">
    <cfRule type="cellIs" dxfId="389" priority="291" operator="greaterThan">
      <formula>0.03</formula>
    </cfRule>
    <cfRule type="cellIs" dxfId="388" priority="292" stopIfTrue="1" operator="lessThan">
      <formula>-0.03</formula>
    </cfRule>
  </conditionalFormatting>
  <conditionalFormatting sqref="AP42:AQ42">
    <cfRule type="cellIs" dxfId="387" priority="289" operator="greaterThan">
      <formula>0.03</formula>
    </cfRule>
    <cfRule type="cellIs" dxfId="386" priority="290" stopIfTrue="1" operator="lessThan">
      <formula>-0.03</formula>
    </cfRule>
  </conditionalFormatting>
  <conditionalFormatting sqref="AM43:AO46">
    <cfRule type="cellIs" dxfId="385" priority="287" operator="greaterThan">
      <formula>0.03</formula>
    </cfRule>
    <cfRule type="cellIs" dxfId="384" priority="288" stopIfTrue="1" operator="lessThan">
      <formula>-0.03</formula>
    </cfRule>
  </conditionalFormatting>
  <conditionalFormatting sqref="AP43">
    <cfRule type="cellIs" dxfId="383" priority="285" operator="greaterThan">
      <formula>0.03</formula>
    </cfRule>
    <cfRule type="cellIs" dxfId="382" priority="286" stopIfTrue="1" operator="lessThan">
      <formula>-0.03</formula>
    </cfRule>
  </conditionalFormatting>
  <conditionalFormatting sqref="AQ43">
    <cfRule type="cellIs" dxfId="381" priority="283" operator="greaterThan">
      <formula>0.03</formula>
    </cfRule>
    <cfRule type="cellIs" dxfId="380" priority="284" stopIfTrue="1" operator="lessThan">
      <formula>-0.03</formula>
    </cfRule>
  </conditionalFormatting>
  <conditionalFormatting sqref="AR43">
    <cfRule type="cellIs" dxfId="379" priority="281" operator="greaterThan">
      <formula>0.03</formula>
    </cfRule>
    <cfRule type="cellIs" dxfId="378" priority="282" stopIfTrue="1" operator="lessThan">
      <formula>-0.03</formula>
    </cfRule>
  </conditionalFormatting>
  <conditionalFormatting sqref="AP46:AQ46">
    <cfRule type="cellIs" dxfId="377" priority="279" operator="greaterThan">
      <formula>0.03</formula>
    </cfRule>
    <cfRule type="cellIs" dxfId="376" priority="280" stopIfTrue="1" operator="lessThan">
      <formula>-0.03</formula>
    </cfRule>
  </conditionalFormatting>
  <conditionalFormatting sqref="V47:X62">
    <cfRule type="cellIs" dxfId="375" priority="277" operator="greaterThan">
      <formula>0.03</formula>
    </cfRule>
    <cfRule type="cellIs" dxfId="374" priority="278" stopIfTrue="1" operator="lessThan">
      <formula>-0.03</formula>
    </cfRule>
  </conditionalFormatting>
  <conditionalFormatting sqref="Y47">
    <cfRule type="cellIs" dxfId="373" priority="275" operator="greaterThan">
      <formula>0.03</formula>
    </cfRule>
    <cfRule type="cellIs" dxfId="372" priority="276" stopIfTrue="1" operator="lessThan">
      <formula>-0.03</formula>
    </cfRule>
  </conditionalFormatting>
  <conditionalFormatting sqref="Z47">
    <cfRule type="cellIs" dxfId="371" priority="273" operator="greaterThan">
      <formula>0.03</formula>
    </cfRule>
    <cfRule type="cellIs" dxfId="370" priority="274" stopIfTrue="1" operator="lessThan">
      <formula>-0.03</formula>
    </cfRule>
  </conditionalFormatting>
  <conditionalFormatting sqref="AA47">
    <cfRule type="cellIs" dxfId="369" priority="271" operator="greaterThan">
      <formula>0.03</formula>
    </cfRule>
    <cfRule type="cellIs" dxfId="368" priority="272" stopIfTrue="1" operator="lessThan">
      <formula>-0.03</formula>
    </cfRule>
  </conditionalFormatting>
  <conditionalFormatting sqref="Y51">
    <cfRule type="cellIs" dxfId="367" priority="269" operator="greaterThan">
      <formula>0.03</formula>
    </cfRule>
    <cfRule type="cellIs" dxfId="366" priority="270" stopIfTrue="1" operator="lessThan">
      <formula>-0.03</formula>
    </cfRule>
  </conditionalFormatting>
  <conditionalFormatting sqref="Z51">
    <cfRule type="cellIs" dxfId="365" priority="267" operator="greaterThan">
      <formula>0.03</formula>
    </cfRule>
    <cfRule type="cellIs" dxfId="364" priority="268" stopIfTrue="1" operator="lessThan">
      <formula>-0.03</formula>
    </cfRule>
  </conditionalFormatting>
  <conditionalFormatting sqref="AA51">
    <cfRule type="cellIs" dxfId="363" priority="265" operator="greaterThan">
      <formula>0.03</formula>
    </cfRule>
    <cfRule type="cellIs" dxfId="362" priority="266" stopIfTrue="1" operator="lessThan">
      <formula>-0.03</formula>
    </cfRule>
  </conditionalFormatting>
  <conditionalFormatting sqref="Y55">
    <cfRule type="cellIs" dxfId="361" priority="263" operator="greaterThan">
      <formula>0.03</formula>
    </cfRule>
    <cfRule type="cellIs" dxfId="360" priority="264" stopIfTrue="1" operator="lessThan">
      <formula>-0.03</formula>
    </cfRule>
  </conditionalFormatting>
  <conditionalFormatting sqref="Z55">
    <cfRule type="cellIs" dxfId="359" priority="261" operator="greaterThan">
      <formula>0.03</formula>
    </cfRule>
    <cfRule type="cellIs" dxfId="358" priority="262" stopIfTrue="1" operator="lessThan">
      <formula>-0.03</formula>
    </cfRule>
  </conditionalFormatting>
  <conditionalFormatting sqref="AA55">
    <cfRule type="cellIs" dxfId="357" priority="259" operator="greaterThan">
      <formula>0.03</formula>
    </cfRule>
    <cfRule type="cellIs" dxfId="356" priority="260" stopIfTrue="1" operator="lessThan">
      <formula>-0.03</formula>
    </cfRule>
  </conditionalFormatting>
  <conditionalFormatting sqref="Y59">
    <cfRule type="cellIs" dxfId="355" priority="257" operator="greaterThan">
      <formula>0.03</formula>
    </cfRule>
    <cfRule type="cellIs" dxfId="354" priority="258" stopIfTrue="1" operator="lessThan">
      <formula>-0.03</formula>
    </cfRule>
  </conditionalFormatting>
  <conditionalFormatting sqref="Z59">
    <cfRule type="cellIs" dxfId="353" priority="255" operator="greaterThan">
      <formula>0.03</formula>
    </cfRule>
    <cfRule type="cellIs" dxfId="352" priority="256" stopIfTrue="1" operator="lessThan">
      <formula>-0.03</formula>
    </cfRule>
  </conditionalFormatting>
  <conditionalFormatting sqref="AA59">
    <cfRule type="cellIs" dxfId="351" priority="253" operator="greaterThan">
      <formula>0.03</formula>
    </cfRule>
    <cfRule type="cellIs" dxfId="350" priority="254" stopIfTrue="1" operator="lessThan">
      <formula>-0.03</formula>
    </cfRule>
  </conditionalFormatting>
  <conditionalFormatting sqref="Y50:Z50">
    <cfRule type="cellIs" dxfId="349" priority="251" operator="greaterThan">
      <formula>0.03</formula>
    </cfRule>
    <cfRule type="cellIs" dxfId="348" priority="252" stopIfTrue="1" operator="lessThan">
      <formula>-0.03</formula>
    </cfRule>
  </conditionalFormatting>
  <conditionalFormatting sqref="Y54:Z54">
    <cfRule type="cellIs" dxfId="347" priority="249" operator="greaterThan">
      <formula>0.03</formula>
    </cfRule>
    <cfRule type="cellIs" dxfId="346" priority="250" stopIfTrue="1" operator="lessThan">
      <formula>-0.03</formula>
    </cfRule>
  </conditionalFormatting>
  <conditionalFormatting sqref="Y58:Z58">
    <cfRule type="cellIs" dxfId="345" priority="247" operator="greaterThan">
      <formula>0.03</formula>
    </cfRule>
    <cfRule type="cellIs" dxfId="344" priority="248" stopIfTrue="1" operator="lessThan">
      <formula>-0.03</formula>
    </cfRule>
  </conditionalFormatting>
  <conditionalFormatting sqref="Y62:Z62">
    <cfRule type="cellIs" dxfId="343" priority="245" operator="greaterThan">
      <formula>0.03</formula>
    </cfRule>
    <cfRule type="cellIs" dxfId="342" priority="246" stopIfTrue="1" operator="lessThan">
      <formula>-0.03</formula>
    </cfRule>
  </conditionalFormatting>
  <conditionalFormatting sqref="AM47:AO50">
    <cfRule type="cellIs" dxfId="341" priority="243" operator="greaterThan">
      <formula>0.03</formula>
    </cfRule>
    <cfRule type="cellIs" dxfId="340" priority="244" stopIfTrue="1" operator="lessThan">
      <formula>-0.03</formula>
    </cfRule>
  </conditionalFormatting>
  <conditionalFormatting sqref="AP47">
    <cfRule type="cellIs" dxfId="339" priority="241" operator="greaterThan">
      <formula>0.03</formula>
    </cfRule>
    <cfRule type="cellIs" dxfId="338" priority="242" stopIfTrue="1" operator="lessThan">
      <formula>-0.03</formula>
    </cfRule>
  </conditionalFormatting>
  <conditionalFormatting sqref="AQ47">
    <cfRule type="cellIs" dxfId="337" priority="239" operator="greaterThan">
      <formula>0.03</formula>
    </cfRule>
    <cfRule type="cellIs" dxfId="336" priority="240" stopIfTrue="1" operator="lessThan">
      <formula>-0.03</formula>
    </cfRule>
  </conditionalFormatting>
  <conditionalFormatting sqref="AR47">
    <cfRule type="cellIs" dxfId="335" priority="237" operator="greaterThan">
      <formula>0.03</formula>
    </cfRule>
    <cfRule type="cellIs" dxfId="334" priority="238" stopIfTrue="1" operator="lessThan">
      <formula>-0.03</formula>
    </cfRule>
  </conditionalFormatting>
  <conditionalFormatting sqref="AP50:AQ50">
    <cfRule type="cellIs" dxfId="333" priority="235" operator="greaterThan">
      <formula>0.03</formula>
    </cfRule>
    <cfRule type="cellIs" dxfId="332" priority="236" stopIfTrue="1" operator="lessThan">
      <formula>-0.03</formula>
    </cfRule>
  </conditionalFormatting>
  <conditionalFormatting sqref="AM51:AO54">
    <cfRule type="cellIs" dxfId="331" priority="233" operator="greaterThan">
      <formula>0.03</formula>
    </cfRule>
    <cfRule type="cellIs" dxfId="330" priority="234" stopIfTrue="1" operator="lessThan">
      <formula>-0.03</formula>
    </cfRule>
  </conditionalFormatting>
  <conditionalFormatting sqref="AP51">
    <cfRule type="cellIs" dxfId="329" priority="231" operator="greaterThan">
      <formula>0.03</formula>
    </cfRule>
    <cfRule type="cellIs" dxfId="328" priority="232" stopIfTrue="1" operator="lessThan">
      <formula>-0.03</formula>
    </cfRule>
  </conditionalFormatting>
  <conditionalFormatting sqref="AQ51">
    <cfRule type="cellIs" dxfId="327" priority="229" operator="greaterThan">
      <formula>0.03</formula>
    </cfRule>
    <cfRule type="cellIs" dxfId="326" priority="230" stopIfTrue="1" operator="lessThan">
      <formula>-0.03</formula>
    </cfRule>
  </conditionalFormatting>
  <conditionalFormatting sqref="AR51">
    <cfRule type="cellIs" dxfId="325" priority="227" operator="greaterThan">
      <formula>0.03</formula>
    </cfRule>
    <cfRule type="cellIs" dxfId="324" priority="228" stopIfTrue="1" operator="lessThan">
      <formula>-0.03</formula>
    </cfRule>
  </conditionalFormatting>
  <conditionalFormatting sqref="AP54:AQ54">
    <cfRule type="cellIs" dxfId="323" priority="225" operator="greaterThan">
      <formula>0.03</formula>
    </cfRule>
    <cfRule type="cellIs" dxfId="322" priority="226" stopIfTrue="1" operator="lessThan">
      <formula>-0.03</formula>
    </cfRule>
  </conditionalFormatting>
  <conditionalFormatting sqref="AM55:AO58">
    <cfRule type="cellIs" dxfId="321" priority="223" operator="greaterThan">
      <formula>0.03</formula>
    </cfRule>
    <cfRule type="cellIs" dxfId="320" priority="224" stopIfTrue="1" operator="lessThan">
      <formula>-0.03</formula>
    </cfRule>
  </conditionalFormatting>
  <conditionalFormatting sqref="AP55">
    <cfRule type="cellIs" dxfId="319" priority="221" operator="greaterThan">
      <formula>0.03</formula>
    </cfRule>
    <cfRule type="cellIs" dxfId="318" priority="222" stopIfTrue="1" operator="lessThan">
      <formula>-0.03</formula>
    </cfRule>
  </conditionalFormatting>
  <conditionalFormatting sqref="AQ55">
    <cfRule type="cellIs" dxfId="317" priority="219" operator="greaterThan">
      <formula>0.03</formula>
    </cfRule>
    <cfRule type="cellIs" dxfId="316" priority="220" stopIfTrue="1" operator="lessThan">
      <formula>-0.03</formula>
    </cfRule>
  </conditionalFormatting>
  <conditionalFormatting sqref="AR55">
    <cfRule type="cellIs" dxfId="315" priority="217" operator="greaterThan">
      <formula>0.03</formula>
    </cfRule>
    <cfRule type="cellIs" dxfId="314" priority="218" stopIfTrue="1" operator="lessThan">
      <formula>-0.03</formula>
    </cfRule>
  </conditionalFormatting>
  <conditionalFormatting sqref="AP58:AQ58">
    <cfRule type="cellIs" dxfId="313" priority="215" operator="greaterThan">
      <formula>0.03</formula>
    </cfRule>
    <cfRule type="cellIs" dxfId="312" priority="216" stopIfTrue="1" operator="lessThan">
      <formula>-0.03</formula>
    </cfRule>
  </conditionalFormatting>
  <conditionalFormatting sqref="AM59:AO62">
    <cfRule type="cellIs" dxfId="311" priority="213" operator="greaterThan">
      <formula>0.03</formula>
    </cfRule>
    <cfRule type="cellIs" dxfId="310" priority="214" stopIfTrue="1" operator="lessThan">
      <formula>-0.03</formula>
    </cfRule>
  </conditionalFormatting>
  <conditionalFormatting sqref="AP59">
    <cfRule type="cellIs" dxfId="309" priority="211" operator="greaterThan">
      <formula>0.03</formula>
    </cfRule>
    <cfRule type="cellIs" dxfId="308" priority="212" stopIfTrue="1" operator="lessThan">
      <formula>-0.03</formula>
    </cfRule>
  </conditionalFormatting>
  <conditionalFormatting sqref="AQ59">
    <cfRule type="cellIs" dxfId="307" priority="209" operator="greaterThan">
      <formula>0.03</formula>
    </cfRule>
    <cfRule type="cellIs" dxfId="306" priority="210" stopIfTrue="1" operator="lessThan">
      <formula>-0.03</formula>
    </cfRule>
  </conditionalFormatting>
  <conditionalFormatting sqref="AR59">
    <cfRule type="cellIs" dxfId="305" priority="207" operator="greaterThan">
      <formula>0.03</formula>
    </cfRule>
    <cfRule type="cellIs" dxfId="304" priority="208" stopIfTrue="1" operator="lessThan">
      <formula>-0.03</formula>
    </cfRule>
  </conditionalFormatting>
  <conditionalFormatting sqref="AP62:AQ62">
    <cfRule type="cellIs" dxfId="303" priority="205" operator="greaterThan">
      <formula>0.03</formula>
    </cfRule>
    <cfRule type="cellIs" dxfId="302" priority="206" stopIfTrue="1" operator="lessThan">
      <formula>-0.03</formula>
    </cfRule>
  </conditionalFormatting>
  <conditionalFormatting sqref="V63:X78">
    <cfRule type="cellIs" dxfId="301" priority="203" operator="greaterThan">
      <formula>0.03</formula>
    </cfRule>
    <cfRule type="cellIs" dxfId="300" priority="204" stopIfTrue="1" operator="lessThan">
      <formula>-0.03</formula>
    </cfRule>
  </conditionalFormatting>
  <conditionalFormatting sqref="Y63">
    <cfRule type="cellIs" dxfId="299" priority="201" operator="greaterThan">
      <formula>0.03</formula>
    </cfRule>
    <cfRule type="cellIs" dxfId="298" priority="202" stopIfTrue="1" operator="lessThan">
      <formula>-0.03</formula>
    </cfRule>
  </conditionalFormatting>
  <conditionalFormatting sqref="Z63">
    <cfRule type="cellIs" dxfId="297" priority="199" operator="greaterThan">
      <formula>0.03</formula>
    </cfRule>
    <cfRule type="cellIs" dxfId="296" priority="200" stopIfTrue="1" operator="lessThan">
      <formula>-0.03</formula>
    </cfRule>
  </conditionalFormatting>
  <conditionalFormatting sqref="AA63">
    <cfRule type="cellIs" dxfId="295" priority="197" operator="greaterThan">
      <formula>0.03</formula>
    </cfRule>
    <cfRule type="cellIs" dxfId="294" priority="198" stopIfTrue="1" operator="lessThan">
      <formula>-0.03</formula>
    </cfRule>
  </conditionalFormatting>
  <conditionalFormatting sqref="Z67">
    <cfRule type="cellIs" dxfId="293" priority="193" operator="greaterThan">
      <formula>0.03</formula>
    </cfRule>
    <cfRule type="cellIs" dxfId="292" priority="194" stopIfTrue="1" operator="lessThan">
      <formula>-0.03</formula>
    </cfRule>
  </conditionalFormatting>
  <conditionalFormatting sqref="AA67">
    <cfRule type="cellIs" dxfId="291" priority="191" operator="greaterThan">
      <formula>0.03</formula>
    </cfRule>
    <cfRule type="cellIs" dxfId="290" priority="192" stopIfTrue="1" operator="lessThan">
      <formula>-0.03</formula>
    </cfRule>
  </conditionalFormatting>
  <conditionalFormatting sqref="Y71">
    <cfRule type="cellIs" dxfId="289" priority="189" operator="greaterThan">
      <formula>0.03</formula>
    </cfRule>
    <cfRule type="cellIs" dxfId="288" priority="190" stopIfTrue="1" operator="lessThan">
      <formula>-0.03</formula>
    </cfRule>
  </conditionalFormatting>
  <conditionalFormatting sqref="Z71">
    <cfRule type="cellIs" dxfId="287" priority="187" operator="greaterThan">
      <formula>0.03</formula>
    </cfRule>
    <cfRule type="cellIs" dxfId="286" priority="188" stopIfTrue="1" operator="lessThan">
      <formula>-0.03</formula>
    </cfRule>
  </conditionalFormatting>
  <conditionalFormatting sqref="Y67">
    <cfRule type="cellIs" dxfId="285" priority="195" operator="greaterThan">
      <formula>0.03</formula>
    </cfRule>
    <cfRule type="cellIs" dxfId="284" priority="196" stopIfTrue="1" operator="lessThan">
      <formula>-0.03</formula>
    </cfRule>
  </conditionalFormatting>
  <conditionalFormatting sqref="Y75">
    <cfRule type="cellIs" dxfId="283" priority="183" operator="greaterThan">
      <formula>0.03</formula>
    </cfRule>
    <cfRule type="cellIs" dxfId="282" priority="184" stopIfTrue="1" operator="lessThan">
      <formula>-0.03</formula>
    </cfRule>
  </conditionalFormatting>
  <conditionalFormatting sqref="Z75">
    <cfRule type="cellIs" dxfId="281" priority="181" operator="greaterThan">
      <formula>0.03</formula>
    </cfRule>
    <cfRule type="cellIs" dxfId="280" priority="182" stopIfTrue="1" operator="lessThan">
      <formula>-0.03</formula>
    </cfRule>
  </conditionalFormatting>
  <conditionalFormatting sqref="AA75">
    <cfRule type="cellIs" dxfId="279" priority="179" operator="greaterThan">
      <formula>0.03</formula>
    </cfRule>
    <cfRule type="cellIs" dxfId="278" priority="180" stopIfTrue="1" operator="lessThan">
      <formula>-0.03</formula>
    </cfRule>
  </conditionalFormatting>
  <conditionalFormatting sqref="Y66:Z66">
    <cfRule type="cellIs" dxfId="277" priority="177" operator="greaterThan">
      <formula>0.03</formula>
    </cfRule>
    <cfRule type="cellIs" dxfId="276" priority="178" stopIfTrue="1" operator="lessThan">
      <formula>-0.03</formula>
    </cfRule>
  </conditionalFormatting>
  <conditionalFormatting sqref="AA71">
    <cfRule type="cellIs" dxfId="275" priority="185" operator="greaterThan">
      <formula>0.03</formula>
    </cfRule>
    <cfRule type="cellIs" dxfId="274" priority="186" stopIfTrue="1" operator="lessThan">
      <formula>-0.03</formula>
    </cfRule>
  </conditionalFormatting>
  <conditionalFormatting sqref="AP63">
    <cfRule type="cellIs" dxfId="273" priority="167" operator="greaterThan">
      <formula>0.03</formula>
    </cfRule>
    <cfRule type="cellIs" dxfId="272" priority="168" stopIfTrue="1" operator="lessThan">
      <formula>-0.03</formula>
    </cfRule>
  </conditionalFormatting>
  <conditionalFormatting sqref="Y70:Z70">
    <cfRule type="cellIs" dxfId="271" priority="175" operator="greaterThan">
      <formula>0.03</formula>
    </cfRule>
    <cfRule type="cellIs" dxfId="270" priority="176" stopIfTrue="1" operator="lessThan">
      <formula>-0.03</formula>
    </cfRule>
  </conditionalFormatting>
  <conditionalFormatting sqref="Y74:Z74">
    <cfRule type="cellIs" dxfId="269" priority="173" operator="greaterThan">
      <formula>0.03</formula>
    </cfRule>
    <cfRule type="cellIs" dxfId="268" priority="174" stopIfTrue="1" operator="lessThan">
      <formula>-0.03</formula>
    </cfRule>
  </conditionalFormatting>
  <conditionalFormatting sqref="Y78:Z78">
    <cfRule type="cellIs" dxfId="267" priority="171" operator="greaterThan">
      <formula>0.03</formula>
    </cfRule>
    <cfRule type="cellIs" dxfId="266" priority="172" stopIfTrue="1" operator="lessThan">
      <formula>-0.03</formula>
    </cfRule>
  </conditionalFormatting>
  <conditionalFormatting sqref="AM63:AO66">
    <cfRule type="cellIs" dxfId="265" priority="169" operator="greaterThan">
      <formula>0.03</formula>
    </cfRule>
    <cfRule type="cellIs" dxfId="264" priority="170" stopIfTrue="1" operator="lessThan">
      <formula>-0.03</formula>
    </cfRule>
  </conditionalFormatting>
  <conditionalFormatting sqref="AQ63">
    <cfRule type="cellIs" dxfId="263" priority="165" operator="greaterThan">
      <formula>0.03</formula>
    </cfRule>
    <cfRule type="cellIs" dxfId="262" priority="166" stopIfTrue="1" operator="lessThan">
      <formula>-0.03</formula>
    </cfRule>
  </conditionalFormatting>
  <conditionalFormatting sqref="AR63">
    <cfRule type="cellIs" dxfId="261" priority="163" operator="greaterThan">
      <formula>0.03</formula>
    </cfRule>
    <cfRule type="cellIs" dxfId="260" priority="164" stopIfTrue="1" operator="lessThan">
      <formula>-0.03</formula>
    </cfRule>
  </conditionalFormatting>
  <conditionalFormatting sqref="AP66:AQ66">
    <cfRule type="cellIs" dxfId="259" priority="161" operator="greaterThan">
      <formula>0.03</formula>
    </cfRule>
    <cfRule type="cellIs" dxfId="258" priority="162" stopIfTrue="1" operator="lessThan">
      <formula>-0.03</formula>
    </cfRule>
  </conditionalFormatting>
  <conditionalFormatting sqref="AM67:AO70">
    <cfRule type="cellIs" dxfId="257" priority="159" operator="greaterThan">
      <formula>0.03</formula>
    </cfRule>
    <cfRule type="cellIs" dxfId="256" priority="160" stopIfTrue="1" operator="lessThan">
      <formula>-0.03</formula>
    </cfRule>
  </conditionalFormatting>
  <conditionalFormatting sqref="AP67">
    <cfRule type="cellIs" dxfId="255" priority="157" operator="greaterThan">
      <formula>0.03</formula>
    </cfRule>
    <cfRule type="cellIs" dxfId="254" priority="158" stopIfTrue="1" operator="lessThan">
      <formula>-0.03</formula>
    </cfRule>
  </conditionalFormatting>
  <conditionalFormatting sqref="V3:X14">
    <cfRule type="cellIs" dxfId="253" priority="545" operator="greaterThan">
      <formula>0.03</formula>
    </cfRule>
    <cfRule type="cellIs" dxfId="252" priority="546" stopIfTrue="1" operator="lessThan">
      <formula>-0.03</formula>
    </cfRule>
  </conditionalFormatting>
  <conditionalFormatting sqref="Y3">
    <cfRule type="cellIs" dxfId="251" priority="543" operator="greaterThan">
      <formula>0.03</formula>
    </cfRule>
    <cfRule type="cellIs" dxfId="250" priority="544" stopIfTrue="1" operator="lessThan">
      <formula>-0.03</formula>
    </cfRule>
  </conditionalFormatting>
  <conditionalFormatting sqref="Z3">
    <cfRule type="cellIs" dxfId="249" priority="541" operator="greaterThan">
      <formula>0.03</formula>
    </cfRule>
    <cfRule type="cellIs" dxfId="248" priority="542" stopIfTrue="1" operator="lessThan">
      <formula>-0.03</formula>
    </cfRule>
  </conditionalFormatting>
  <conditionalFormatting sqref="AA3">
    <cfRule type="cellIs" dxfId="247" priority="539" operator="greaterThan">
      <formula>0.03</formula>
    </cfRule>
    <cfRule type="cellIs" dxfId="246" priority="540" stopIfTrue="1" operator="lessThan">
      <formula>-0.03</formula>
    </cfRule>
  </conditionalFormatting>
  <conditionalFormatting sqref="Y7">
    <cfRule type="cellIs" dxfId="245" priority="537" operator="greaterThan">
      <formula>0.03</formula>
    </cfRule>
    <cfRule type="cellIs" dxfId="244" priority="538" stopIfTrue="1" operator="lessThan">
      <formula>-0.03</formula>
    </cfRule>
  </conditionalFormatting>
  <conditionalFormatting sqref="Z7">
    <cfRule type="cellIs" dxfId="243" priority="535" operator="greaterThan">
      <formula>0.03</formula>
    </cfRule>
    <cfRule type="cellIs" dxfId="242" priority="536" stopIfTrue="1" operator="lessThan">
      <formula>-0.03</formula>
    </cfRule>
  </conditionalFormatting>
  <conditionalFormatting sqref="Y11">
    <cfRule type="cellIs" dxfId="241" priority="531" operator="greaterThan">
      <formula>0.03</formula>
    </cfRule>
    <cfRule type="cellIs" dxfId="240" priority="532" stopIfTrue="1" operator="lessThan">
      <formula>-0.03</formula>
    </cfRule>
  </conditionalFormatting>
  <conditionalFormatting sqref="AA11">
    <cfRule type="cellIs" dxfId="239" priority="527" operator="greaterThan">
      <formula>0.03</formula>
    </cfRule>
    <cfRule type="cellIs" dxfId="238" priority="528" stopIfTrue="1" operator="lessThan">
      <formula>-0.03</formula>
    </cfRule>
  </conditionalFormatting>
  <conditionalFormatting sqref="Y10:Z10">
    <cfRule type="cellIs" dxfId="237" priority="517" operator="greaterThan">
      <formula>0.03</formula>
    </cfRule>
    <cfRule type="cellIs" dxfId="236" priority="518" stopIfTrue="1" operator="lessThan">
      <formula>-0.03</formula>
    </cfRule>
  </conditionalFormatting>
  <conditionalFormatting sqref="AQ3">
    <cfRule type="cellIs" dxfId="235" priority="507" operator="greaterThan">
      <formula>0.03</formula>
    </cfRule>
    <cfRule type="cellIs" dxfId="234" priority="508" stopIfTrue="1" operator="lessThan">
      <formula>-0.03</formula>
    </cfRule>
  </conditionalFormatting>
  <conditionalFormatting sqref="AM11:AO14">
    <cfRule type="cellIs" dxfId="233" priority="491" operator="greaterThan">
      <formula>0.03</formula>
    </cfRule>
    <cfRule type="cellIs" dxfId="232" priority="492" stopIfTrue="1" operator="lessThan">
      <formula>-0.03</formula>
    </cfRule>
  </conditionalFormatting>
  <conditionalFormatting sqref="AP11">
    <cfRule type="cellIs" dxfId="231" priority="489" operator="greaterThan">
      <formula>0.03</formula>
    </cfRule>
    <cfRule type="cellIs" dxfId="230" priority="490" stopIfTrue="1" operator="lessThan">
      <formula>-0.03</formula>
    </cfRule>
  </conditionalFormatting>
  <conditionalFormatting sqref="AQ11">
    <cfRule type="cellIs" dxfId="229" priority="487" operator="greaterThan">
      <formula>0.03</formula>
    </cfRule>
    <cfRule type="cellIs" dxfId="228" priority="488" stopIfTrue="1" operator="lessThan">
      <formula>-0.03</formula>
    </cfRule>
  </conditionalFormatting>
  <conditionalFormatting sqref="AR11">
    <cfRule type="cellIs" dxfId="227" priority="485" operator="greaterThan">
      <formula>0.03</formula>
    </cfRule>
    <cfRule type="cellIs" dxfId="226" priority="486" stopIfTrue="1" operator="lessThan">
      <formula>-0.03</formula>
    </cfRule>
  </conditionalFormatting>
  <conditionalFormatting sqref="AP14:AQ14">
    <cfRule type="cellIs" dxfId="225" priority="483" operator="greaterThan">
      <formula>0.03</formula>
    </cfRule>
    <cfRule type="cellIs" dxfId="224" priority="484" stopIfTrue="1" operator="lessThan">
      <formula>-0.03</formula>
    </cfRule>
  </conditionalFormatting>
  <conditionalFormatting sqref="AQ19">
    <cfRule type="cellIs" dxfId="223" priority="399" operator="greaterThan">
      <formula>0.03</formula>
    </cfRule>
    <cfRule type="cellIs" dxfId="222" priority="400" stopIfTrue="1" operator="lessThan">
      <formula>-0.03</formula>
    </cfRule>
  </conditionalFormatting>
  <conditionalFormatting sqref="AR19">
    <cfRule type="cellIs" dxfId="221" priority="397" operator="greaterThan">
      <formula>0.03</formula>
    </cfRule>
    <cfRule type="cellIs" dxfId="220" priority="398" stopIfTrue="1" operator="lessThan">
      <formula>-0.03</formula>
    </cfRule>
  </conditionalFormatting>
  <conditionalFormatting sqref="AR15">
    <cfRule type="cellIs" dxfId="219" priority="407" operator="greaterThan">
      <formula>0.03</formula>
    </cfRule>
    <cfRule type="cellIs" dxfId="218" priority="408" stopIfTrue="1" operator="lessThan">
      <formula>-0.03</formula>
    </cfRule>
  </conditionalFormatting>
  <conditionalFormatting sqref="AM15:AO18">
    <cfRule type="cellIs" dxfId="217" priority="413" operator="greaterThan">
      <formula>0.03</formula>
    </cfRule>
    <cfRule type="cellIs" dxfId="216" priority="414" stopIfTrue="1" operator="lessThan">
      <formula>-0.03</formula>
    </cfRule>
  </conditionalFormatting>
  <conditionalFormatting sqref="AP15">
    <cfRule type="cellIs" dxfId="215" priority="411" operator="greaterThan">
      <formula>0.03</formula>
    </cfRule>
    <cfRule type="cellIs" dxfId="214" priority="412" stopIfTrue="1" operator="lessThan">
      <formula>-0.03</formula>
    </cfRule>
  </conditionalFormatting>
  <conditionalFormatting sqref="AP22:AQ22">
    <cfRule type="cellIs" dxfId="213" priority="395" operator="greaterThan">
      <formula>0.03</formula>
    </cfRule>
    <cfRule type="cellIs" dxfId="212" priority="396" stopIfTrue="1" operator="lessThan">
      <formula>-0.03</formula>
    </cfRule>
  </conditionalFormatting>
  <conditionalFormatting sqref="V111:AA112">
    <cfRule type="cellIs" dxfId="211" priority="469" operator="greaterThan">
      <formula>0.03</formula>
    </cfRule>
    <cfRule type="cellIs" dxfId="210" priority="470" stopIfTrue="1" operator="lessThan">
      <formula>-0.03</formula>
    </cfRule>
  </conditionalFormatting>
  <conditionalFormatting sqref="AM113:AR113">
    <cfRule type="cellIs" dxfId="209" priority="451" operator="greaterThan">
      <formula>0.03</formula>
    </cfRule>
    <cfRule type="cellIs" dxfId="208" priority="452" stopIfTrue="1" operator="lessThan">
      <formula>-0.03</formula>
    </cfRule>
  </conditionalFormatting>
  <conditionalFormatting sqref="AM114:AR114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V107:AA107 V109:AA109">
    <cfRule type="cellIs" dxfId="205" priority="467" operator="greaterThan">
      <formula>0.03</formula>
    </cfRule>
    <cfRule type="cellIs" dxfId="204" priority="468" stopIfTrue="1" operator="lessThan">
      <formula>-0.03</formula>
    </cfRule>
  </conditionalFormatting>
  <conditionalFormatting sqref="Y19">
    <cfRule type="cellIs" dxfId="203" priority="439" operator="greaterThan">
      <formula>0.03</formula>
    </cfRule>
    <cfRule type="cellIs" dxfId="202" priority="440" stopIfTrue="1" operator="lessThan">
      <formula>-0.03</formula>
    </cfRule>
  </conditionalFormatting>
  <conditionalFormatting sqref="AM23:AO26">
    <cfRule type="cellIs" dxfId="201" priority="393" operator="greaterThan">
      <formula>0.03</formula>
    </cfRule>
    <cfRule type="cellIs" dxfId="200" priority="394" stopIfTrue="1" operator="lessThan">
      <formula>-0.03</formula>
    </cfRule>
  </conditionalFormatting>
  <conditionalFormatting sqref="AP23">
    <cfRule type="cellIs" dxfId="199" priority="391" operator="greaterThan">
      <formula>0.03</formula>
    </cfRule>
    <cfRule type="cellIs" dxfId="198" priority="392" stopIfTrue="1" operator="lessThan">
      <formula>-0.03</formula>
    </cfRule>
  </conditionalFormatting>
  <conditionalFormatting sqref="AQ23">
    <cfRule type="cellIs" dxfId="197" priority="389" operator="greaterThan">
      <formula>0.03</formula>
    </cfRule>
    <cfRule type="cellIs" dxfId="196" priority="390" stopIfTrue="1" operator="lessThan">
      <formula>-0.03</formula>
    </cfRule>
  </conditionalFormatting>
  <conditionalFormatting sqref="AR23">
    <cfRule type="cellIs" dxfId="195" priority="387" operator="greaterThan">
      <formula>0.03</formula>
    </cfRule>
    <cfRule type="cellIs" dxfId="194" priority="388" stopIfTrue="1" operator="lessThan">
      <formula>-0.03</formula>
    </cfRule>
  </conditionalFormatting>
  <conditionalFormatting sqref="V108:AA108">
    <cfRule type="cellIs" dxfId="193" priority="461" operator="greaterThan">
      <formula>0.03</formula>
    </cfRule>
    <cfRule type="cellIs" dxfId="192" priority="462" stopIfTrue="1" operator="lessThan">
      <formula>-0.03</formula>
    </cfRule>
  </conditionalFormatting>
  <conditionalFormatting sqref="AM110:AR110">
    <cfRule type="cellIs" dxfId="191" priority="453" operator="greaterThan">
      <formula>0.03</formula>
    </cfRule>
    <cfRule type="cellIs" dxfId="190" priority="454" stopIfTrue="1" operator="lessThan">
      <formula>-0.03</formula>
    </cfRule>
  </conditionalFormatting>
  <conditionalFormatting sqref="AM108:AR108">
    <cfRule type="cellIs" dxfId="189" priority="449" operator="greaterThan">
      <formula>0.03</formula>
    </cfRule>
    <cfRule type="cellIs" dxfId="188" priority="450" stopIfTrue="1" operator="lessThan">
      <formula>-0.03</formula>
    </cfRule>
  </conditionalFormatting>
  <conditionalFormatting sqref="V15:X26">
    <cfRule type="cellIs" dxfId="187" priority="447" operator="greaterThan">
      <formula>0.03</formula>
    </cfRule>
    <cfRule type="cellIs" dxfId="186" priority="448" stopIfTrue="1" operator="lessThan">
      <formula>-0.03</formula>
    </cfRule>
  </conditionalFormatting>
  <conditionalFormatting sqref="Y15">
    <cfRule type="cellIs" dxfId="185" priority="445" operator="greaterThan">
      <formula>0.03</formula>
    </cfRule>
    <cfRule type="cellIs" dxfId="184" priority="446" stopIfTrue="1" operator="lessThan">
      <formula>-0.03</formula>
    </cfRule>
  </conditionalFormatting>
  <conditionalFormatting sqref="V110:AA110">
    <cfRule type="cellIs" dxfId="183" priority="465" operator="greaterThan">
      <formula>0.03</formula>
    </cfRule>
    <cfRule type="cellIs" dxfId="182" priority="466" stopIfTrue="1" operator="lessThan">
      <formula>-0.03</formula>
    </cfRule>
  </conditionalFormatting>
  <conditionalFormatting sqref="V113:AA113">
    <cfRule type="cellIs" dxfId="181" priority="463" operator="greaterThan">
      <formula>0.03</formula>
    </cfRule>
    <cfRule type="cellIs" dxfId="180" priority="464" stopIfTrue="1" operator="lessThan">
      <formula>-0.03</formula>
    </cfRule>
  </conditionalFormatting>
  <conditionalFormatting sqref="AM107:AR107 AM109:AR109">
    <cfRule type="cellIs" dxfId="179" priority="455" operator="greaterThan">
      <formula>0.03</formula>
    </cfRule>
    <cfRule type="cellIs" dxfId="178" priority="456" stopIfTrue="1" operator="lessThan">
      <formula>-0.03</formula>
    </cfRule>
  </conditionalFormatting>
  <conditionalFormatting sqref="Z15">
    <cfRule type="cellIs" dxfId="177" priority="443" operator="greaterThan">
      <formula>0.03</formula>
    </cfRule>
    <cfRule type="cellIs" dxfId="176" priority="444" stopIfTrue="1" operator="lessThan">
      <formula>-0.03</formula>
    </cfRule>
  </conditionalFormatting>
  <conditionalFormatting sqref="AA15">
    <cfRule type="cellIs" dxfId="175" priority="441" operator="greaterThan">
      <formula>0.03</formula>
    </cfRule>
    <cfRule type="cellIs" dxfId="174" priority="442" stopIfTrue="1" operator="lessThan">
      <formula>-0.03</formula>
    </cfRule>
  </conditionalFormatting>
  <conditionalFormatting sqref="Z23">
    <cfRule type="cellIs" dxfId="173" priority="431" operator="greaterThan">
      <formula>0.03</formula>
    </cfRule>
    <cfRule type="cellIs" dxfId="172" priority="432" stopIfTrue="1" operator="lessThan">
      <formula>-0.03</formula>
    </cfRule>
  </conditionalFormatting>
  <conditionalFormatting sqref="AA23">
    <cfRule type="cellIs" dxfId="171" priority="429" operator="greaterThan">
      <formula>0.03</formula>
    </cfRule>
    <cfRule type="cellIs" dxfId="170" priority="430" stopIfTrue="1" operator="lessThan">
      <formula>-0.03</formula>
    </cfRule>
  </conditionalFormatting>
  <conditionalFormatting sqref="Y18:Z18">
    <cfRule type="cellIs" dxfId="169" priority="421" operator="greaterThan">
      <formula>0.03</formula>
    </cfRule>
    <cfRule type="cellIs" dxfId="168" priority="422" stopIfTrue="1" operator="lessThan">
      <formula>-0.03</formula>
    </cfRule>
  </conditionalFormatting>
  <conditionalFormatting sqref="Y22:Z22">
    <cfRule type="cellIs" dxfId="167" priority="419" operator="greaterThan">
      <formula>0.03</formula>
    </cfRule>
    <cfRule type="cellIs" dxfId="166" priority="420" stopIfTrue="1" operator="lessThan">
      <formula>-0.03</formula>
    </cfRule>
  </conditionalFormatting>
  <conditionalFormatting sqref="Y26:Z26">
    <cfRule type="cellIs" dxfId="165" priority="417" operator="greaterThan">
      <formula>0.03</formula>
    </cfRule>
    <cfRule type="cellIs" dxfId="164" priority="418" stopIfTrue="1" operator="lessThan">
      <formula>-0.03</formula>
    </cfRule>
  </conditionalFormatting>
  <conditionalFormatting sqref="AP26:AQ26">
    <cfRule type="cellIs" dxfId="163" priority="385" operator="greaterThan">
      <formula>0.03</formula>
    </cfRule>
    <cfRule type="cellIs" dxfId="162" priority="386" stopIfTrue="1" operator="lessThan">
      <formula>-0.03</formula>
    </cfRule>
  </conditionalFormatting>
  <conditionalFormatting sqref="V27:X30">
    <cfRule type="cellIs" dxfId="161" priority="373" operator="greaterThan">
      <formula>0.03</formula>
    </cfRule>
    <cfRule type="cellIs" dxfId="160" priority="374" stopIfTrue="1" operator="lessThan">
      <formula>-0.03</formula>
    </cfRule>
  </conditionalFormatting>
  <conditionalFormatting sqref="Y27">
    <cfRule type="cellIs" dxfId="159" priority="371" operator="greaterThan">
      <formula>0.03</formula>
    </cfRule>
    <cfRule type="cellIs" dxfId="158" priority="372" stopIfTrue="1" operator="lessThan">
      <formula>-0.03</formula>
    </cfRule>
  </conditionalFormatting>
  <conditionalFormatting sqref="Z27">
    <cfRule type="cellIs" dxfId="157" priority="369" operator="greaterThan">
      <formula>0.03</formula>
    </cfRule>
    <cfRule type="cellIs" dxfId="156" priority="370" stopIfTrue="1" operator="lessThan">
      <formula>-0.03</formula>
    </cfRule>
  </conditionalFormatting>
  <conditionalFormatting sqref="Y102:Z102">
    <cfRule type="cellIs" dxfId="155" priority="99" operator="greaterThan">
      <formula>0.03</formula>
    </cfRule>
    <cfRule type="cellIs" dxfId="154" priority="100" stopIfTrue="1" operator="lessThan">
      <formula>-0.03</formula>
    </cfRule>
  </conditionalFormatting>
  <conditionalFormatting sqref="Y98:Z98">
    <cfRule type="cellIs" dxfId="153" priority="101" operator="greaterThan">
      <formula>0.03</formula>
    </cfRule>
    <cfRule type="cellIs" dxfId="152" priority="102" stopIfTrue="1" operator="lessThan">
      <formula>-0.03</formula>
    </cfRule>
  </conditionalFormatting>
  <conditionalFormatting sqref="AM91:AO94">
    <cfRule type="cellIs" dxfId="151" priority="95" operator="greaterThan">
      <formula>0.03</formula>
    </cfRule>
    <cfRule type="cellIs" dxfId="150" priority="96" stopIfTrue="1" operator="lessThan">
      <formula>-0.03</formula>
    </cfRule>
  </conditionalFormatting>
  <conditionalFormatting sqref="AQ91">
    <cfRule type="cellIs" dxfId="149" priority="91" operator="greaterThan">
      <formula>0.03</formula>
    </cfRule>
    <cfRule type="cellIs" dxfId="148" priority="92" stopIfTrue="1" operator="lessThan">
      <formula>-0.03</formula>
    </cfRule>
  </conditionalFormatting>
  <conditionalFormatting sqref="AP91">
    <cfRule type="cellIs" dxfId="147" priority="93" operator="greaterThan">
      <formula>0.03</formula>
    </cfRule>
    <cfRule type="cellIs" dxfId="146" priority="94" stopIfTrue="1" operator="lessThan">
      <formula>-0.03</formula>
    </cfRule>
  </conditionalFormatting>
  <conditionalFormatting sqref="AR91">
    <cfRule type="cellIs" dxfId="145" priority="89" operator="greaterThan">
      <formula>0.03</formula>
    </cfRule>
    <cfRule type="cellIs" dxfId="144" priority="90" stopIfTrue="1" operator="lessThan">
      <formula>-0.03</formula>
    </cfRule>
  </conditionalFormatting>
  <conditionalFormatting sqref="AM95:AO98">
    <cfRule type="cellIs" dxfId="143" priority="85" operator="greaterThan">
      <formula>0.03</formula>
    </cfRule>
    <cfRule type="cellIs" dxfId="142" priority="86" stopIfTrue="1" operator="lessThan">
      <formula>-0.03</formula>
    </cfRule>
  </conditionalFormatting>
  <conditionalFormatting sqref="AQ95">
    <cfRule type="cellIs" dxfId="141" priority="81" operator="greaterThan">
      <formula>0.03</formula>
    </cfRule>
    <cfRule type="cellIs" dxfId="140" priority="82" stopIfTrue="1" operator="lessThan">
      <formula>-0.03</formula>
    </cfRule>
  </conditionalFormatting>
  <conditionalFormatting sqref="AP95">
    <cfRule type="cellIs" dxfId="139" priority="83" operator="greaterThan">
      <formula>0.03</formula>
    </cfRule>
    <cfRule type="cellIs" dxfId="138" priority="84" stopIfTrue="1" operator="lessThan">
      <formula>-0.03</formula>
    </cfRule>
  </conditionalFormatting>
  <conditionalFormatting sqref="AR95">
    <cfRule type="cellIs" dxfId="137" priority="79" operator="greaterThan">
      <formula>0.03</formula>
    </cfRule>
    <cfRule type="cellIs" dxfId="136" priority="80" stopIfTrue="1" operator="lessThan">
      <formula>-0.03</formula>
    </cfRule>
  </conditionalFormatting>
  <conditionalFormatting sqref="Y106:Z106">
    <cfRule type="cellIs" dxfId="135" priority="97" operator="greaterThan">
      <formula>0.03</formula>
    </cfRule>
    <cfRule type="cellIs" dxfId="134" priority="98" stopIfTrue="1" operator="lessThan">
      <formula>-0.03</formula>
    </cfRule>
  </conditionalFormatting>
  <conditionalFormatting sqref="AP94:AQ94">
    <cfRule type="cellIs" dxfId="133" priority="87" operator="greaterThan">
      <formula>0.03</formula>
    </cfRule>
    <cfRule type="cellIs" dxfId="132" priority="88" stopIfTrue="1" operator="lessThan">
      <formula>-0.03</formula>
    </cfRule>
  </conditionalFormatting>
  <conditionalFormatting sqref="AP98:AQ98">
    <cfRule type="cellIs" dxfId="131" priority="77" operator="greaterThan">
      <formula>0.03</formula>
    </cfRule>
    <cfRule type="cellIs" dxfId="130" priority="78" stopIfTrue="1" operator="lessThan">
      <formula>-0.03</formula>
    </cfRule>
  </conditionalFormatting>
  <conditionalFormatting sqref="AM99:AO102">
    <cfRule type="cellIs" dxfId="129" priority="75" operator="greaterThan">
      <formula>0.03</formula>
    </cfRule>
    <cfRule type="cellIs" dxfId="128" priority="76" stopIfTrue="1" operator="lessThan">
      <formula>-0.03</formula>
    </cfRule>
  </conditionalFormatting>
  <conditionalFormatting sqref="AP99">
    <cfRule type="cellIs" dxfId="127" priority="73" operator="greaterThan">
      <formula>0.03</formula>
    </cfRule>
    <cfRule type="cellIs" dxfId="126" priority="74" stopIfTrue="1" operator="lessThan">
      <formula>-0.03</formula>
    </cfRule>
  </conditionalFormatting>
  <conditionalFormatting sqref="AP102:AQ102">
    <cfRule type="cellIs" dxfId="125" priority="67" operator="greaterThan">
      <formula>0.03</formula>
    </cfRule>
    <cfRule type="cellIs" dxfId="124" priority="68" stopIfTrue="1" operator="lessThan">
      <formula>-0.03</formula>
    </cfRule>
  </conditionalFormatting>
  <conditionalFormatting sqref="AQ103">
    <cfRule type="cellIs" dxfId="123" priority="61" operator="greaterThan">
      <formula>0.03</formula>
    </cfRule>
    <cfRule type="cellIs" dxfId="122" priority="62" stopIfTrue="1" operator="lessThan">
      <formula>-0.03</formula>
    </cfRule>
  </conditionalFormatting>
  <conditionalFormatting sqref="AR103">
    <cfRule type="cellIs" dxfId="121" priority="59" operator="greaterThan">
      <formula>0.03</formula>
    </cfRule>
    <cfRule type="cellIs" dxfId="120" priority="60" stopIfTrue="1" operator="lessThan">
      <formula>-0.03</formula>
    </cfRule>
  </conditionalFormatting>
  <conditionalFormatting sqref="AQ79">
    <cfRule type="cellIs" dxfId="119" priority="25" operator="greaterThan">
      <formula>0.03</formula>
    </cfRule>
    <cfRule type="cellIs" dxfId="118" priority="26" stopIfTrue="1" operator="lessThan">
      <formula>-0.03</formula>
    </cfRule>
  </conditionalFormatting>
  <conditionalFormatting sqref="Z83">
    <cfRule type="cellIs" dxfId="117" priority="45" operator="greaterThan">
      <formula>0.03</formula>
    </cfRule>
    <cfRule type="cellIs" dxfId="116" priority="46" stopIfTrue="1" operator="lessThan">
      <formula>-0.03</formula>
    </cfRule>
  </conditionalFormatting>
  <conditionalFormatting sqref="AQ99">
    <cfRule type="cellIs" dxfId="115" priority="71" operator="greaterThan">
      <formula>0.03</formula>
    </cfRule>
    <cfRule type="cellIs" dxfId="114" priority="72" stopIfTrue="1" operator="lessThan">
      <formula>-0.03</formula>
    </cfRule>
  </conditionalFormatting>
  <conditionalFormatting sqref="AR99">
    <cfRule type="cellIs" dxfId="113" priority="69" operator="greaterThan">
      <formula>0.03</formula>
    </cfRule>
    <cfRule type="cellIs" dxfId="112" priority="70" stopIfTrue="1" operator="lessThan">
      <formula>-0.03</formula>
    </cfRule>
  </conditionalFormatting>
  <conditionalFormatting sqref="AM103:AO106">
    <cfRule type="cellIs" dxfId="111" priority="65" operator="greaterThan">
      <formula>0.03</formula>
    </cfRule>
    <cfRule type="cellIs" dxfId="110" priority="66" stopIfTrue="1" operator="lessThan">
      <formula>-0.03</formula>
    </cfRule>
  </conditionalFormatting>
  <conditionalFormatting sqref="AP106:AQ106">
    <cfRule type="cellIs" dxfId="109" priority="57" operator="greaterThan">
      <formula>0.03</formula>
    </cfRule>
    <cfRule type="cellIs" dxfId="108" priority="58" stopIfTrue="1" operator="lessThan">
      <formula>-0.03</formula>
    </cfRule>
  </conditionalFormatting>
  <conditionalFormatting sqref="Z87">
    <cfRule type="cellIs" dxfId="107" priority="39" operator="greaterThan">
      <formula>0.03</formula>
    </cfRule>
    <cfRule type="cellIs" dxfId="106" priority="40" stopIfTrue="1" operator="lessThan">
      <formula>-0.03</formula>
    </cfRule>
  </conditionalFormatting>
  <conditionalFormatting sqref="Y83">
    <cfRule type="cellIs" dxfId="105" priority="47" operator="greaterThan">
      <formula>0.03</formula>
    </cfRule>
    <cfRule type="cellIs" dxfId="104" priority="48" stopIfTrue="1" operator="lessThan">
      <formula>-0.03</formula>
    </cfRule>
  </conditionalFormatting>
  <conditionalFormatting sqref="V79:X90">
    <cfRule type="cellIs" dxfId="103" priority="55" operator="greaterThan">
      <formula>0.03</formula>
    </cfRule>
    <cfRule type="cellIs" dxfId="102" priority="56" stopIfTrue="1" operator="lessThan">
      <formula>-0.03</formula>
    </cfRule>
  </conditionalFormatting>
  <conditionalFormatting sqref="AP103">
    <cfRule type="cellIs" dxfId="101" priority="63" operator="greaterThan">
      <formula>0.03</formula>
    </cfRule>
    <cfRule type="cellIs" dxfId="100" priority="64" stopIfTrue="1" operator="lessThan">
      <formula>-0.03</formula>
    </cfRule>
  </conditionalFormatting>
  <conditionalFormatting sqref="AP79">
    <cfRule type="cellIs" dxfId="99" priority="27" operator="greaterThan">
      <formula>0.03</formula>
    </cfRule>
    <cfRule type="cellIs" dxfId="98" priority="28" stopIfTrue="1" operator="lessThan">
      <formula>-0.03</formula>
    </cfRule>
  </conditionalFormatting>
  <conditionalFormatting sqref="AA79">
    <cfRule type="cellIs" dxfId="97" priority="49" operator="greaterThan">
      <formula>0.03</formula>
    </cfRule>
    <cfRule type="cellIs" dxfId="96" priority="50" stopIfTrue="1" operator="lessThan">
      <formula>-0.03</formula>
    </cfRule>
  </conditionalFormatting>
  <conditionalFormatting sqref="Y87">
    <cfRule type="cellIs" dxfId="95" priority="41" operator="greaterThan">
      <formula>0.03</formula>
    </cfRule>
    <cfRule type="cellIs" dxfId="94" priority="42" stopIfTrue="1" operator="lessThan">
      <formula>-0.03</formula>
    </cfRule>
  </conditionalFormatting>
  <conditionalFormatting sqref="AA87">
    <cfRule type="cellIs" dxfId="93" priority="37" operator="greaterThan">
      <formula>0.03</formula>
    </cfRule>
    <cfRule type="cellIs" dxfId="92" priority="38" stopIfTrue="1" operator="lessThan">
      <formula>-0.03</formula>
    </cfRule>
  </conditionalFormatting>
  <conditionalFormatting sqref="Y82:Z82">
    <cfRule type="cellIs" dxfId="91" priority="35" operator="greaterThan">
      <formula>0.03</formula>
    </cfRule>
    <cfRule type="cellIs" dxfId="90" priority="36" stopIfTrue="1" operator="lessThan">
      <formula>-0.03</formula>
    </cfRule>
  </conditionalFormatting>
  <conditionalFormatting sqref="Y86:Z86">
    <cfRule type="cellIs" dxfId="89" priority="33" operator="greaterThan">
      <formula>0.03</formula>
    </cfRule>
    <cfRule type="cellIs" dxfId="88" priority="34" stopIfTrue="1" operator="lessThan">
      <formula>-0.03</formula>
    </cfRule>
  </conditionalFormatting>
  <conditionalFormatting sqref="Y79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Z79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AA83">
    <cfRule type="cellIs" dxfId="83" priority="43" operator="greaterThan">
      <formula>0.03</formula>
    </cfRule>
    <cfRule type="cellIs" dxfId="82" priority="44" stopIfTrue="1" operator="lessThan">
      <formula>-0.03</formula>
    </cfRule>
  </conditionalFormatting>
  <conditionalFormatting sqref="Y90:Z90">
    <cfRule type="cellIs" dxfId="81" priority="31" operator="greaterThan">
      <formula>0.03</formula>
    </cfRule>
    <cfRule type="cellIs" dxfId="80" priority="32" stopIfTrue="1" operator="lessThan">
      <formula>-0.03</formula>
    </cfRule>
  </conditionalFormatting>
  <conditionalFormatting sqref="AM79:AO82">
    <cfRule type="cellIs" dxfId="79" priority="29" operator="greaterThan">
      <formula>0.03</formula>
    </cfRule>
    <cfRule type="cellIs" dxfId="78" priority="30" stopIfTrue="1" operator="lessThan">
      <formula>-0.03</formula>
    </cfRule>
  </conditionalFormatting>
  <conditionalFormatting sqref="AP83">
    <cfRule type="cellIs" dxfId="77" priority="17" operator="greaterThan">
      <formula>0.03</formula>
    </cfRule>
    <cfRule type="cellIs" dxfId="76" priority="18" stopIfTrue="1" operator="lessThan">
      <formula>-0.03</formula>
    </cfRule>
  </conditionalFormatting>
  <conditionalFormatting sqref="AQ83">
    <cfRule type="cellIs" dxfId="75" priority="15" operator="greaterThan">
      <formula>0.03</formula>
    </cfRule>
    <cfRule type="cellIs" dxfId="74" priority="16" stopIfTrue="1" operator="lessThan">
      <formula>-0.03</formula>
    </cfRule>
  </conditionalFormatting>
  <conditionalFormatting sqref="AR79">
    <cfRule type="cellIs" dxfId="73" priority="23" operator="greaterThan">
      <formula>0.03</formula>
    </cfRule>
    <cfRule type="cellIs" dxfId="72" priority="24" stopIfTrue="1" operator="lessThan">
      <formula>-0.03</formula>
    </cfRule>
  </conditionalFormatting>
  <conditionalFormatting sqref="AM83:AO86">
    <cfRule type="cellIs" dxfId="71" priority="19" operator="greaterThan">
      <formula>0.03</formula>
    </cfRule>
    <cfRule type="cellIs" dxfId="70" priority="20" stopIfTrue="1" operator="lessThan">
      <formula>-0.03</formula>
    </cfRule>
  </conditionalFormatting>
  <conditionalFormatting sqref="AP82:AQ82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AQ87">
    <cfRule type="cellIs" dxfId="67" priority="5" operator="greaterThan">
      <formula>0.03</formula>
    </cfRule>
    <cfRule type="cellIs" dxfId="66" priority="6" stopIfTrue="1" operator="lessThan">
      <formula>-0.03</formula>
    </cfRule>
  </conditionalFormatting>
  <conditionalFormatting sqref="AR83">
    <cfRule type="cellIs" dxfId="65" priority="13" operator="greaterThan">
      <formula>0.03</formula>
    </cfRule>
    <cfRule type="cellIs" dxfId="64" priority="14" stopIfTrue="1" operator="lessThan">
      <formula>-0.03</formula>
    </cfRule>
  </conditionalFormatting>
  <conditionalFormatting sqref="AP90:AQ90">
    <cfRule type="cellIs" dxfId="63" priority="1" operator="greaterThan">
      <formula>0.03</formula>
    </cfRule>
    <cfRule type="cellIs" dxfId="62" priority="2" stopIfTrue="1" operator="lessThan">
      <formula>-0.03</formula>
    </cfRule>
  </conditionalFormatting>
  <conditionalFormatting sqref="AP86:AQ86">
    <cfRule type="cellIs" dxfId="61" priority="11" operator="greaterThan">
      <formula>0.03</formula>
    </cfRule>
    <cfRule type="cellIs" dxfId="60" priority="12" stopIfTrue="1" operator="lessThan">
      <formula>-0.03</formula>
    </cfRule>
  </conditionalFormatting>
  <conditionalFormatting sqref="AM87:AO90">
    <cfRule type="cellIs" dxfId="59" priority="9" operator="greaterThan">
      <formula>0.03</formula>
    </cfRule>
    <cfRule type="cellIs" dxfId="58" priority="10" stopIfTrue="1" operator="lessThan">
      <formula>-0.03</formula>
    </cfRule>
  </conditionalFormatting>
  <conditionalFormatting sqref="AP87">
    <cfRule type="cellIs" dxfId="57" priority="7" operator="greaterThan">
      <formula>0.03</formula>
    </cfRule>
    <cfRule type="cellIs" dxfId="56" priority="8" stopIfTrue="1" operator="lessThan">
      <formula>-0.03</formula>
    </cfRule>
  </conditionalFormatting>
  <conditionalFormatting sqref="AR87">
    <cfRule type="cellIs" dxfId="55" priority="3" operator="greaterThan">
      <formula>0.03</formula>
    </cfRule>
    <cfRule type="cellIs" dxfId="54" priority="4" stopIfTrue="1" operator="lessThan">
      <formula>-0.03</formula>
    </cfRule>
  </conditionalFormatting>
  <conditionalFormatting sqref="Y94:Z94">
    <cfRule type="cellIs" dxfId="53" priority="103" operator="greaterThan">
      <formula>0.03</formula>
    </cfRule>
    <cfRule type="cellIs" dxfId="52" priority="104" stopIfTrue="1" operator="lessThan">
      <formula>-0.03</formula>
    </cfRule>
  </conditionalFormatting>
  <conditionalFormatting sqref="Z103">
    <cfRule type="cellIs" dxfId="51" priority="107" operator="greaterThan">
      <formula>0.03</formula>
    </cfRule>
    <cfRule type="cellIs" dxfId="50" priority="108" stopIfTrue="1" operator="lessThan">
      <formula>-0.03</formula>
    </cfRule>
  </conditionalFormatting>
  <conditionalFormatting sqref="Y103">
    <cfRule type="cellIs" dxfId="49" priority="109" operator="greaterThan">
      <formula>0.03</formula>
    </cfRule>
    <cfRule type="cellIs" dxfId="48" priority="110" stopIfTrue="1" operator="lessThan">
      <formula>-0.03</formula>
    </cfRule>
  </conditionalFormatting>
  <conditionalFormatting sqref="AA103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AP78:AQ78">
    <cfRule type="cellIs" dxfId="45" priority="131" operator="greaterThan">
      <formula>0.03</formula>
    </cfRule>
    <cfRule type="cellIs" dxfId="44" priority="132" stopIfTrue="1" operator="lessThan">
      <formula>-0.03</formula>
    </cfRule>
  </conditionalFormatting>
  <conditionalFormatting sqref="AP70:AQ70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AQ71">
    <cfRule type="cellIs" dxfId="41" priority="145" operator="greaterThan">
      <formula>0.03</formula>
    </cfRule>
    <cfRule type="cellIs" dxfId="40" priority="146" stopIfTrue="1" operator="lessThan">
      <formula>-0.03</formula>
    </cfRule>
  </conditionalFormatting>
  <conditionalFormatting sqref="AR67">
    <cfRule type="cellIs" dxfId="39" priority="153" operator="greaterThan">
      <formula>0.03</formula>
    </cfRule>
    <cfRule type="cellIs" dxfId="38" priority="154" stopIfTrue="1" operator="lessThan">
      <formula>-0.03</formula>
    </cfRule>
  </conditionalFormatting>
  <conditionalFormatting sqref="AR75">
    <cfRule type="cellIs" dxfId="37" priority="133" operator="greaterThan">
      <formula>0.03</formula>
    </cfRule>
    <cfRule type="cellIs" dxfId="36" priority="134" stopIfTrue="1" operator="lessThan">
      <formula>-0.03</formula>
    </cfRule>
  </conditionalFormatting>
  <conditionalFormatting sqref="AQ67">
    <cfRule type="cellIs" dxfId="35" priority="155" operator="greaterThan">
      <formula>0.03</formula>
    </cfRule>
    <cfRule type="cellIs" dxfId="34" priority="156" stopIfTrue="1" operator="lessThan">
      <formula>-0.03</formula>
    </cfRule>
  </conditionalFormatting>
  <conditionalFormatting sqref="AP71">
    <cfRule type="cellIs" dxfId="33" priority="147" operator="greaterThan">
      <formula>0.03</formula>
    </cfRule>
    <cfRule type="cellIs" dxfId="32" priority="148" stopIfTrue="1" operator="lessThan">
      <formula>-0.03</formula>
    </cfRule>
  </conditionalFormatting>
  <conditionalFormatting sqref="AR71">
    <cfRule type="cellIs" dxfId="31" priority="143" operator="greaterThan">
      <formula>0.03</formula>
    </cfRule>
    <cfRule type="cellIs" dxfId="30" priority="144" stopIfTrue="1" operator="lessThan">
      <formula>-0.03</formula>
    </cfRule>
  </conditionalFormatting>
  <conditionalFormatting sqref="AP74:AQ74">
    <cfRule type="cellIs" dxfId="29" priority="141" operator="greaterThan">
      <formula>0.03</formula>
    </cfRule>
    <cfRule type="cellIs" dxfId="28" priority="142" stopIfTrue="1" operator="lessThan">
      <formula>-0.03</formula>
    </cfRule>
  </conditionalFormatting>
  <conditionalFormatting sqref="AM75:AO78">
    <cfRule type="cellIs" dxfId="27" priority="139" operator="greaterThan">
      <formula>0.03</formula>
    </cfRule>
    <cfRule type="cellIs" dxfId="26" priority="140" stopIfTrue="1" operator="lessThan">
      <formula>-0.03</formula>
    </cfRule>
  </conditionalFormatting>
  <conditionalFormatting sqref="AM71:AO74">
    <cfRule type="cellIs" dxfId="25" priority="149" operator="greaterThan">
      <formula>0.03</formula>
    </cfRule>
    <cfRule type="cellIs" dxfId="24" priority="150" stopIfTrue="1" operator="lessThan">
      <formula>-0.03</formula>
    </cfRule>
  </conditionalFormatting>
  <conditionalFormatting sqref="AP75">
    <cfRule type="cellIs" dxfId="23" priority="137" operator="greaterThan">
      <formula>0.03</formula>
    </cfRule>
    <cfRule type="cellIs" dxfId="22" priority="138" stopIfTrue="1" operator="lessThan">
      <formula>-0.03</formula>
    </cfRule>
  </conditionalFormatting>
  <conditionalFormatting sqref="AQ75">
    <cfRule type="cellIs" dxfId="21" priority="135" operator="greaterThan">
      <formula>0.03</formula>
    </cfRule>
    <cfRule type="cellIs" dxfId="20" priority="13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6"/>
  <sheetViews>
    <sheetView workbookViewId="0"/>
  </sheetViews>
  <sheetFormatPr defaultColWidth="9" defaultRowHeight="15.75" x14ac:dyDescent="0.25"/>
  <cols>
    <col min="1" max="1" width="57.625" customWidth="1"/>
  </cols>
  <sheetData>
    <row r="1" spans="1:8" x14ac:dyDescent="0.25">
      <c r="A1" t="s">
        <v>81</v>
      </c>
      <c r="B1" s="81">
        <v>0</v>
      </c>
      <c r="C1" s="81">
        <v>0</v>
      </c>
      <c r="D1" s="81">
        <v>0</v>
      </c>
      <c r="E1" s="81">
        <v>0</v>
      </c>
      <c r="F1" s="81">
        <v>0</v>
      </c>
      <c r="G1" s="81">
        <v>0</v>
      </c>
      <c r="H1" s="81">
        <v>0</v>
      </c>
    </row>
    <row r="2" spans="1:8" x14ac:dyDescent="0.25">
      <c r="A2" t="s">
        <v>82</v>
      </c>
      <c r="B2" s="81">
        <v>0</v>
      </c>
      <c r="C2" s="81">
        <v>0</v>
      </c>
      <c r="D2" s="81">
        <v>0</v>
      </c>
      <c r="E2" s="81">
        <v>0</v>
      </c>
      <c r="F2" s="81">
        <v>0</v>
      </c>
      <c r="G2" s="81">
        <v>0</v>
      </c>
      <c r="H2" s="81">
        <v>0</v>
      </c>
    </row>
    <row r="3" spans="1:8" x14ac:dyDescent="0.25">
      <c r="A3" t="s">
        <v>83</v>
      </c>
      <c r="B3" s="81">
        <v>0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1">
        <v>0</v>
      </c>
    </row>
    <row r="4" spans="1:8" x14ac:dyDescent="0.25">
      <c r="A4" t="s">
        <v>84</v>
      </c>
      <c r="B4" s="81">
        <v>0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1">
        <v>0</v>
      </c>
    </row>
    <row r="5" spans="1:8" x14ac:dyDescent="0.25">
      <c r="A5" t="s">
        <v>428</v>
      </c>
      <c r="B5" s="81">
        <v>0</v>
      </c>
      <c r="C5" s="81">
        <v>0</v>
      </c>
      <c r="D5" s="81">
        <v>0</v>
      </c>
      <c r="E5" s="81">
        <v>0</v>
      </c>
      <c r="F5" s="81">
        <v>0</v>
      </c>
      <c r="G5" s="81">
        <v>0</v>
      </c>
      <c r="H5" s="81">
        <v>0</v>
      </c>
    </row>
    <row r="6" spans="1:8" x14ac:dyDescent="0.25">
      <c r="A6" t="s">
        <v>429</v>
      </c>
      <c r="B6" s="81">
        <v>0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</row>
    <row r="7" spans="1:8" x14ac:dyDescent="0.25">
      <c r="A7" t="s">
        <v>430</v>
      </c>
      <c r="B7" s="81">
        <v>0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</row>
    <row r="8" spans="1:8" x14ac:dyDescent="0.25">
      <c r="A8" t="s">
        <v>431</v>
      </c>
      <c r="B8" s="81">
        <v>0</v>
      </c>
      <c r="C8" s="81">
        <v>0</v>
      </c>
      <c r="D8" s="81">
        <v>0</v>
      </c>
      <c r="E8" s="81">
        <v>0</v>
      </c>
      <c r="F8" s="81">
        <v>0</v>
      </c>
      <c r="G8" s="81">
        <v>0</v>
      </c>
      <c r="H8" s="81">
        <v>0</v>
      </c>
    </row>
    <row r="9" spans="1:8" x14ac:dyDescent="0.25">
      <c r="A9" t="s">
        <v>85</v>
      </c>
      <c r="B9" s="81">
        <v>0</v>
      </c>
      <c r="C9" s="81">
        <v>0</v>
      </c>
      <c r="D9" s="81">
        <v>0</v>
      </c>
      <c r="E9" s="81">
        <v>0</v>
      </c>
      <c r="F9" s="81">
        <v>0</v>
      </c>
      <c r="G9" s="81">
        <v>0</v>
      </c>
      <c r="H9" s="81">
        <v>0</v>
      </c>
    </row>
    <row r="10" spans="1:8" x14ac:dyDescent="0.25">
      <c r="A10" t="s">
        <v>86</v>
      </c>
      <c r="B10" s="81">
        <v>0</v>
      </c>
      <c r="C10" s="81">
        <v>0</v>
      </c>
      <c r="D10" s="81">
        <v>0</v>
      </c>
      <c r="E10" s="81">
        <v>0</v>
      </c>
      <c r="F10" s="81">
        <v>0</v>
      </c>
      <c r="G10" s="81">
        <v>0</v>
      </c>
      <c r="H10" s="81">
        <v>0</v>
      </c>
    </row>
    <row r="11" spans="1:8" x14ac:dyDescent="0.25">
      <c r="A11" t="s">
        <v>87</v>
      </c>
      <c r="B11" s="81">
        <v>0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</row>
    <row r="12" spans="1:8" x14ac:dyDescent="0.25">
      <c r="A12" t="s">
        <v>88</v>
      </c>
      <c r="B12" s="81">
        <v>0</v>
      </c>
      <c r="C12" s="81">
        <v>0</v>
      </c>
      <c r="D12" s="81">
        <v>0</v>
      </c>
      <c r="E12" s="81">
        <v>0</v>
      </c>
      <c r="F12" s="81">
        <v>0</v>
      </c>
      <c r="G12" s="81">
        <v>0</v>
      </c>
      <c r="H12" s="81">
        <v>0</v>
      </c>
    </row>
    <row r="13" spans="1:8" x14ac:dyDescent="0.25">
      <c r="A13" t="s">
        <v>432</v>
      </c>
      <c r="B13" s="81">
        <v>0</v>
      </c>
      <c r="C13" s="81">
        <v>0</v>
      </c>
      <c r="D13" s="81">
        <v>0</v>
      </c>
      <c r="E13" s="81">
        <v>0</v>
      </c>
      <c r="F13" s="81">
        <v>0</v>
      </c>
      <c r="G13" s="81">
        <v>0</v>
      </c>
      <c r="H13" s="81">
        <v>0</v>
      </c>
    </row>
    <row r="14" spans="1:8" x14ac:dyDescent="0.25">
      <c r="A14" t="s">
        <v>433</v>
      </c>
      <c r="B14" s="81">
        <v>0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</row>
    <row r="15" spans="1:8" x14ac:dyDescent="0.25">
      <c r="A15" t="s">
        <v>434</v>
      </c>
      <c r="B15" s="81">
        <v>0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</row>
    <row r="16" spans="1:8" x14ac:dyDescent="0.25">
      <c r="A16" t="s">
        <v>435</v>
      </c>
      <c r="B16" s="81">
        <v>0</v>
      </c>
      <c r="C16" s="81">
        <v>0</v>
      </c>
      <c r="D16" s="81">
        <v>0</v>
      </c>
      <c r="E16" s="81">
        <v>0</v>
      </c>
      <c r="F16" s="81">
        <v>0</v>
      </c>
      <c r="G16" s="81">
        <v>0</v>
      </c>
      <c r="H16" s="81">
        <v>0</v>
      </c>
    </row>
    <row r="17" spans="1:8" x14ac:dyDescent="0.25">
      <c r="A17" t="s">
        <v>89</v>
      </c>
      <c r="B17" s="81">
        <v>0</v>
      </c>
      <c r="C17" s="81">
        <v>0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</row>
    <row r="18" spans="1:8" x14ac:dyDescent="0.25">
      <c r="A18" t="s">
        <v>90</v>
      </c>
      <c r="B18" s="81">
        <v>0</v>
      </c>
      <c r="C18" s="81">
        <v>0</v>
      </c>
      <c r="D18" s="81">
        <v>0</v>
      </c>
      <c r="E18" s="81">
        <v>0</v>
      </c>
      <c r="F18" s="81">
        <v>0</v>
      </c>
      <c r="G18" s="81">
        <v>0</v>
      </c>
      <c r="H18" s="81">
        <v>0</v>
      </c>
    </row>
    <row r="19" spans="1:8" x14ac:dyDescent="0.25">
      <c r="A19" t="s">
        <v>91</v>
      </c>
      <c r="B19" s="81">
        <v>0</v>
      </c>
      <c r="C19" s="81">
        <v>0</v>
      </c>
      <c r="D19" s="81">
        <v>0</v>
      </c>
      <c r="E19" s="81">
        <v>0</v>
      </c>
      <c r="F19" s="81">
        <v>0</v>
      </c>
      <c r="G19" s="81">
        <v>0</v>
      </c>
      <c r="H19" s="81">
        <v>0</v>
      </c>
    </row>
    <row r="20" spans="1:8" x14ac:dyDescent="0.25">
      <c r="A20" t="s">
        <v>92</v>
      </c>
      <c r="B20" s="81">
        <v>0</v>
      </c>
      <c r="C20" s="81">
        <v>0</v>
      </c>
      <c r="D20" s="81">
        <v>0</v>
      </c>
      <c r="E20" s="81">
        <v>0</v>
      </c>
      <c r="F20" s="81">
        <v>0</v>
      </c>
      <c r="G20" s="81">
        <v>0</v>
      </c>
      <c r="H20" s="81">
        <v>0</v>
      </c>
    </row>
    <row r="21" spans="1:8" x14ac:dyDescent="0.25">
      <c r="A21" t="s">
        <v>436</v>
      </c>
      <c r="B21" s="81">
        <v>0</v>
      </c>
      <c r="C21" s="81">
        <v>0</v>
      </c>
      <c r="D21" s="81">
        <v>0</v>
      </c>
      <c r="E21" s="81">
        <v>0</v>
      </c>
      <c r="F21" s="81">
        <v>0</v>
      </c>
      <c r="G21" s="81">
        <v>0</v>
      </c>
      <c r="H21" s="81">
        <v>0</v>
      </c>
    </row>
    <row r="22" spans="1:8" x14ac:dyDescent="0.25">
      <c r="A22" t="s">
        <v>437</v>
      </c>
      <c r="B22" s="81">
        <v>0</v>
      </c>
      <c r="C22" s="81">
        <v>0</v>
      </c>
      <c r="D22" s="81">
        <v>0</v>
      </c>
      <c r="E22" s="81">
        <v>0</v>
      </c>
      <c r="F22" s="81">
        <v>0</v>
      </c>
      <c r="G22" s="81">
        <v>0</v>
      </c>
      <c r="H22" s="81">
        <v>0</v>
      </c>
    </row>
    <row r="23" spans="1:8" x14ac:dyDescent="0.25">
      <c r="A23" t="s">
        <v>438</v>
      </c>
      <c r="B23" s="81">
        <v>0</v>
      </c>
      <c r="C23" s="81">
        <v>0</v>
      </c>
      <c r="D23" s="81">
        <v>0</v>
      </c>
      <c r="E23" s="81">
        <v>0</v>
      </c>
      <c r="F23" s="81">
        <v>0</v>
      </c>
      <c r="G23" s="81">
        <v>0</v>
      </c>
      <c r="H23" s="81">
        <v>0</v>
      </c>
    </row>
    <row r="24" spans="1:8" x14ac:dyDescent="0.25">
      <c r="A24" t="s">
        <v>439</v>
      </c>
      <c r="B24" s="81">
        <v>0</v>
      </c>
      <c r="C24" s="81">
        <v>0</v>
      </c>
      <c r="D24" s="81">
        <v>0</v>
      </c>
      <c r="E24" s="81">
        <v>0</v>
      </c>
      <c r="F24" s="81">
        <v>0</v>
      </c>
      <c r="G24" s="81">
        <v>0</v>
      </c>
      <c r="H24" s="81">
        <v>0</v>
      </c>
    </row>
    <row r="25" spans="1:8" x14ac:dyDescent="0.25">
      <c r="A25" t="s">
        <v>440</v>
      </c>
      <c r="B25" s="81">
        <v>0</v>
      </c>
      <c r="C25" s="81">
        <v>0</v>
      </c>
      <c r="D25" s="81">
        <v>0</v>
      </c>
      <c r="E25" s="81">
        <v>0</v>
      </c>
      <c r="F25" s="81">
        <v>0</v>
      </c>
      <c r="G25" s="81">
        <v>0</v>
      </c>
      <c r="H25" s="81">
        <v>0</v>
      </c>
    </row>
    <row r="26" spans="1:8" x14ac:dyDescent="0.25">
      <c r="A26" t="s">
        <v>441</v>
      </c>
      <c r="B26" s="81">
        <v>0</v>
      </c>
      <c r="C26" s="81">
        <v>0</v>
      </c>
      <c r="D26" s="81">
        <v>0</v>
      </c>
      <c r="E26" s="81">
        <v>0</v>
      </c>
      <c r="F26" s="81">
        <v>0</v>
      </c>
      <c r="G26" s="81">
        <v>0</v>
      </c>
      <c r="H26" s="81">
        <v>0</v>
      </c>
    </row>
    <row r="27" spans="1:8" x14ac:dyDescent="0.25">
      <c r="A27" t="s">
        <v>442</v>
      </c>
      <c r="B27" s="81">
        <v>0</v>
      </c>
      <c r="C27" s="81">
        <v>0</v>
      </c>
      <c r="D27" s="81">
        <v>0</v>
      </c>
      <c r="E27" s="81">
        <v>0</v>
      </c>
      <c r="F27" s="81">
        <v>0</v>
      </c>
      <c r="G27" s="81">
        <v>0</v>
      </c>
      <c r="H27" s="81">
        <v>0</v>
      </c>
    </row>
    <row r="28" spans="1:8" x14ac:dyDescent="0.25">
      <c r="A28" t="s">
        <v>443</v>
      </c>
      <c r="B28" s="81">
        <v>0</v>
      </c>
      <c r="C28" s="81">
        <v>0</v>
      </c>
      <c r="D28" s="81">
        <v>0</v>
      </c>
      <c r="E28" s="81">
        <v>0</v>
      </c>
      <c r="F28" s="81">
        <v>0</v>
      </c>
      <c r="G28" s="81">
        <v>0</v>
      </c>
      <c r="H28" s="81">
        <v>0</v>
      </c>
    </row>
    <row r="29" spans="1:8" x14ac:dyDescent="0.25">
      <c r="A29" t="s">
        <v>444</v>
      </c>
      <c r="B29" s="81">
        <v>0</v>
      </c>
      <c r="C29" s="81">
        <v>0</v>
      </c>
      <c r="D29" s="81">
        <v>0</v>
      </c>
      <c r="E29" s="81">
        <v>0</v>
      </c>
      <c r="F29" s="81">
        <v>0</v>
      </c>
      <c r="G29" s="81">
        <v>0</v>
      </c>
      <c r="H29" s="81">
        <v>0</v>
      </c>
    </row>
    <row r="30" spans="1:8" x14ac:dyDescent="0.25">
      <c r="A30" t="s">
        <v>445</v>
      </c>
      <c r="B30" s="81">
        <v>0</v>
      </c>
      <c r="C30" s="81">
        <v>0</v>
      </c>
      <c r="D30" s="81">
        <v>0</v>
      </c>
      <c r="E30" s="81">
        <v>0</v>
      </c>
      <c r="F30" s="81">
        <v>0</v>
      </c>
      <c r="G30" s="81">
        <v>0</v>
      </c>
      <c r="H30" s="81">
        <v>0</v>
      </c>
    </row>
    <row r="31" spans="1:8" x14ac:dyDescent="0.25">
      <c r="A31" t="s">
        <v>446</v>
      </c>
      <c r="B31" s="81">
        <v>0</v>
      </c>
      <c r="C31" s="81">
        <v>0</v>
      </c>
      <c r="D31" s="81">
        <v>0</v>
      </c>
      <c r="E31" s="81">
        <v>0</v>
      </c>
      <c r="F31" s="81">
        <v>0</v>
      </c>
      <c r="G31" s="81">
        <v>0</v>
      </c>
      <c r="H31" s="81">
        <v>0</v>
      </c>
    </row>
    <row r="32" spans="1:8" x14ac:dyDescent="0.25">
      <c r="A32" t="s">
        <v>447</v>
      </c>
      <c r="B32" s="81">
        <v>0</v>
      </c>
      <c r="C32" s="81">
        <v>0</v>
      </c>
      <c r="D32" s="81">
        <v>0</v>
      </c>
      <c r="E32" s="81">
        <v>0</v>
      </c>
      <c r="F32" s="81">
        <v>0</v>
      </c>
      <c r="G32" s="81">
        <v>0</v>
      </c>
      <c r="H32" s="81">
        <v>0</v>
      </c>
    </row>
    <row r="33" spans="1:8" x14ac:dyDescent="0.25">
      <c r="A33" t="s">
        <v>93</v>
      </c>
      <c r="B33" s="81">
        <v>0</v>
      </c>
      <c r="C33" s="81">
        <v>0</v>
      </c>
      <c r="D33" s="81">
        <v>0</v>
      </c>
      <c r="E33" s="81">
        <v>0</v>
      </c>
      <c r="F33" s="81">
        <v>0</v>
      </c>
      <c r="G33" s="81">
        <v>0</v>
      </c>
      <c r="H33" s="81">
        <v>0</v>
      </c>
    </row>
    <row r="34" spans="1:8" x14ac:dyDescent="0.25">
      <c r="A34" t="s">
        <v>94</v>
      </c>
      <c r="B34" s="81">
        <v>0</v>
      </c>
      <c r="C34" s="81">
        <v>0</v>
      </c>
      <c r="D34" s="81">
        <v>0</v>
      </c>
      <c r="E34" s="81">
        <v>0</v>
      </c>
      <c r="F34" s="81">
        <v>0</v>
      </c>
      <c r="G34" s="81">
        <v>0</v>
      </c>
      <c r="H34" s="81">
        <v>0</v>
      </c>
    </row>
    <row r="35" spans="1:8" x14ac:dyDescent="0.25">
      <c r="A35" t="s">
        <v>95</v>
      </c>
      <c r="B35" s="81">
        <v>0</v>
      </c>
      <c r="C35" s="81">
        <v>0</v>
      </c>
      <c r="D35" s="81">
        <v>0</v>
      </c>
      <c r="E35" s="81">
        <v>0</v>
      </c>
      <c r="F35" s="81">
        <v>0</v>
      </c>
      <c r="G35" s="81">
        <v>0</v>
      </c>
      <c r="H35" s="81">
        <v>0</v>
      </c>
    </row>
    <row r="36" spans="1:8" x14ac:dyDescent="0.25">
      <c r="A36" t="s">
        <v>96</v>
      </c>
      <c r="B36" s="81">
        <v>0</v>
      </c>
      <c r="C36" s="81">
        <v>0</v>
      </c>
      <c r="D36" s="81">
        <v>0</v>
      </c>
      <c r="E36" s="81">
        <v>0</v>
      </c>
      <c r="F36" s="81">
        <v>0</v>
      </c>
      <c r="G36" s="81">
        <v>0</v>
      </c>
      <c r="H36" s="81">
        <v>0</v>
      </c>
    </row>
    <row r="37" spans="1:8" x14ac:dyDescent="0.25">
      <c r="A37" t="s">
        <v>97</v>
      </c>
      <c r="B37" s="81">
        <v>0</v>
      </c>
      <c r="C37" s="81">
        <v>0</v>
      </c>
      <c r="D37" s="81">
        <v>0</v>
      </c>
      <c r="E37" s="81">
        <v>0</v>
      </c>
      <c r="F37" s="81">
        <v>0</v>
      </c>
      <c r="G37" s="81">
        <v>0</v>
      </c>
      <c r="H37" s="81">
        <v>0</v>
      </c>
    </row>
    <row r="38" spans="1:8" x14ac:dyDescent="0.25">
      <c r="A38" t="s">
        <v>98</v>
      </c>
      <c r="B38" s="81">
        <v>0</v>
      </c>
      <c r="C38" s="81">
        <v>0</v>
      </c>
      <c r="D38" s="81">
        <v>0</v>
      </c>
      <c r="E38" s="81">
        <v>0</v>
      </c>
      <c r="F38" s="81">
        <v>0</v>
      </c>
      <c r="G38" s="81">
        <v>0</v>
      </c>
      <c r="H38" s="81">
        <v>0</v>
      </c>
    </row>
    <row r="39" spans="1:8" x14ac:dyDescent="0.25">
      <c r="A39" t="s">
        <v>99</v>
      </c>
      <c r="B39" s="81">
        <v>0</v>
      </c>
      <c r="C39" s="81">
        <v>0</v>
      </c>
      <c r="D39" s="81">
        <v>0</v>
      </c>
      <c r="E39" s="81">
        <v>0</v>
      </c>
      <c r="F39" s="81">
        <v>0</v>
      </c>
      <c r="G39" s="81">
        <v>0</v>
      </c>
      <c r="H39" s="81">
        <v>0</v>
      </c>
    </row>
    <row r="40" spans="1:8" x14ac:dyDescent="0.25">
      <c r="A40" t="s">
        <v>100</v>
      </c>
      <c r="B40" s="81">
        <v>0</v>
      </c>
      <c r="C40" s="81">
        <v>0</v>
      </c>
      <c r="D40" s="81">
        <v>0</v>
      </c>
      <c r="E40" s="81">
        <v>0</v>
      </c>
      <c r="F40" s="81">
        <v>0</v>
      </c>
      <c r="G40" s="81">
        <v>0</v>
      </c>
      <c r="H40" s="81">
        <v>0</v>
      </c>
    </row>
    <row r="41" spans="1:8" x14ac:dyDescent="0.25">
      <c r="A41" t="s">
        <v>101</v>
      </c>
      <c r="B41" s="81">
        <v>0</v>
      </c>
      <c r="C41" s="81">
        <v>0</v>
      </c>
      <c r="D41" s="81">
        <v>0</v>
      </c>
      <c r="E41" s="81">
        <v>0</v>
      </c>
      <c r="F41" s="81">
        <v>0</v>
      </c>
      <c r="G41" s="81">
        <v>0</v>
      </c>
      <c r="H41" s="81">
        <v>0</v>
      </c>
    </row>
    <row r="42" spans="1:8" x14ac:dyDescent="0.25">
      <c r="A42" t="s">
        <v>102</v>
      </c>
      <c r="B42" s="81">
        <v>0</v>
      </c>
      <c r="C42" s="81">
        <v>0</v>
      </c>
      <c r="D42" s="81">
        <v>0</v>
      </c>
      <c r="E42" s="81">
        <v>0</v>
      </c>
      <c r="F42" s="81">
        <v>0</v>
      </c>
      <c r="G42" s="81">
        <v>0</v>
      </c>
      <c r="H42" s="81">
        <v>0</v>
      </c>
    </row>
    <row r="43" spans="1:8" x14ac:dyDescent="0.25">
      <c r="A43" t="s">
        <v>103</v>
      </c>
      <c r="B43" s="81">
        <v>0</v>
      </c>
      <c r="C43" s="81">
        <v>0</v>
      </c>
      <c r="D43" s="81">
        <v>0</v>
      </c>
      <c r="E43" s="81">
        <v>0</v>
      </c>
      <c r="F43" s="81">
        <v>0</v>
      </c>
      <c r="G43" s="81">
        <v>0</v>
      </c>
      <c r="H43" s="81">
        <v>0</v>
      </c>
    </row>
    <row r="44" spans="1:8" x14ac:dyDescent="0.25">
      <c r="A44" t="s">
        <v>104</v>
      </c>
      <c r="B44" s="81">
        <v>0</v>
      </c>
      <c r="C44" s="81">
        <v>0</v>
      </c>
      <c r="D44" s="81">
        <v>0</v>
      </c>
      <c r="E44" s="81">
        <v>0</v>
      </c>
      <c r="F44" s="81">
        <v>0</v>
      </c>
      <c r="G44" s="81">
        <v>0</v>
      </c>
      <c r="H44" s="81">
        <v>0</v>
      </c>
    </row>
    <row r="45" spans="1:8" x14ac:dyDescent="0.25">
      <c r="A45" t="s">
        <v>105</v>
      </c>
      <c r="B45" s="81">
        <v>0</v>
      </c>
      <c r="C45" s="81">
        <v>0</v>
      </c>
      <c r="D45" s="81">
        <v>0</v>
      </c>
      <c r="E45" s="81">
        <v>0</v>
      </c>
      <c r="F45" s="81">
        <v>0</v>
      </c>
      <c r="G45" s="81">
        <v>0</v>
      </c>
      <c r="H45" s="81">
        <v>0</v>
      </c>
    </row>
    <row r="46" spans="1:8" x14ac:dyDescent="0.25">
      <c r="A46" t="s">
        <v>106</v>
      </c>
      <c r="B46" s="81">
        <v>0</v>
      </c>
      <c r="C46" s="81">
        <v>0</v>
      </c>
      <c r="D46" s="81">
        <v>0</v>
      </c>
      <c r="E46" s="81">
        <v>0</v>
      </c>
      <c r="F46" s="81">
        <v>0</v>
      </c>
      <c r="G46" s="81">
        <v>0</v>
      </c>
      <c r="H46" s="81">
        <v>0</v>
      </c>
    </row>
    <row r="47" spans="1:8" x14ac:dyDescent="0.25">
      <c r="A47" t="s">
        <v>107</v>
      </c>
      <c r="B47" s="81">
        <v>0</v>
      </c>
      <c r="C47" s="81">
        <v>0</v>
      </c>
      <c r="D47" s="81">
        <v>0</v>
      </c>
      <c r="E47" s="81">
        <v>0</v>
      </c>
      <c r="F47" s="81">
        <v>0</v>
      </c>
      <c r="G47" s="81">
        <v>0</v>
      </c>
      <c r="H47" s="81">
        <v>0</v>
      </c>
    </row>
    <row r="48" spans="1:8" x14ac:dyDescent="0.25">
      <c r="A48" t="s">
        <v>108</v>
      </c>
      <c r="B48" s="81">
        <v>0</v>
      </c>
      <c r="C48" s="81">
        <v>0</v>
      </c>
      <c r="D48" s="81">
        <v>0</v>
      </c>
      <c r="E48" s="81">
        <v>0</v>
      </c>
      <c r="F48" s="81">
        <v>0</v>
      </c>
      <c r="G48" s="81">
        <v>0</v>
      </c>
      <c r="H48" s="81">
        <v>0</v>
      </c>
    </row>
    <row r="49" spans="1:8" x14ac:dyDescent="0.25">
      <c r="A49" t="s">
        <v>109</v>
      </c>
      <c r="B49" s="81">
        <v>0</v>
      </c>
      <c r="C49" s="81">
        <v>0</v>
      </c>
      <c r="D49" s="81">
        <v>0</v>
      </c>
      <c r="E49" s="81">
        <v>0</v>
      </c>
      <c r="F49" s="81">
        <v>0</v>
      </c>
      <c r="G49" s="81">
        <v>0</v>
      </c>
      <c r="H49" s="81">
        <v>0</v>
      </c>
    </row>
    <row r="50" spans="1:8" x14ac:dyDescent="0.25">
      <c r="A50" t="s">
        <v>110</v>
      </c>
      <c r="B50" s="81">
        <v>0</v>
      </c>
      <c r="C50" s="81">
        <v>0</v>
      </c>
      <c r="D50" s="81">
        <v>0</v>
      </c>
      <c r="E50" s="81">
        <v>0</v>
      </c>
      <c r="F50" s="81">
        <v>0</v>
      </c>
      <c r="G50" s="81">
        <v>0</v>
      </c>
      <c r="H50" s="81">
        <v>0</v>
      </c>
    </row>
    <row r="51" spans="1:8" x14ac:dyDescent="0.25">
      <c r="A51" t="s">
        <v>111</v>
      </c>
      <c r="B51" s="81">
        <v>0</v>
      </c>
      <c r="C51" s="81">
        <v>0</v>
      </c>
      <c r="D51" s="81">
        <v>0</v>
      </c>
      <c r="E51" s="81">
        <v>0</v>
      </c>
      <c r="F51" s="81">
        <v>0</v>
      </c>
      <c r="G51" s="81">
        <v>0</v>
      </c>
      <c r="H51" s="81">
        <v>0</v>
      </c>
    </row>
    <row r="52" spans="1:8" x14ac:dyDescent="0.25">
      <c r="A52" t="s">
        <v>112</v>
      </c>
      <c r="B52" s="81">
        <v>0</v>
      </c>
      <c r="C52" s="81">
        <v>0</v>
      </c>
      <c r="D52" s="81">
        <v>0</v>
      </c>
      <c r="E52" s="81">
        <v>0</v>
      </c>
      <c r="F52" s="81">
        <v>0</v>
      </c>
      <c r="G52" s="81">
        <v>0</v>
      </c>
      <c r="H52" s="81">
        <v>0</v>
      </c>
    </row>
    <row r="53" spans="1:8" x14ac:dyDescent="0.25">
      <c r="A53" t="s">
        <v>113</v>
      </c>
      <c r="B53" s="81">
        <v>0</v>
      </c>
      <c r="C53" s="81">
        <v>0</v>
      </c>
      <c r="D53" s="81">
        <v>0</v>
      </c>
      <c r="E53" s="81">
        <v>0</v>
      </c>
      <c r="F53" s="81">
        <v>0</v>
      </c>
      <c r="G53" s="81">
        <v>0</v>
      </c>
      <c r="H53" s="81">
        <v>0</v>
      </c>
    </row>
    <row r="54" spans="1:8" x14ac:dyDescent="0.25">
      <c r="A54" t="s">
        <v>114</v>
      </c>
      <c r="B54" s="81">
        <v>0</v>
      </c>
      <c r="C54" s="81">
        <v>0</v>
      </c>
      <c r="D54" s="81">
        <v>0</v>
      </c>
      <c r="E54" s="81">
        <v>0</v>
      </c>
      <c r="F54" s="81">
        <v>0</v>
      </c>
      <c r="G54" s="81">
        <v>0</v>
      </c>
      <c r="H54" s="81">
        <v>0</v>
      </c>
    </row>
    <row r="55" spans="1:8" x14ac:dyDescent="0.25">
      <c r="A55" t="s">
        <v>115</v>
      </c>
      <c r="B55" s="81">
        <v>0</v>
      </c>
      <c r="C55" s="81">
        <v>0</v>
      </c>
      <c r="D55" s="81">
        <v>0</v>
      </c>
      <c r="E55" s="81">
        <v>0</v>
      </c>
      <c r="F55" s="81">
        <v>0</v>
      </c>
      <c r="G55" s="81">
        <v>0</v>
      </c>
      <c r="H55" s="81">
        <v>0</v>
      </c>
    </row>
    <row r="56" spans="1:8" x14ac:dyDescent="0.25">
      <c r="A56" t="s">
        <v>116</v>
      </c>
      <c r="B56" s="81">
        <v>0</v>
      </c>
      <c r="C56" s="81">
        <v>0</v>
      </c>
      <c r="D56" s="81">
        <v>0</v>
      </c>
      <c r="E56" s="81">
        <v>0</v>
      </c>
      <c r="F56" s="81">
        <v>0</v>
      </c>
      <c r="G56" s="81">
        <v>0</v>
      </c>
      <c r="H56" s="81">
        <v>0</v>
      </c>
    </row>
    <row r="57" spans="1:8" x14ac:dyDescent="0.25">
      <c r="A57" t="s">
        <v>117</v>
      </c>
      <c r="B57" s="81">
        <v>0</v>
      </c>
      <c r="C57" s="81">
        <v>0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</row>
    <row r="58" spans="1:8" x14ac:dyDescent="0.25">
      <c r="A58" t="s">
        <v>118</v>
      </c>
      <c r="B58" s="81">
        <v>0</v>
      </c>
      <c r="C58" s="81">
        <v>0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</row>
    <row r="59" spans="1:8" x14ac:dyDescent="0.25">
      <c r="A59" t="s">
        <v>119</v>
      </c>
      <c r="B59" s="81">
        <v>0</v>
      </c>
      <c r="C59" s="81">
        <v>0</v>
      </c>
      <c r="D59" s="81">
        <v>0</v>
      </c>
      <c r="E59" s="81">
        <v>0</v>
      </c>
      <c r="F59" s="81">
        <v>0</v>
      </c>
      <c r="G59" s="81">
        <v>0</v>
      </c>
      <c r="H59" s="81">
        <v>0</v>
      </c>
    </row>
    <row r="60" spans="1:8" x14ac:dyDescent="0.25">
      <c r="A60" t="s">
        <v>120</v>
      </c>
      <c r="B60" s="81">
        <v>0</v>
      </c>
      <c r="C60" s="81">
        <v>0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</row>
    <row r="61" spans="1:8" x14ac:dyDescent="0.25">
      <c r="A61" t="s">
        <v>121</v>
      </c>
      <c r="B61" s="81">
        <v>0</v>
      </c>
      <c r="C61" s="81">
        <v>0</v>
      </c>
      <c r="D61" s="81">
        <v>0</v>
      </c>
      <c r="E61" s="81">
        <v>0</v>
      </c>
      <c r="F61" s="81">
        <v>0</v>
      </c>
      <c r="G61" s="81">
        <v>0</v>
      </c>
      <c r="H61" s="81">
        <v>0</v>
      </c>
    </row>
    <row r="62" spans="1:8" x14ac:dyDescent="0.25">
      <c r="A62" t="s">
        <v>122</v>
      </c>
      <c r="B62" s="81">
        <v>0</v>
      </c>
      <c r="C62" s="81">
        <v>0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</row>
    <row r="63" spans="1:8" x14ac:dyDescent="0.25">
      <c r="A63" t="s">
        <v>123</v>
      </c>
      <c r="B63" s="81">
        <v>0</v>
      </c>
      <c r="C63" s="81">
        <v>0</v>
      </c>
      <c r="D63" s="81">
        <v>0</v>
      </c>
      <c r="E63" s="81">
        <v>0</v>
      </c>
      <c r="F63" s="81">
        <v>0</v>
      </c>
      <c r="G63" s="81">
        <v>0</v>
      </c>
      <c r="H63" s="81">
        <v>0</v>
      </c>
    </row>
    <row r="64" spans="1:8" x14ac:dyDescent="0.25">
      <c r="A64" t="s">
        <v>124</v>
      </c>
      <c r="B64" s="81">
        <v>0</v>
      </c>
      <c r="C64" s="81">
        <v>0</v>
      </c>
      <c r="D64" s="81">
        <v>0</v>
      </c>
      <c r="E64" s="81">
        <v>0</v>
      </c>
      <c r="F64" s="81">
        <v>0</v>
      </c>
      <c r="G64" s="81">
        <v>0</v>
      </c>
      <c r="H64" s="81">
        <v>0</v>
      </c>
    </row>
    <row r="65" spans="1:8" x14ac:dyDescent="0.25">
      <c r="A65" t="s">
        <v>125</v>
      </c>
      <c r="B65" s="81">
        <v>0</v>
      </c>
      <c r="C65" s="81">
        <v>0</v>
      </c>
      <c r="D65" s="81">
        <v>0</v>
      </c>
      <c r="E65" s="81">
        <v>0</v>
      </c>
      <c r="F65" s="81">
        <v>0</v>
      </c>
      <c r="G65" s="81">
        <v>0</v>
      </c>
      <c r="H65" s="81">
        <v>0</v>
      </c>
    </row>
    <row r="66" spans="1:8" x14ac:dyDescent="0.25">
      <c r="A66" t="s">
        <v>126</v>
      </c>
      <c r="B66" s="81">
        <v>0</v>
      </c>
      <c r="C66" s="81">
        <v>0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</row>
    <row r="67" spans="1:8" x14ac:dyDescent="0.25">
      <c r="A67" t="s">
        <v>127</v>
      </c>
      <c r="B67" s="81">
        <v>0</v>
      </c>
      <c r="C67" s="81">
        <v>0</v>
      </c>
      <c r="D67" s="81">
        <v>0</v>
      </c>
      <c r="E67" s="81">
        <v>0</v>
      </c>
      <c r="F67" s="81">
        <v>0</v>
      </c>
      <c r="G67" s="81">
        <v>0</v>
      </c>
      <c r="H67" s="81">
        <v>0</v>
      </c>
    </row>
    <row r="68" spans="1:8" x14ac:dyDescent="0.25">
      <c r="A68" t="s">
        <v>128</v>
      </c>
      <c r="B68" s="81">
        <v>0</v>
      </c>
      <c r="C68" s="81">
        <v>0</v>
      </c>
      <c r="D68" s="81">
        <v>0</v>
      </c>
      <c r="E68" s="81">
        <v>0</v>
      </c>
      <c r="F68" s="81">
        <v>0</v>
      </c>
      <c r="G68" s="81">
        <v>0</v>
      </c>
      <c r="H68" s="81">
        <v>0</v>
      </c>
    </row>
    <row r="69" spans="1:8" x14ac:dyDescent="0.25">
      <c r="A69" t="s">
        <v>129</v>
      </c>
      <c r="B69" s="81">
        <v>0</v>
      </c>
      <c r="C69" s="81">
        <v>0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</row>
    <row r="70" spans="1:8" x14ac:dyDescent="0.25">
      <c r="A70" t="s">
        <v>130</v>
      </c>
      <c r="B70" s="81">
        <v>0</v>
      </c>
      <c r="C70" s="81">
        <v>0</v>
      </c>
      <c r="D70" s="81">
        <v>0</v>
      </c>
      <c r="E70" s="81">
        <v>0</v>
      </c>
      <c r="F70" s="81">
        <v>0</v>
      </c>
      <c r="G70" s="81">
        <v>0</v>
      </c>
      <c r="H70" s="81">
        <v>0</v>
      </c>
    </row>
    <row r="71" spans="1:8" x14ac:dyDescent="0.25">
      <c r="A71" t="s">
        <v>131</v>
      </c>
      <c r="B71" s="81">
        <v>0</v>
      </c>
      <c r="C71" s="81">
        <v>0</v>
      </c>
      <c r="D71" s="81">
        <v>0</v>
      </c>
      <c r="E71" s="81">
        <v>0</v>
      </c>
      <c r="F71" s="81">
        <v>0</v>
      </c>
      <c r="G71" s="81">
        <v>0</v>
      </c>
      <c r="H71" s="81">
        <v>0</v>
      </c>
    </row>
    <row r="72" spans="1:8" x14ac:dyDescent="0.25">
      <c r="A72" t="s">
        <v>132</v>
      </c>
      <c r="B72" s="81">
        <v>0</v>
      </c>
      <c r="C72" s="81">
        <v>0</v>
      </c>
      <c r="D72" s="81">
        <v>0</v>
      </c>
      <c r="E72" s="81">
        <v>0</v>
      </c>
      <c r="F72" s="81">
        <v>0</v>
      </c>
      <c r="G72" s="81">
        <v>0</v>
      </c>
      <c r="H72" s="81">
        <v>0</v>
      </c>
    </row>
    <row r="73" spans="1:8" x14ac:dyDescent="0.25">
      <c r="A73" t="s">
        <v>133</v>
      </c>
      <c r="B73" s="81">
        <v>0</v>
      </c>
      <c r="C73" s="81">
        <v>0</v>
      </c>
      <c r="D73" s="81">
        <v>0</v>
      </c>
      <c r="E73" s="81">
        <v>0</v>
      </c>
      <c r="F73" s="81">
        <v>0</v>
      </c>
      <c r="G73" s="81">
        <v>0</v>
      </c>
      <c r="H73" s="81">
        <v>0</v>
      </c>
    </row>
    <row r="74" spans="1:8" x14ac:dyDescent="0.25">
      <c r="A74" t="s">
        <v>134</v>
      </c>
      <c r="B74" s="81">
        <v>0</v>
      </c>
      <c r="C74" s="81">
        <v>0</v>
      </c>
      <c r="D74" s="81">
        <v>0</v>
      </c>
      <c r="E74" s="81">
        <v>0</v>
      </c>
      <c r="F74" s="81">
        <v>0</v>
      </c>
      <c r="G74" s="81">
        <v>0</v>
      </c>
      <c r="H74" s="81">
        <v>0</v>
      </c>
    </row>
    <row r="75" spans="1:8" x14ac:dyDescent="0.25">
      <c r="A75" t="s">
        <v>135</v>
      </c>
      <c r="B75" s="81">
        <v>0</v>
      </c>
      <c r="C75" s="81">
        <v>0</v>
      </c>
      <c r="D75" s="81">
        <v>0</v>
      </c>
      <c r="E75" s="81">
        <v>0</v>
      </c>
      <c r="F75" s="81">
        <v>0</v>
      </c>
      <c r="G75" s="81">
        <v>0</v>
      </c>
      <c r="H75" s="81">
        <v>0</v>
      </c>
    </row>
    <row r="76" spans="1:8" x14ac:dyDescent="0.25">
      <c r="A76" t="s">
        <v>136</v>
      </c>
      <c r="B76" s="81">
        <v>0</v>
      </c>
      <c r="C76" s="81">
        <v>0</v>
      </c>
      <c r="D76" s="81">
        <v>0</v>
      </c>
      <c r="E76" s="81">
        <v>0</v>
      </c>
      <c r="F76" s="81">
        <v>0</v>
      </c>
      <c r="G76" s="81">
        <v>0</v>
      </c>
      <c r="H76" s="81">
        <v>0</v>
      </c>
    </row>
    <row r="77" spans="1:8" x14ac:dyDescent="0.25">
      <c r="A77" t="s">
        <v>137</v>
      </c>
      <c r="B77" s="81">
        <v>0</v>
      </c>
      <c r="C77" s="81">
        <v>0</v>
      </c>
      <c r="D77" s="81">
        <v>0</v>
      </c>
      <c r="E77" s="81">
        <v>0</v>
      </c>
      <c r="F77" s="81">
        <v>0</v>
      </c>
      <c r="G77" s="81">
        <v>0</v>
      </c>
      <c r="H77" s="81">
        <v>0</v>
      </c>
    </row>
    <row r="78" spans="1:8" x14ac:dyDescent="0.25">
      <c r="A78" t="s">
        <v>138</v>
      </c>
      <c r="B78" s="81">
        <v>0</v>
      </c>
      <c r="C78" s="81">
        <v>0</v>
      </c>
      <c r="D78" s="81">
        <v>0</v>
      </c>
      <c r="E78" s="81">
        <v>0</v>
      </c>
      <c r="F78" s="81">
        <v>0</v>
      </c>
      <c r="G78" s="81">
        <v>0</v>
      </c>
      <c r="H78" s="81">
        <v>0</v>
      </c>
    </row>
    <row r="79" spans="1:8" x14ac:dyDescent="0.25">
      <c r="A79" t="s">
        <v>139</v>
      </c>
      <c r="B79" s="81">
        <v>0</v>
      </c>
      <c r="C79" s="81">
        <v>0</v>
      </c>
      <c r="D79" s="81">
        <v>0</v>
      </c>
      <c r="E79" s="81">
        <v>0</v>
      </c>
      <c r="F79" s="81">
        <v>0</v>
      </c>
      <c r="G79" s="81">
        <v>0</v>
      </c>
      <c r="H79" s="81">
        <v>0</v>
      </c>
    </row>
    <row r="80" spans="1:8" x14ac:dyDescent="0.25">
      <c r="A80" t="s">
        <v>140</v>
      </c>
      <c r="B80" s="81">
        <v>0</v>
      </c>
      <c r="C80" s="81">
        <v>0</v>
      </c>
      <c r="D80" s="81">
        <v>0</v>
      </c>
      <c r="E80" s="81">
        <v>0</v>
      </c>
      <c r="F80" s="81">
        <v>0</v>
      </c>
      <c r="G80" s="81">
        <v>0</v>
      </c>
      <c r="H80" s="81">
        <v>0</v>
      </c>
    </row>
    <row r="81" spans="1:8" x14ac:dyDescent="0.25">
      <c r="A81" t="s">
        <v>141</v>
      </c>
      <c r="B81" s="81">
        <v>0</v>
      </c>
      <c r="C81" s="81">
        <v>0</v>
      </c>
      <c r="D81" s="81">
        <v>0</v>
      </c>
      <c r="E81" s="81">
        <v>0</v>
      </c>
      <c r="F81" s="81">
        <v>0</v>
      </c>
      <c r="G81" s="81">
        <v>0</v>
      </c>
      <c r="H81" s="81">
        <v>0</v>
      </c>
    </row>
    <row r="82" spans="1:8" x14ac:dyDescent="0.25">
      <c r="A82" t="s">
        <v>142</v>
      </c>
      <c r="B82" s="81">
        <v>0</v>
      </c>
      <c r="C82" s="81">
        <v>0</v>
      </c>
      <c r="D82" s="81">
        <v>0</v>
      </c>
      <c r="E82" s="81">
        <v>0</v>
      </c>
      <c r="F82" s="81">
        <v>0</v>
      </c>
      <c r="G82" s="81">
        <v>0</v>
      </c>
      <c r="H82" s="81">
        <v>0</v>
      </c>
    </row>
    <row r="83" spans="1:8" x14ac:dyDescent="0.25">
      <c r="A83" t="s">
        <v>143</v>
      </c>
      <c r="B83" s="81">
        <v>0</v>
      </c>
      <c r="C83" s="81">
        <v>0</v>
      </c>
      <c r="D83" s="81">
        <v>0</v>
      </c>
      <c r="E83" s="81">
        <v>0</v>
      </c>
      <c r="F83" s="81">
        <v>0</v>
      </c>
      <c r="G83" s="81">
        <v>0</v>
      </c>
      <c r="H83" s="81">
        <v>0</v>
      </c>
    </row>
    <row r="84" spans="1:8" x14ac:dyDescent="0.25">
      <c r="A84" t="s">
        <v>144</v>
      </c>
      <c r="B84" s="81">
        <v>0</v>
      </c>
      <c r="C84" s="81">
        <v>0</v>
      </c>
      <c r="D84" s="81">
        <v>0</v>
      </c>
      <c r="E84" s="81">
        <v>0</v>
      </c>
      <c r="F84" s="81">
        <v>0</v>
      </c>
      <c r="G84" s="81">
        <v>0</v>
      </c>
      <c r="H84" s="81">
        <v>0</v>
      </c>
    </row>
    <row r="85" spans="1:8" x14ac:dyDescent="0.25">
      <c r="A85" t="s">
        <v>145</v>
      </c>
      <c r="B85" s="81">
        <v>0</v>
      </c>
      <c r="C85" s="81">
        <v>0</v>
      </c>
      <c r="D85" s="81">
        <v>0</v>
      </c>
      <c r="E85" s="81">
        <v>0</v>
      </c>
      <c r="F85" s="81">
        <v>0</v>
      </c>
      <c r="G85" s="81">
        <v>0</v>
      </c>
      <c r="H85" s="81">
        <v>0</v>
      </c>
    </row>
    <row r="86" spans="1:8" x14ac:dyDescent="0.25">
      <c r="A86" t="s">
        <v>146</v>
      </c>
      <c r="B86" s="81">
        <v>0</v>
      </c>
      <c r="C86" s="81">
        <v>0</v>
      </c>
      <c r="D86" s="81">
        <v>0</v>
      </c>
      <c r="E86" s="81">
        <v>0</v>
      </c>
      <c r="F86" s="81">
        <v>0</v>
      </c>
      <c r="G86" s="81">
        <v>0</v>
      </c>
      <c r="H86" s="81">
        <v>0</v>
      </c>
    </row>
    <row r="87" spans="1:8" x14ac:dyDescent="0.25">
      <c r="A87" t="s">
        <v>147</v>
      </c>
      <c r="B87" s="81">
        <v>0</v>
      </c>
      <c r="C87" s="81">
        <v>0</v>
      </c>
      <c r="D87" s="81">
        <v>0</v>
      </c>
      <c r="E87" s="81">
        <v>0</v>
      </c>
      <c r="F87" s="81">
        <v>0</v>
      </c>
      <c r="G87" s="81">
        <v>0</v>
      </c>
      <c r="H87" s="81">
        <v>0</v>
      </c>
    </row>
    <row r="88" spans="1:8" x14ac:dyDescent="0.25">
      <c r="A88" t="s">
        <v>148</v>
      </c>
      <c r="B88" s="81">
        <v>0</v>
      </c>
      <c r="C88" s="81">
        <v>0</v>
      </c>
      <c r="D88" s="81">
        <v>0</v>
      </c>
      <c r="E88" s="81">
        <v>0</v>
      </c>
      <c r="F88" s="81">
        <v>0</v>
      </c>
      <c r="G88" s="81">
        <v>0</v>
      </c>
      <c r="H88" s="81">
        <v>0</v>
      </c>
    </row>
    <row r="89" spans="1:8" x14ac:dyDescent="0.25">
      <c r="A89" t="s">
        <v>149</v>
      </c>
      <c r="B89" s="81">
        <v>0</v>
      </c>
      <c r="C89" s="81">
        <v>0</v>
      </c>
      <c r="D89" s="81">
        <v>0</v>
      </c>
      <c r="E89" s="81">
        <v>0</v>
      </c>
      <c r="F89" s="81">
        <v>0</v>
      </c>
      <c r="G89" s="81">
        <v>0</v>
      </c>
      <c r="H89" s="81">
        <v>0</v>
      </c>
    </row>
    <row r="90" spans="1:8" x14ac:dyDescent="0.25">
      <c r="A90" t="s">
        <v>150</v>
      </c>
      <c r="B90" s="81">
        <v>0</v>
      </c>
      <c r="C90" s="81">
        <v>0</v>
      </c>
      <c r="D90" s="81">
        <v>0</v>
      </c>
      <c r="E90" s="81">
        <v>0</v>
      </c>
      <c r="F90" s="81">
        <v>0</v>
      </c>
      <c r="G90" s="81">
        <v>0</v>
      </c>
      <c r="H90" s="81">
        <v>0</v>
      </c>
    </row>
    <row r="91" spans="1:8" x14ac:dyDescent="0.25">
      <c r="A91" t="s">
        <v>151</v>
      </c>
      <c r="B91" s="81">
        <v>0</v>
      </c>
      <c r="C91" s="81">
        <v>0</v>
      </c>
      <c r="D91" s="81">
        <v>0</v>
      </c>
      <c r="E91" s="81">
        <v>0</v>
      </c>
      <c r="F91" s="81">
        <v>0</v>
      </c>
      <c r="G91" s="81">
        <v>0</v>
      </c>
      <c r="H91" s="81">
        <v>0</v>
      </c>
    </row>
    <row r="92" spans="1:8" x14ac:dyDescent="0.25">
      <c r="A92" t="s">
        <v>152</v>
      </c>
      <c r="B92" s="81">
        <v>0</v>
      </c>
      <c r="C92" s="81">
        <v>0</v>
      </c>
      <c r="D92" s="81">
        <v>0</v>
      </c>
      <c r="E92" s="81">
        <v>0</v>
      </c>
      <c r="F92" s="81">
        <v>0</v>
      </c>
      <c r="G92" s="81">
        <v>0</v>
      </c>
      <c r="H92" s="81">
        <v>0</v>
      </c>
    </row>
    <row r="93" spans="1:8" x14ac:dyDescent="0.25">
      <c r="A93" t="s">
        <v>153</v>
      </c>
      <c r="B93" s="81">
        <v>0</v>
      </c>
      <c r="C93" s="81">
        <v>0</v>
      </c>
      <c r="D93" s="81">
        <v>0</v>
      </c>
      <c r="E93" s="81">
        <v>0</v>
      </c>
      <c r="F93" s="81">
        <v>0</v>
      </c>
      <c r="G93" s="81">
        <v>0</v>
      </c>
      <c r="H93" s="81">
        <v>0</v>
      </c>
    </row>
    <row r="94" spans="1:8" x14ac:dyDescent="0.25">
      <c r="A94" t="s">
        <v>154</v>
      </c>
      <c r="B94" s="81">
        <v>0</v>
      </c>
      <c r="C94" s="81">
        <v>0</v>
      </c>
      <c r="D94" s="81">
        <v>0</v>
      </c>
      <c r="E94" s="81">
        <v>0</v>
      </c>
      <c r="F94" s="81">
        <v>0</v>
      </c>
      <c r="G94" s="81">
        <v>0</v>
      </c>
      <c r="H94" s="81">
        <v>0</v>
      </c>
    </row>
    <row r="95" spans="1:8" x14ac:dyDescent="0.25">
      <c r="A95" t="s">
        <v>155</v>
      </c>
      <c r="B95" s="81">
        <v>0</v>
      </c>
      <c r="C95" s="81">
        <v>0</v>
      </c>
      <c r="D95" s="81">
        <v>0</v>
      </c>
      <c r="E95" s="81">
        <v>0</v>
      </c>
      <c r="F95" s="81">
        <v>0</v>
      </c>
      <c r="G95" s="81">
        <v>0</v>
      </c>
      <c r="H95" s="81">
        <v>0</v>
      </c>
    </row>
    <row r="96" spans="1:8" x14ac:dyDescent="0.25">
      <c r="A96" t="s">
        <v>156</v>
      </c>
      <c r="B96" s="81">
        <v>0</v>
      </c>
      <c r="C96" s="81">
        <v>0</v>
      </c>
      <c r="D96" s="81">
        <v>0</v>
      </c>
      <c r="E96" s="81">
        <v>0</v>
      </c>
      <c r="F96" s="81">
        <v>0</v>
      </c>
      <c r="G96" s="81">
        <v>0</v>
      </c>
      <c r="H96" s="81">
        <v>0</v>
      </c>
    </row>
    <row r="97" spans="1:8" x14ac:dyDescent="0.25">
      <c r="A97" t="s">
        <v>157</v>
      </c>
      <c r="B97" s="81">
        <v>0</v>
      </c>
      <c r="C97" s="81">
        <v>0</v>
      </c>
      <c r="D97" s="81">
        <v>0</v>
      </c>
      <c r="E97" s="81">
        <v>0</v>
      </c>
      <c r="F97" s="81">
        <v>0</v>
      </c>
      <c r="G97" s="81">
        <v>0</v>
      </c>
      <c r="H97" s="81">
        <v>0</v>
      </c>
    </row>
    <row r="98" spans="1:8" x14ac:dyDescent="0.25">
      <c r="A98" t="s">
        <v>158</v>
      </c>
      <c r="B98" s="81">
        <v>0</v>
      </c>
      <c r="C98" s="81">
        <v>0</v>
      </c>
      <c r="D98" s="81">
        <v>0</v>
      </c>
      <c r="E98" s="81">
        <v>0</v>
      </c>
      <c r="F98" s="81">
        <v>0</v>
      </c>
      <c r="G98" s="81">
        <v>0</v>
      </c>
      <c r="H98" s="81">
        <v>0</v>
      </c>
    </row>
    <row r="99" spans="1:8" x14ac:dyDescent="0.25">
      <c r="A99" t="s">
        <v>159</v>
      </c>
      <c r="B99" s="81">
        <v>0</v>
      </c>
      <c r="C99" s="81">
        <v>0</v>
      </c>
      <c r="D99" s="81">
        <v>0</v>
      </c>
      <c r="E99" s="81">
        <v>0</v>
      </c>
      <c r="F99" s="81">
        <v>0</v>
      </c>
      <c r="G99" s="81">
        <v>0</v>
      </c>
      <c r="H99" s="81">
        <v>0</v>
      </c>
    </row>
    <row r="100" spans="1:8" x14ac:dyDescent="0.25">
      <c r="A100" t="s">
        <v>160</v>
      </c>
      <c r="B100" s="81">
        <v>0</v>
      </c>
      <c r="C100" s="81">
        <v>0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</row>
    <row r="101" spans="1:8" x14ac:dyDescent="0.25">
      <c r="A101" t="s">
        <v>161</v>
      </c>
      <c r="B101" s="81">
        <v>0</v>
      </c>
      <c r="C101" s="81">
        <v>0</v>
      </c>
      <c r="D101" s="81">
        <v>0</v>
      </c>
      <c r="E101" s="81">
        <v>0</v>
      </c>
      <c r="F101" s="81">
        <v>0</v>
      </c>
      <c r="G101" s="81">
        <v>0</v>
      </c>
      <c r="H101" s="81">
        <v>0</v>
      </c>
    </row>
    <row r="102" spans="1:8" x14ac:dyDescent="0.25">
      <c r="A102" t="s">
        <v>162</v>
      </c>
      <c r="B102" s="81">
        <v>0</v>
      </c>
      <c r="C102" s="81">
        <v>0</v>
      </c>
      <c r="D102" s="81">
        <v>0</v>
      </c>
      <c r="E102" s="81">
        <v>0</v>
      </c>
      <c r="F102" s="81">
        <v>0</v>
      </c>
      <c r="G102" s="81">
        <v>0</v>
      </c>
      <c r="H102" s="81">
        <v>0</v>
      </c>
    </row>
    <row r="103" spans="1:8" x14ac:dyDescent="0.25">
      <c r="A103" t="s">
        <v>163</v>
      </c>
      <c r="B103" s="81">
        <v>0</v>
      </c>
      <c r="C103" s="81">
        <v>0</v>
      </c>
      <c r="D103" s="81">
        <v>0</v>
      </c>
      <c r="E103" s="81">
        <v>0</v>
      </c>
      <c r="F103" s="81">
        <v>0</v>
      </c>
      <c r="G103" s="81">
        <v>0</v>
      </c>
      <c r="H103" s="81">
        <v>0</v>
      </c>
    </row>
    <row r="104" spans="1:8" x14ac:dyDescent="0.25">
      <c r="A104" t="s">
        <v>164</v>
      </c>
      <c r="B104" s="81">
        <v>0</v>
      </c>
      <c r="C104" s="81">
        <v>0</v>
      </c>
      <c r="D104" s="81">
        <v>0</v>
      </c>
      <c r="E104" s="81">
        <v>0</v>
      </c>
      <c r="F104" s="81">
        <v>0</v>
      </c>
      <c r="G104" s="81">
        <v>0</v>
      </c>
      <c r="H104" s="81">
        <v>0</v>
      </c>
    </row>
    <row r="105" spans="1:8" x14ac:dyDescent="0.25">
      <c r="A105" t="s">
        <v>165</v>
      </c>
      <c r="B105" s="81">
        <v>0</v>
      </c>
      <c r="C105" s="81">
        <v>0</v>
      </c>
      <c r="D105" s="81">
        <v>0</v>
      </c>
      <c r="E105" s="81">
        <v>0</v>
      </c>
      <c r="F105" s="81">
        <v>0</v>
      </c>
      <c r="G105" s="81">
        <v>0</v>
      </c>
      <c r="H105" s="81">
        <v>0</v>
      </c>
    </row>
    <row r="106" spans="1:8" x14ac:dyDescent="0.25">
      <c r="A106" t="s">
        <v>166</v>
      </c>
      <c r="B106" s="81">
        <v>0</v>
      </c>
      <c r="C106" s="81">
        <v>0</v>
      </c>
      <c r="D106" s="81">
        <v>0</v>
      </c>
      <c r="E106" s="81">
        <v>0</v>
      </c>
      <c r="F106" s="81">
        <v>0</v>
      </c>
      <c r="G106" s="81">
        <v>0</v>
      </c>
      <c r="H106" s="81">
        <v>0</v>
      </c>
    </row>
    <row r="107" spans="1:8" x14ac:dyDescent="0.25">
      <c r="A107" t="s">
        <v>167</v>
      </c>
      <c r="B107" s="81">
        <v>0</v>
      </c>
      <c r="C107" s="81">
        <v>0</v>
      </c>
      <c r="D107" s="81">
        <v>0</v>
      </c>
      <c r="E107" s="81">
        <v>0</v>
      </c>
      <c r="F107" s="81">
        <v>0</v>
      </c>
      <c r="G107" s="81">
        <v>0</v>
      </c>
      <c r="H107" s="81">
        <v>0</v>
      </c>
    </row>
    <row r="108" spans="1:8" x14ac:dyDescent="0.25">
      <c r="A108" t="s">
        <v>168</v>
      </c>
      <c r="B108" s="81">
        <v>0</v>
      </c>
      <c r="C108" s="81">
        <v>0</v>
      </c>
      <c r="D108" s="81">
        <v>0</v>
      </c>
      <c r="E108" s="81">
        <v>0</v>
      </c>
      <c r="F108" s="81">
        <v>0</v>
      </c>
      <c r="G108" s="81">
        <v>0</v>
      </c>
      <c r="H108" s="81">
        <v>0</v>
      </c>
    </row>
    <row r="109" spans="1:8" x14ac:dyDescent="0.25">
      <c r="A109" t="s">
        <v>460</v>
      </c>
      <c r="B109" s="81">
        <v>0</v>
      </c>
      <c r="C109" s="81">
        <v>0</v>
      </c>
      <c r="D109" s="81">
        <v>0</v>
      </c>
      <c r="E109" s="81">
        <v>0</v>
      </c>
      <c r="F109" s="81">
        <v>0</v>
      </c>
      <c r="G109" s="81">
        <v>0</v>
      </c>
      <c r="H109" s="81">
        <v>0</v>
      </c>
    </row>
    <row r="110" spans="1:8" x14ac:dyDescent="0.25">
      <c r="A110" t="s">
        <v>461</v>
      </c>
      <c r="B110" s="81">
        <v>0</v>
      </c>
      <c r="C110" s="81">
        <v>0</v>
      </c>
      <c r="D110" s="81">
        <v>0</v>
      </c>
      <c r="E110" s="81">
        <v>0</v>
      </c>
      <c r="F110" s="81">
        <v>0</v>
      </c>
      <c r="G110" s="81">
        <v>0</v>
      </c>
      <c r="H110" s="81">
        <v>0</v>
      </c>
    </row>
    <row r="111" spans="1:8" x14ac:dyDescent="0.25">
      <c r="A111" t="s">
        <v>462</v>
      </c>
      <c r="B111" s="81">
        <v>0</v>
      </c>
      <c r="C111" s="81">
        <v>0</v>
      </c>
      <c r="D111" s="81">
        <v>0</v>
      </c>
      <c r="E111" s="81">
        <v>0</v>
      </c>
      <c r="F111" s="81">
        <v>0</v>
      </c>
      <c r="G111" s="81">
        <v>0</v>
      </c>
      <c r="H111" s="81">
        <v>0</v>
      </c>
    </row>
    <row r="112" spans="1:8" x14ac:dyDescent="0.25">
      <c r="A112" t="s">
        <v>463</v>
      </c>
      <c r="B112" s="81">
        <v>0</v>
      </c>
      <c r="C112" s="81">
        <v>0</v>
      </c>
      <c r="D112" s="81">
        <v>0</v>
      </c>
      <c r="E112" s="81">
        <v>0</v>
      </c>
      <c r="F112" s="81">
        <v>0</v>
      </c>
      <c r="G112" s="81">
        <v>0</v>
      </c>
      <c r="H112" s="81">
        <v>0</v>
      </c>
    </row>
    <row r="113" spans="1:8" x14ac:dyDescent="0.25">
      <c r="A113" t="s">
        <v>169</v>
      </c>
      <c r="B113" s="81">
        <v>0</v>
      </c>
      <c r="C113" s="81">
        <v>0</v>
      </c>
      <c r="D113" s="81">
        <v>0</v>
      </c>
      <c r="E113" s="81">
        <v>0</v>
      </c>
      <c r="F113" s="81">
        <v>0</v>
      </c>
      <c r="G113" s="81">
        <v>0</v>
      </c>
      <c r="H113" s="81">
        <v>0</v>
      </c>
    </row>
    <row r="114" spans="1:8" x14ac:dyDescent="0.25">
      <c r="A114" t="s">
        <v>170</v>
      </c>
      <c r="B114" s="81">
        <v>0</v>
      </c>
      <c r="C114" s="81">
        <v>0</v>
      </c>
      <c r="D114" s="81">
        <v>0</v>
      </c>
      <c r="E114" s="81">
        <v>0</v>
      </c>
      <c r="F114" s="81">
        <v>0</v>
      </c>
      <c r="G114" s="81">
        <v>0</v>
      </c>
      <c r="H114" s="81">
        <v>0</v>
      </c>
    </row>
    <row r="115" spans="1:8" x14ac:dyDescent="0.25">
      <c r="A115" t="s">
        <v>171</v>
      </c>
      <c r="B115" s="81">
        <v>0</v>
      </c>
      <c r="C115" s="81">
        <v>0</v>
      </c>
      <c r="D115" s="81">
        <v>0</v>
      </c>
      <c r="E115" s="81">
        <v>0</v>
      </c>
      <c r="F115" s="81">
        <v>0</v>
      </c>
      <c r="G115" s="81">
        <v>0</v>
      </c>
      <c r="H115" s="81">
        <v>0</v>
      </c>
    </row>
    <row r="116" spans="1:8" x14ac:dyDescent="0.25">
      <c r="A116" t="s">
        <v>172</v>
      </c>
      <c r="B116" s="81">
        <v>0</v>
      </c>
      <c r="C116" s="81">
        <v>0</v>
      </c>
      <c r="D116" s="81">
        <v>0</v>
      </c>
      <c r="E116" s="81">
        <v>0</v>
      </c>
      <c r="F116" s="81">
        <v>0</v>
      </c>
      <c r="G116" s="81">
        <v>0</v>
      </c>
      <c r="H116" s="81">
        <v>0</v>
      </c>
    </row>
    <row r="117" spans="1:8" x14ac:dyDescent="0.25">
      <c r="A117" t="s">
        <v>452</v>
      </c>
      <c r="B117" s="81">
        <v>0</v>
      </c>
      <c r="C117" s="81">
        <v>0</v>
      </c>
      <c r="D117" s="81">
        <v>0</v>
      </c>
      <c r="E117" s="81">
        <v>0</v>
      </c>
      <c r="F117" s="81">
        <v>0</v>
      </c>
      <c r="G117" s="81">
        <v>0</v>
      </c>
      <c r="H117" s="81">
        <v>0</v>
      </c>
    </row>
    <row r="118" spans="1:8" x14ac:dyDescent="0.25">
      <c r="A118" t="s">
        <v>453</v>
      </c>
      <c r="B118" s="81">
        <v>0</v>
      </c>
      <c r="C118" s="81">
        <v>0</v>
      </c>
      <c r="D118" s="81">
        <v>0</v>
      </c>
      <c r="E118" s="81">
        <v>0</v>
      </c>
      <c r="F118" s="81">
        <v>0</v>
      </c>
      <c r="G118" s="81">
        <v>0</v>
      </c>
      <c r="H118" s="81">
        <v>0</v>
      </c>
    </row>
    <row r="119" spans="1:8" x14ac:dyDescent="0.25">
      <c r="A119" t="s">
        <v>454</v>
      </c>
      <c r="B119" s="81">
        <v>0</v>
      </c>
      <c r="C119" s="81">
        <v>0</v>
      </c>
      <c r="D119" s="81">
        <v>0</v>
      </c>
      <c r="E119" s="81">
        <v>0</v>
      </c>
      <c r="F119" s="81">
        <v>0</v>
      </c>
      <c r="G119" s="81">
        <v>0</v>
      </c>
      <c r="H119" s="81">
        <v>0</v>
      </c>
    </row>
    <row r="120" spans="1:8" x14ac:dyDescent="0.25">
      <c r="A120" t="s">
        <v>455</v>
      </c>
      <c r="B120" s="81">
        <v>0</v>
      </c>
      <c r="C120" s="81">
        <v>0</v>
      </c>
      <c r="D120" s="81">
        <v>0</v>
      </c>
      <c r="E120" s="81">
        <v>0</v>
      </c>
      <c r="F120" s="81">
        <v>0</v>
      </c>
      <c r="G120" s="81">
        <v>0</v>
      </c>
      <c r="H120" s="81">
        <v>0</v>
      </c>
    </row>
    <row r="121" spans="1:8" x14ac:dyDescent="0.25">
      <c r="A121" t="s">
        <v>173</v>
      </c>
      <c r="B121" s="81">
        <v>0</v>
      </c>
      <c r="C121" s="81">
        <v>0</v>
      </c>
      <c r="D121" s="81">
        <v>0</v>
      </c>
      <c r="E121" s="81">
        <v>0</v>
      </c>
      <c r="F121" s="81">
        <v>0</v>
      </c>
      <c r="G121" s="81">
        <v>0</v>
      </c>
      <c r="H121" s="81">
        <v>0</v>
      </c>
    </row>
    <row r="122" spans="1:8" x14ac:dyDescent="0.25">
      <c r="A122" t="s">
        <v>174</v>
      </c>
      <c r="B122" s="81">
        <v>0</v>
      </c>
      <c r="C122" s="81">
        <v>0</v>
      </c>
      <c r="D122" s="81">
        <v>0</v>
      </c>
      <c r="E122" s="81">
        <v>0</v>
      </c>
      <c r="F122" s="81">
        <v>0</v>
      </c>
      <c r="G122" s="81">
        <v>0</v>
      </c>
      <c r="H122" s="81">
        <v>0</v>
      </c>
    </row>
    <row r="123" spans="1:8" x14ac:dyDescent="0.25">
      <c r="A123" t="s">
        <v>175</v>
      </c>
      <c r="B123" s="81">
        <v>0</v>
      </c>
      <c r="C123" s="81">
        <v>0</v>
      </c>
      <c r="D123" s="81">
        <v>0</v>
      </c>
      <c r="E123" s="81">
        <v>0</v>
      </c>
      <c r="F123" s="81">
        <v>0</v>
      </c>
      <c r="G123" s="81">
        <v>0</v>
      </c>
      <c r="H123" s="81">
        <v>0</v>
      </c>
    </row>
    <row r="124" spans="1:8" x14ac:dyDescent="0.25">
      <c r="A124" t="s">
        <v>176</v>
      </c>
      <c r="B124" s="81">
        <v>0</v>
      </c>
      <c r="C124" s="81">
        <v>0</v>
      </c>
      <c r="D124" s="81">
        <v>0</v>
      </c>
      <c r="E124" s="81">
        <v>0</v>
      </c>
      <c r="F124" s="81">
        <v>0</v>
      </c>
      <c r="G124" s="81">
        <v>0</v>
      </c>
      <c r="H124" s="81">
        <v>0</v>
      </c>
    </row>
    <row r="125" spans="1:8" x14ac:dyDescent="0.25">
      <c r="A125" t="s">
        <v>456</v>
      </c>
      <c r="B125" s="81">
        <v>0</v>
      </c>
      <c r="C125" s="81">
        <v>0</v>
      </c>
      <c r="D125" s="81">
        <v>0</v>
      </c>
      <c r="E125" s="81">
        <v>0</v>
      </c>
      <c r="F125" s="81">
        <v>0</v>
      </c>
      <c r="G125" s="81">
        <v>0</v>
      </c>
      <c r="H125" s="81">
        <v>0</v>
      </c>
    </row>
    <row r="126" spans="1:8" x14ac:dyDescent="0.25">
      <c r="A126" t="s">
        <v>457</v>
      </c>
      <c r="B126" s="81">
        <v>0</v>
      </c>
      <c r="C126" s="81">
        <v>0</v>
      </c>
      <c r="D126" s="81">
        <v>0</v>
      </c>
      <c r="E126" s="81">
        <v>0</v>
      </c>
      <c r="F126" s="81">
        <v>0</v>
      </c>
      <c r="G126" s="81">
        <v>0</v>
      </c>
      <c r="H126" s="81">
        <v>0</v>
      </c>
    </row>
    <row r="127" spans="1:8" x14ac:dyDescent="0.25">
      <c r="A127" t="s">
        <v>458</v>
      </c>
      <c r="B127" s="81">
        <v>0</v>
      </c>
      <c r="C127" s="81">
        <v>0</v>
      </c>
      <c r="D127" s="81">
        <v>0</v>
      </c>
      <c r="E127" s="81">
        <v>0</v>
      </c>
      <c r="F127" s="81">
        <v>0</v>
      </c>
      <c r="G127" s="81">
        <v>0</v>
      </c>
      <c r="H127" s="81">
        <v>0</v>
      </c>
    </row>
    <row r="128" spans="1:8" x14ac:dyDescent="0.25">
      <c r="A128" t="s">
        <v>459</v>
      </c>
      <c r="B128" s="81">
        <v>0</v>
      </c>
      <c r="C128" s="81">
        <v>0</v>
      </c>
      <c r="D128" s="81">
        <v>0</v>
      </c>
      <c r="E128" s="81">
        <v>0</v>
      </c>
      <c r="F128" s="81">
        <v>0</v>
      </c>
      <c r="G128" s="81">
        <v>0</v>
      </c>
      <c r="H128" s="81">
        <v>0</v>
      </c>
    </row>
    <row r="129" spans="1:8" x14ac:dyDescent="0.25">
      <c r="A129" t="s">
        <v>464</v>
      </c>
      <c r="B129" s="81">
        <v>0</v>
      </c>
      <c r="C129" s="81">
        <v>0</v>
      </c>
      <c r="D129" s="81">
        <v>0</v>
      </c>
      <c r="E129" s="81">
        <v>0</v>
      </c>
      <c r="F129" s="81">
        <v>0</v>
      </c>
      <c r="G129" s="81">
        <v>0</v>
      </c>
      <c r="H129" s="81">
        <v>0</v>
      </c>
    </row>
    <row r="130" spans="1:8" x14ac:dyDescent="0.25">
      <c r="A130" t="s">
        <v>465</v>
      </c>
      <c r="B130" s="81">
        <v>0</v>
      </c>
      <c r="C130" s="81">
        <v>0</v>
      </c>
      <c r="D130" s="81">
        <v>0</v>
      </c>
      <c r="E130" s="81">
        <v>0</v>
      </c>
      <c r="F130" s="81">
        <v>0</v>
      </c>
      <c r="G130" s="81">
        <v>0</v>
      </c>
      <c r="H130" s="81">
        <v>0</v>
      </c>
    </row>
    <row r="131" spans="1:8" x14ac:dyDescent="0.25">
      <c r="A131" t="s">
        <v>466</v>
      </c>
      <c r="B131" s="81">
        <v>0</v>
      </c>
      <c r="C131" s="81">
        <v>0</v>
      </c>
      <c r="D131" s="81">
        <v>0</v>
      </c>
      <c r="E131" s="81">
        <v>0</v>
      </c>
      <c r="F131" s="81">
        <v>0</v>
      </c>
      <c r="G131" s="81">
        <v>0</v>
      </c>
      <c r="H131" s="81">
        <v>0</v>
      </c>
    </row>
    <row r="132" spans="1:8" x14ac:dyDescent="0.25">
      <c r="A132" t="s">
        <v>467</v>
      </c>
      <c r="B132" s="81">
        <v>0</v>
      </c>
      <c r="C132" s="81">
        <v>0</v>
      </c>
      <c r="D132" s="81">
        <v>0</v>
      </c>
      <c r="E132" s="81">
        <v>0</v>
      </c>
      <c r="F132" s="81">
        <v>0</v>
      </c>
      <c r="G132" s="81">
        <v>0</v>
      </c>
      <c r="H132" s="81">
        <v>0</v>
      </c>
    </row>
    <row r="133" spans="1:8" x14ac:dyDescent="0.25">
      <c r="A133" t="s">
        <v>484</v>
      </c>
      <c r="B133" s="81">
        <v>0</v>
      </c>
      <c r="C133" s="81">
        <v>0</v>
      </c>
      <c r="D133" s="81">
        <v>0</v>
      </c>
      <c r="E133" s="81">
        <v>0</v>
      </c>
      <c r="F133" s="81">
        <v>0</v>
      </c>
      <c r="G133" s="81">
        <v>0</v>
      </c>
      <c r="H133" s="81">
        <v>0</v>
      </c>
    </row>
    <row r="134" spans="1:8" x14ac:dyDescent="0.25">
      <c r="A134" t="s">
        <v>485</v>
      </c>
      <c r="B134" s="81">
        <v>0</v>
      </c>
      <c r="C134" s="81">
        <v>0</v>
      </c>
      <c r="D134" s="81">
        <v>0</v>
      </c>
      <c r="E134" s="81">
        <v>0</v>
      </c>
      <c r="F134" s="81">
        <v>0</v>
      </c>
      <c r="G134" s="81">
        <v>0</v>
      </c>
      <c r="H134" s="81">
        <v>0</v>
      </c>
    </row>
    <row r="135" spans="1:8" x14ac:dyDescent="0.25">
      <c r="A135" t="s">
        <v>486</v>
      </c>
      <c r="B135" s="81">
        <v>0</v>
      </c>
      <c r="C135" s="81">
        <v>0</v>
      </c>
      <c r="D135" s="81">
        <v>0</v>
      </c>
      <c r="E135" s="81">
        <v>0</v>
      </c>
      <c r="F135" s="81">
        <v>0</v>
      </c>
      <c r="G135" s="81">
        <v>0</v>
      </c>
      <c r="H135" s="81">
        <v>0</v>
      </c>
    </row>
    <row r="136" spans="1:8" x14ac:dyDescent="0.25">
      <c r="A136" t="s">
        <v>487</v>
      </c>
      <c r="B136" s="81">
        <v>0</v>
      </c>
      <c r="C136" s="81">
        <v>0</v>
      </c>
      <c r="D136" s="81">
        <v>0</v>
      </c>
      <c r="E136" s="81">
        <v>0</v>
      </c>
      <c r="F136" s="81">
        <v>0</v>
      </c>
      <c r="G136" s="81">
        <v>0</v>
      </c>
      <c r="H136" s="81">
        <v>0</v>
      </c>
    </row>
    <row r="137" spans="1:8" x14ac:dyDescent="0.25">
      <c r="A137" t="s">
        <v>177</v>
      </c>
      <c r="B137" s="81">
        <v>0</v>
      </c>
      <c r="C137" s="81">
        <v>0</v>
      </c>
      <c r="D137" s="81">
        <v>0</v>
      </c>
      <c r="E137" s="81">
        <v>0</v>
      </c>
      <c r="F137" s="81">
        <v>0</v>
      </c>
      <c r="G137" s="81">
        <v>0</v>
      </c>
      <c r="H137" s="81">
        <v>0</v>
      </c>
    </row>
    <row r="138" spans="1:8" x14ac:dyDescent="0.25">
      <c r="A138" t="s">
        <v>178</v>
      </c>
      <c r="B138" s="81">
        <v>0</v>
      </c>
      <c r="C138" s="81">
        <v>0</v>
      </c>
      <c r="D138" s="81">
        <v>0</v>
      </c>
      <c r="E138" s="81">
        <v>0</v>
      </c>
      <c r="F138" s="81">
        <v>0</v>
      </c>
      <c r="G138" s="81">
        <v>0</v>
      </c>
      <c r="H138" s="81">
        <v>0</v>
      </c>
    </row>
    <row r="139" spans="1:8" x14ac:dyDescent="0.25">
      <c r="A139" t="s">
        <v>179</v>
      </c>
      <c r="B139" s="81">
        <v>0</v>
      </c>
      <c r="C139" s="81">
        <v>0</v>
      </c>
      <c r="D139" s="81">
        <v>0</v>
      </c>
      <c r="E139" s="81">
        <v>0</v>
      </c>
      <c r="F139" s="81">
        <v>0</v>
      </c>
      <c r="G139" s="81">
        <v>0</v>
      </c>
      <c r="H139" s="81">
        <v>0</v>
      </c>
    </row>
    <row r="140" spans="1:8" x14ac:dyDescent="0.25">
      <c r="A140" t="s">
        <v>180</v>
      </c>
      <c r="B140" s="81">
        <v>0</v>
      </c>
      <c r="C140" s="81">
        <v>0</v>
      </c>
      <c r="D140" s="81">
        <v>0</v>
      </c>
      <c r="E140" s="81">
        <v>0</v>
      </c>
      <c r="F140" s="81">
        <v>0</v>
      </c>
      <c r="G140" s="81">
        <v>0</v>
      </c>
      <c r="H140" s="81">
        <v>0</v>
      </c>
    </row>
    <row r="141" spans="1:8" x14ac:dyDescent="0.25">
      <c r="A141" t="s">
        <v>181</v>
      </c>
      <c r="B141" s="81">
        <v>0</v>
      </c>
      <c r="C141" s="81">
        <v>0</v>
      </c>
      <c r="D141" s="81">
        <v>0</v>
      </c>
      <c r="E141" s="81">
        <v>0</v>
      </c>
      <c r="F141" s="81">
        <v>0</v>
      </c>
      <c r="G141" s="81">
        <v>0</v>
      </c>
      <c r="H141" s="81">
        <v>0</v>
      </c>
    </row>
    <row r="142" spans="1:8" x14ac:dyDescent="0.25">
      <c r="A142" t="s">
        <v>182</v>
      </c>
      <c r="B142" s="81">
        <v>0</v>
      </c>
      <c r="C142" s="81">
        <v>0</v>
      </c>
      <c r="D142" s="81">
        <v>0</v>
      </c>
      <c r="E142" s="81">
        <v>0</v>
      </c>
      <c r="F142" s="81">
        <v>0</v>
      </c>
      <c r="G142" s="81">
        <v>0</v>
      </c>
      <c r="H142" s="81">
        <v>0</v>
      </c>
    </row>
    <row r="143" spans="1:8" x14ac:dyDescent="0.25">
      <c r="A143" t="s">
        <v>183</v>
      </c>
      <c r="B143" s="81">
        <v>0</v>
      </c>
      <c r="C143" s="81">
        <v>0</v>
      </c>
      <c r="D143" s="81">
        <v>0</v>
      </c>
      <c r="E143" s="81">
        <v>0</v>
      </c>
      <c r="F143" s="81">
        <v>0</v>
      </c>
      <c r="G143" s="81">
        <v>0</v>
      </c>
      <c r="H143" s="81">
        <v>0</v>
      </c>
    </row>
    <row r="144" spans="1:8" x14ac:dyDescent="0.25">
      <c r="A144" t="s">
        <v>184</v>
      </c>
      <c r="B144" s="81">
        <v>0</v>
      </c>
      <c r="C144" s="81">
        <v>0</v>
      </c>
      <c r="D144" s="81">
        <v>0</v>
      </c>
      <c r="E144" s="81">
        <v>0</v>
      </c>
      <c r="F144" s="81">
        <v>0</v>
      </c>
      <c r="G144" s="81">
        <v>0</v>
      </c>
      <c r="H144" s="81">
        <v>0</v>
      </c>
    </row>
    <row r="145" spans="1:8" x14ac:dyDescent="0.25">
      <c r="A145" t="s">
        <v>185</v>
      </c>
      <c r="B145" s="81">
        <v>0</v>
      </c>
      <c r="C145" s="81">
        <v>0</v>
      </c>
      <c r="D145" s="81">
        <v>0</v>
      </c>
      <c r="E145" s="81">
        <v>0</v>
      </c>
      <c r="F145" s="81">
        <v>0</v>
      </c>
      <c r="G145" s="81">
        <v>0</v>
      </c>
      <c r="H145" s="81">
        <v>0</v>
      </c>
    </row>
    <row r="146" spans="1:8" x14ac:dyDescent="0.25">
      <c r="A146" t="s">
        <v>186</v>
      </c>
      <c r="B146" s="81">
        <v>0</v>
      </c>
      <c r="C146" s="81">
        <v>0</v>
      </c>
      <c r="D146" s="81">
        <v>0</v>
      </c>
      <c r="E146" s="81">
        <v>0</v>
      </c>
      <c r="F146" s="81">
        <v>0</v>
      </c>
      <c r="G146" s="81">
        <v>0</v>
      </c>
      <c r="H146" s="81">
        <v>0</v>
      </c>
    </row>
    <row r="147" spans="1:8" x14ac:dyDescent="0.25">
      <c r="A147" t="s">
        <v>187</v>
      </c>
      <c r="B147" s="81">
        <v>0</v>
      </c>
      <c r="C147" s="81">
        <v>0</v>
      </c>
      <c r="D147" s="81">
        <v>0</v>
      </c>
      <c r="E147" s="81">
        <v>0</v>
      </c>
      <c r="F147" s="81">
        <v>0</v>
      </c>
      <c r="G147" s="81">
        <v>0</v>
      </c>
      <c r="H147" s="81">
        <v>0</v>
      </c>
    </row>
    <row r="148" spans="1:8" x14ac:dyDescent="0.25">
      <c r="A148" t="s">
        <v>188</v>
      </c>
      <c r="B148" s="81">
        <v>0</v>
      </c>
      <c r="C148" s="81">
        <v>0</v>
      </c>
      <c r="D148" s="81">
        <v>0</v>
      </c>
      <c r="E148" s="81">
        <v>0</v>
      </c>
      <c r="F148" s="81">
        <v>0</v>
      </c>
      <c r="G148" s="81">
        <v>0</v>
      </c>
      <c r="H148" s="81">
        <v>0</v>
      </c>
    </row>
    <row r="149" spans="1:8" x14ac:dyDescent="0.25">
      <c r="A149" t="s">
        <v>189</v>
      </c>
      <c r="B149" s="81">
        <v>0</v>
      </c>
      <c r="C149" s="81">
        <v>0</v>
      </c>
      <c r="D149" s="81">
        <v>0</v>
      </c>
      <c r="E149" s="81">
        <v>0</v>
      </c>
      <c r="F149" s="81">
        <v>0</v>
      </c>
      <c r="G149" s="81">
        <v>0</v>
      </c>
      <c r="H149" s="81">
        <v>0</v>
      </c>
    </row>
    <row r="150" spans="1:8" x14ac:dyDescent="0.25">
      <c r="A150" t="s">
        <v>190</v>
      </c>
      <c r="B150" s="81">
        <v>0</v>
      </c>
      <c r="C150" s="81">
        <v>0</v>
      </c>
      <c r="D150" s="81">
        <v>0</v>
      </c>
      <c r="E150" s="81">
        <v>0</v>
      </c>
      <c r="F150" s="81">
        <v>0</v>
      </c>
      <c r="G150" s="81">
        <v>0</v>
      </c>
      <c r="H150" s="81">
        <v>0</v>
      </c>
    </row>
    <row r="151" spans="1:8" x14ac:dyDescent="0.25">
      <c r="A151" t="s">
        <v>191</v>
      </c>
      <c r="B151" s="81">
        <v>0</v>
      </c>
      <c r="C151" s="81">
        <v>0</v>
      </c>
      <c r="D151" s="81">
        <v>0</v>
      </c>
      <c r="E151" s="81">
        <v>0</v>
      </c>
      <c r="F151" s="81">
        <v>0</v>
      </c>
      <c r="G151" s="81">
        <v>0</v>
      </c>
      <c r="H151" s="81">
        <v>0</v>
      </c>
    </row>
    <row r="152" spans="1:8" x14ac:dyDescent="0.25">
      <c r="A152" t="s">
        <v>192</v>
      </c>
      <c r="B152" s="81">
        <v>0</v>
      </c>
      <c r="C152" s="81">
        <v>0</v>
      </c>
      <c r="D152" s="81">
        <v>0</v>
      </c>
      <c r="E152" s="81">
        <v>0</v>
      </c>
      <c r="F152" s="81">
        <v>0</v>
      </c>
      <c r="G152" s="81">
        <v>0</v>
      </c>
      <c r="H152" s="81">
        <v>0</v>
      </c>
    </row>
    <row r="153" spans="1:8" x14ac:dyDescent="0.25">
      <c r="A153" t="s">
        <v>193</v>
      </c>
      <c r="B153" s="81">
        <v>0</v>
      </c>
      <c r="C153" s="81">
        <v>0</v>
      </c>
      <c r="D153" s="81">
        <v>0</v>
      </c>
      <c r="E153" s="81">
        <v>0</v>
      </c>
      <c r="F153" s="81">
        <v>0</v>
      </c>
      <c r="G153" s="81">
        <v>0</v>
      </c>
      <c r="H153" s="81">
        <v>0</v>
      </c>
    </row>
    <row r="154" spans="1:8" x14ac:dyDescent="0.25">
      <c r="A154" t="s">
        <v>194</v>
      </c>
      <c r="B154" s="81">
        <v>0</v>
      </c>
      <c r="C154" s="81">
        <v>0</v>
      </c>
      <c r="D154" s="81">
        <v>0</v>
      </c>
      <c r="E154" s="81">
        <v>0</v>
      </c>
      <c r="F154" s="81">
        <v>0</v>
      </c>
      <c r="G154" s="81">
        <v>0</v>
      </c>
      <c r="H154" s="81">
        <v>0</v>
      </c>
    </row>
    <row r="155" spans="1:8" x14ac:dyDescent="0.25">
      <c r="A155" t="s">
        <v>195</v>
      </c>
      <c r="B155" s="81">
        <v>0</v>
      </c>
      <c r="C155" s="81">
        <v>0</v>
      </c>
      <c r="D155" s="81">
        <v>0</v>
      </c>
      <c r="E155" s="81">
        <v>0</v>
      </c>
      <c r="F155" s="81">
        <v>0</v>
      </c>
      <c r="G155" s="81">
        <v>0</v>
      </c>
      <c r="H155" s="81">
        <v>0</v>
      </c>
    </row>
    <row r="156" spans="1:8" x14ac:dyDescent="0.25">
      <c r="A156" t="s">
        <v>196</v>
      </c>
      <c r="B156" s="81">
        <v>0</v>
      </c>
      <c r="C156" s="81">
        <v>0</v>
      </c>
      <c r="D156" s="81">
        <v>0</v>
      </c>
      <c r="E156" s="81">
        <v>0</v>
      </c>
      <c r="F156" s="81">
        <v>0</v>
      </c>
      <c r="G156" s="81">
        <v>0</v>
      </c>
      <c r="H156" s="81">
        <v>0</v>
      </c>
    </row>
    <row r="157" spans="1:8" x14ac:dyDescent="0.25">
      <c r="A157" t="s">
        <v>197</v>
      </c>
      <c r="B157" s="81">
        <v>0</v>
      </c>
      <c r="C157" s="81">
        <v>0</v>
      </c>
      <c r="D157" s="81">
        <v>0</v>
      </c>
      <c r="E157" s="81">
        <v>0</v>
      </c>
      <c r="F157" s="81">
        <v>0</v>
      </c>
      <c r="G157" s="81">
        <v>0</v>
      </c>
      <c r="H157" s="81">
        <v>0</v>
      </c>
    </row>
    <row r="158" spans="1:8" x14ac:dyDescent="0.25">
      <c r="A158" t="s">
        <v>198</v>
      </c>
      <c r="B158" s="81">
        <v>0</v>
      </c>
      <c r="C158" s="81">
        <v>0</v>
      </c>
      <c r="D158" s="81">
        <v>0</v>
      </c>
      <c r="E158" s="81">
        <v>0</v>
      </c>
      <c r="F158" s="81">
        <v>0</v>
      </c>
      <c r="G158" s="81">
        <v>0</v>
      </c>
      <c r="H158" s="81">
        <v>0</v>
      </c>
    </row>
    <row r="159" spans="1:8" x14ac:dyDescent="0.25">
      <c r="A159" t="s">
        <v>199</v>
      </c>
      <c r="B159" s="81">
        <v>0</v>
      </c>
      <c r="C159" s="81">
        <v>0</v>
      </c>
      <c r="D159" s="81">
        <v>0</v>
      </c>
      <c r="E159" s="81">
        <v>0</v>
      </c>
      <c r="F159" s="81">
        <v>0</v>
      </c>
      <c r="G159" s="81">
        <v>0</v>
      </c>
      <c r="H159" s="81">
        <v>0</v>
      </c>
    </row>
    <row r="160" spans="1:8" x14ac:dyDescent="0.25">
      <c r="A160" t="s">
        <v>200</v>
      </c>
      <c r="B160" s="81">
        <v>0</v>
      </c>
      <c r="C160" s="81">
        <v>0</v>
      </c>
      <c r="D160" s="81">
        <v>0</v>
      </c>
      <c r="E160" s="81">
        <v>0</v>
      </c>
      <c r="F160" s="81">
        <v>0</v>
      </c>
      <c r="G160" s="81">
        <v>0</v>
      </c>
      <c r="H160" s="81">
        <v>0</v>
      </c>
    </row>
    <row r="161" spans="1:8" x14ac:dyDescent="0.25">
      <c r="A161" t="s">
        <v>201</v>
      </c>
      <c r="B161" s="81">
        <v>0</v>
      </c>
      <c r="C161" s="81">
        <v>0</v>
      </c>
      <c r="D161" s="81">
        <v>0</v>
      </c>
      <c r="E161" s="81">
        <v>0</v>
      </c>
      <c r="F161" s="81">
        <v>0</v>
      </c>
      <c r="G161" s="81">
        <v>0</v>
      </c>
      <c r="H161" s="81">
        <v>0</v>
      </c>
    </row>
    <row r="162" spans="1:8" x14ac:dyDescent="0.25">
      <c r="A162" t="s">
        <v>202</v>
      </c>
      <c r="B162" s="81">
        <v>0</v>
      </c>
      <c r="C162" s="81">
        <v>0</v>
      </c>
      <c r="D162" s="81">
        <v>0</v>
      </c>
      <c r="E162" s="81">
        <v>0</v>
      </c>
      <c r="F162" s="81">
        <v>0</v>
      </c>
      <c r="G162" s="81">
        <v>0</v>
      </c>
      <c r="H162" s="81">
        <v>0</v>
      </c>
    </row>
    <row r="163" spans="1:8" x14ac:dyDescent="0.25">
      <c r="A163" t="s">
        <v>203</v>
      </c>
      <c r="B163" s="81">
        <v>0</v>
      </c>
      <c r="C163" s="81">
        <v>0</v>
      </c>
      <c r="D163" s="81">
        <v>0</v>
      </c>
      <c r="E163" s="81">
        <v>0</v>
      </c>
      <c r="F163" s="81">
        <v>0</v>
      </c>
      <c r="G163" s="81">
        <v>0</v>
      </c>
      <c r="H163" s="81">
        <v>0</v>
      </c>
    </row>
    <row r="164" spans="1:8" x14ac:dyDescent="0.25">
      <c r="A164" t="s">
        <v>204</v>
      </c>
      <c r="B164" s="81">
        <v>0</v>
      </c>
      <c r="C164" s="81">
        <v>0</v>
      </c>
      <c r="D164" s="81">
        <v>0</v>
      </c>
      <c r="E164" s="81">
        <v>0</v>
      </c>
      <c r="F164" s="81">
        <v>0</v>
      </c>
      <c r="G164" s="81">
        <v>0</v>
      </c>
      <c r="H164" s="81">
        <v>0</v>
      </c>
    </row>
    <row r="165" spans="1:8" x14ac:dyDescent="0.25">
      <c r="A165" t="s">
        <v>205</v>
      </c>
      <c r="B165" s="81">
        <v>0</v>
      </c>
      <c r="C165" s="81">
        <v>0</v>
      </c>
      <c r="D165" s="81">
        <v>0</v>
      </c>
      <c r="E165" s="81">
        <v>0</v>
      </c>
      <c r="F165" s="81">
        <v>0</v>
      </c>
      <c r="G165" s="81">
        <v>0</v>
      </c>
      <c r="H165" s="81">
        <v>0</v>
      </c>
    </row>
    <row r="166" spans="1:8" x14ac:dyDescent="0.25">
      <c r="A166" t="s">
        <v>206</v>
      </c>
      <c r="B166" s="81">
        <v>0</v>
      </c>
      <c r="C166" s="81">
        <v>0</v>
      </c>
      <c r="D166" s="81">
        <v>0</v>
      </c>
      <c r="E166" s="81">
        <v>0</v>
      </c>
      <c r="F166" s="81">
        <v>0</v>
      </c>
      <c r="G166" s="81">
        <v>0</v>
      </c>
      <c r="H166" s="81">
        <v>0</v>
      </c>
    </row>
    <row r="167" spans="1:8" x14ac:dyDescent="0.25">
      <c r="A167" t="s">
        <v>207</v>
      </c>
      <c r="B167" s="81">
        <v>0</v>
      </c>
      <c r="C167" s="81">
        <v>0</v>
      </c>
      <c r="D167" s="81">
        <v>0</v>
      </c>
      <c r="E167" s="81">
        <v>0</v>
      </c>
      <c r="F167" s="81">
        <v>0</v>
      </c>
      <c r="G167" s="81">
        <v>0</v>
      </c>
      <c r="H167" s="81">
        <v>0</v>
      </c>
    </row>
    <row r="168" spans="1:8" x14ac:dyDescent="0.25">
      <c r="A168" t="s">
        <v>208</v>
      </c>
      <c r="B168" s="81">
        <v>0</v>
      </c>
      <c r="C168" s="81">
        <v>0</v>
      </c>
      <c r="D168" s="81">
        <v>0</v>
      </c>
      <c r="E168" s="81">
        <v>0</v>
      </c>
      <c r="F168" s="81">
        <v>0</v>
      </c>
      <c r="G168" s="81">
        <v>0</v>
      </c>
      <c r="H168" s="81">
        <v>0</v>
      </c>
    </row>
    <row r="169" spans="1:8" x14ac:dyDescent="0.25">
      <c r="A169" t="s">
        <v>209</v>
      </c>
      <c r="B169" s="81">
        <v>0</v>
      </c>
      <c r="C169" s="81">
        <v>0</v>
      </c>
      <c r="D169" s="81">
        <v>0</v>
      </c>
      <c r="E169" s="81">
        <v>0</v>
      </c>
      <c r="F169" s="81">
        <v>0</v>
      </c>
      <c r="G169" s="81">
        <v>0</v>
      </c>
      <c r="H169" s="81">
        <v>0</v>
      </c>
    </row>
    <row r="170" spans="1:8" x14ac:dyDescent="0.25">
      <c r="A170" t="s">
        <v>210</v>
      </c>
      <c r="B170" s="81">
        <v>0</v>
      </c>
      <c r="C170" s="81">
        <v>0</v>
      </c>
      <c r="D170" s="81">
        <v>0</v>
      </c>
      <c r="E170" s="81">
        <v>0</v>
      </c>
      <c r="F170" s="81">
        <v>0</v>
      </c>
      <c r="G170" s="81">
        <v>0</v>
      </c>
      <c r="H170" s="81">
        <v>0</v>
      </c>
    </row>
    <row r="171" spans="1:8" x14ac:dyDescent="0.25">
      <c r="A171" t="s">
        <v>211</v>
      </c>
      <c r="B171" s="81">
        <v>0</v>
      </c>
      <c r="C171" s="81">
        <v>0</v>
      </c>
      <c r="D171" s="81">
        <v>0</v>
      </c>
      <c r="E171" s="81">
        <v>0</v>
      </c>
      <c r="F171" s="81">
        <v>0</v>
      </c>
      <c r="G171" s="81">
        <v>0</v>
      </c>
      <c r="H171" s="81">
        <v>0</v>
      </c>
    </row>
    <row r="172" spans="1:8" x14ac:dyDescent="0.25">
      <c r="A172" t="s">
        <v>212</v>
      </c>
      <c r="B172" s="81">
        <v>0</v>
      </c>
      <c r="C172" s="81">
        <v>0</v>
      </c>
      <c r="D172" s="81">
        <v>0</v>
      </c>
      <c r="E172" s="81">
        <v>0</v>
      </c>
      <c r="F172" s="81">
        <v>0</v>
      </c>
      <c r="G172" s="81">
        <v>0</v>
      </c>
      <c r="H172" s="81">
        <v>0</v>
      </c>
    </row>
    <row r="173" spans="1:8" x14ac:dyDescent="0.25">
      <c r="A173" t="s">
        <v>213</v>
      </c>
      <c r="B173" s="81">
        <v>0</v>
      </c>
      <c r="C173" s="81">
        <v>0</v>
      </c>
      <c r="D173" s="81">
        <v>0</v>
      </c>
      <c r="E173" s="81">
        <v>0</v>
      </c>
      <c r="F173" s="81">
        <v>0</v>
      </c>
      <c r="G173" s="81">
        <v>0</v>
      </c>
      <c r="H173" s="81">
        <v>0</v>
      </c>
    </row>
    <row r="174" spans="1:8" x14ac:dyDescent="0.25">
      <c r="A174" t="s">
        <v>214</v>
      </c>
      <c r="B174" s="81">
        <v>0</v>
      </c>
      <c r="C174" s="81">
        <v>0</v>
      </c>
      <c r="D174" s="81">
        <v>0</v>
      </c>
      <c r="E174" s="81">
        <v>0</v>
      </c>
      <c r="F174" s="81">
        <v>0</v>
      </c>
      <c r="G174" s="81">
        <v>0</v>
      </c>
      <c r="H174" s="81">
        <v>0</v>
      </c>
    </row>
    <row r="175" spans="1:8" x14ac:dyDescent="0.25">
      <c r="A175" t="s">
        <v>215</v>
      </c>
      <c r="B175" s="81">
        <v>0</v>
      </c>
      <c r="C175" s="81">
        <v>0</v>
      </c>
      <c r="D175" s="81">
        <v>0</v>
      </c>
      <c r="E175" s="81">
        <v>0</v>
      </c>
      <c r="F175" s="81">
        <v>0</v>
      </c>
      <c r="G175" s="81">
        <v>0</v>
      </c>
      <c r="H175" s="81">
        <v>0</v>
      </c>
    </row>
    <row r="176" spans="1:8" x14ac:dyDescent="0.25">
      <c r="A176" t="s">
        <v>216</v>
      </c>
      <c r="B176" s="81">
        <v>0</v>
      </c>
      <c r="C176" s="81">
        <v>0</v>
      </c>
      <c r="D176" s="81">
        <v>0</v>
      </c>
      <c r="E176" s="81">
        <v>0</v>
      </c>
      <c r="F176" s="81">
        <v>0</v>
      </c>
      <c r="G176" s="81">
        <v>0</v>
      </c>
      <c r="H176" s="81">
        <v>0</v>
      </c>
    </row>
    <row r="177" spans="1:8" x14ac:dyDescent="0.25">
      <c r="A177" t="s">
        <v>217</v>
      </c>
      <c r="B177" s="81">
        <v>0</v>
      </c>
      <c r="C177" s="81">
        <v>0</v>
      </c>
      <c r="D177" s="81">
        <v>0</v>
      </c>
      <c r="E177" s="81">
        <v>0</v>
      </c>
      <c r="F177" s="81">
        <v>0</v>
      </c>
      <c r="G177" s="81">
        <v>0</v>
      </c>
      <c r="H177" s="81">
        <v>0</v>
      </c>
    </row>
    <row r="178" spans="1:8" x14ac:dyDescent="0.25">
      <c r="A178" t="s">
        <v>218</v>
      </c>
      <c r="B178" s="81">
        <v>0</v>
      </c>
      <c r="C178" s="81">
        <v>0</v>
      </c>
      <c r="D178" s="81">
        <v>0</v>
      </c>
      <c r="E178" s="81">
        <v>0</v>
      </c>
      <c r="F178" s="81">
        <v>0</v>
      </c>
      <c r="G178" s="81">
        <v>0</v>
      </c>
      <c r="H178" s="81">
        <v>0</v>
      </c>
    </row>
    <row r="179" spans="1:8" x14ac:dyDescent="0.25">
      <c r="A179" t="s">
        <v>219</v>
      </c>
      <c r="B179" s="81">
        <v>0</v>
      </c>
      <c r="C179" s="81">
        <v>0</v>
      </c>
      <c r="D179" s="81">
        <v>0</v>
      </c>
      <c r="E179" s="81">
        <v>0</v>
      </c>
      <c r="F179" s="81">
        <v>0</v>
      </c>
      <c r="G179" s="81">
        <v>0</v>
      </c>
      <c r="H179" s="81">
        <v>0</v>
      </c>
    </row>
    <row r="180" spans="1:8" x14ac:dyDescent="0.25">
      <c r="A180" t="s">
        <v>220</v>
      </c>
      <c r="B180" s="81">
        <v>0</v>
      </c>
      <c r="C180" s="81">
        <v>0</v>
      </c>
      <c r="D180" s="81">
        <v>0</v>
      </c>
      <c r="E180" s="81">
        <v>0</v>
      </c>
      <c r="F180" s="81">
        <v>0</v>
      </c>
      <c r="G180" s="81">
        <v>0</v>
      </c>
      <c r="H180" s="81">
        <v>0</v>
      </c>
    </row>
    <row r="181" spans="1:8" x14ac:dyDescent="0.25">
      <c r="A181" t="s">
        <v>221</v>
      </c>
      <c r="B181" s="81">
        <v>0</v>
      </c>
      <c r="C181" s="81">
        <v>0</v>
      </c>
      <c r="D181" s="81">
        <v>0</v>
      </c>
      <c r="E181" s="81">
        <v>0</v>
      </c>
      <c r="F181" s="81">
        <v>0</v>
      </c>
      <c r="G181" s="81">
        <v>0</v>
      </c>
      <c r="H181" s="81">
        <v>0</v>
      </c>
    </row>
    <row r="182" spans="1:8" x14ac:dyDescent="0.25">
      <c r="A182" t="s">
        <v>222</v>
      </c>
      <c r="B182" s="81">
        <v>0</v>
      </c>
      <c r="C182" s="81">
        <v>0</v>
      </c>
      <c r="D182" s="81">
        <v>0</v>
      </c>
      <c r="E182" s="81">
        <v>0</v>
      </c>
      <c r="F182" s="81">
        <v>0</v>
      </c>
      <c r="G182" s="81">
        <v>0</v>
      </c>
      <c r="H182" s="81">
        <v>0</v>
      </c>
    </row>
    <row r="183" spans="1:8" x14ac:dyDescent="0.25">
      <c r="A183" t="s">
        <v>223</v>
      </c>
      <c r="B183" s="81">
        <v>0</v>
      </c>
      <c r="C183" s="81">
        <v>0</v>
      </c>
      <c r="D183" s="81">
        <v>0</v>
      </c>
      <c r="E183" s="81">
        <v>0</v>
      </c>
      <c r="F183" s="81">
        <v>0</v>
      </c>
      <c r="G183" s="81">
        <v>0</v>
      </c>
      <c r="H183" s="81">
        <v>0</v>
      </c>
    </row>
    <row r="184" spans="1:8" x14ac:dyDescent="0.25">
      <c r="A184" t="s">
        <v>224</v>
      </c>
      <c r="B184" s="81">
        <v>0</v>
      </c>
      <c r="C184" s="81">
        <v>0</v>
      </c>
      <c r="D184" s="81">
        <v>0</v>
      </c>
      <c r="E184" s="81">
        <v>0</v>
      </c>
      <c r="F184" s="81">
        <v>0</v>
      </c>
      <c r="G184" s="81">
        <v>0</v>
      </c>
      <c r="H184" s="81">
        <v>0</v>
      </c>
    </row>
    <row r="185" spans="1:8" x14ac:dyDescent="0.25">
      <c r="A185" t="s">
        <v>225</v>
      </c>
      <c r="B185" s="81">
        <v>0</v>
      </c>
      <c r="C185" s="81">
        <v>0</v>
      </c>
      <c r="D185" s="81">
        <v>0</v>
      </c>
      <c r="E185" s="81">
        <v>0</v>
      </c>
      <c r="F185" s="81">
        <v>0</v>
      </c>
      <c r="G185" s="81">
        <v>0</v>
      </c>
      <c r="H185" s="81">
        <v>0</v>
      </c>
    </row>
    <row r="186" spans="1:8" x14ac:dyDescent="0.25">
      <c r="A186" t="s">
        <v>226</v>
      </c>
      <c r="B186" s="81">
        <v>0</v>
      </c>
      <c r="C186" s="81">
        <v>0</v>
      </c>
      <c r="D186" s="81">
        <v>0</v>
      </c>
      <c r="E186" s="81">
        <v>0</v>
      </c>
      <c r="F186" s="81">
        <v>0</v>
      </c>
      <c r="G186" s="81">
        <v>0</v>
      </c>
      <c r="H186" s="81">
        <v>0</v>
      </c>
    </row>
    <row r="187" spans="1:8" x14ac:dyDescent="0.25">
      <c r="A187" t="s">
        <v>227</v>
      </c>
      <c r="B187" s="81">
        <v>0</v>
      </c>
      <c r="C187" s="81">
        <v>0</v>
      </c>
      <c r="D187" s="81">
        <v>0</v>
      </c>
      <c r="E187" s="81">
        <v>0</v>
      </c>
      <c r="F187" s="81">
        <v>0</v>
      </c>
      <c r="G187" s="81">
        <v>0</v>
      </c>
      <c r="H187" s="81">
        <v>0</v>
      </c>
    </row>
    <row r="188" spans="1:8" x14ac:dyDescent="0.25">
      <c r="A188" t="s">
        <v>228</v>
      </c>
      <c r="B188" s="81">
        <v>0</v>
      </c>
      <c r="C188" s="81">
        <v>0</v>
      </c>
      <c r="D188" s="81">
        <v>0</v>
      </c>
      <c r="E188" s="81">
        <v>0</v>
      </c>
      <c r="F188" s="81">
        <v>0</v>
      </c>
      <c r="G188" s="81">
        <v>0</v>
      </c>
      <c r="H188" s="81">
        <v>0</v>
      </c>
    </row>
    <row r="189" spans="1:8" x14ac:dyDescent="0.25">
      <c r="A189" t="s">
        <v>229</v>
      </c>
      <c r="B189" s="81">
        <v>0</v>
      </c>
      <c r="C189" s="81">
        <v>0</v>
      </c>
      <c r="D189" s="81">
        <v>0</v>
      </c>
      <c r="E189" s="81">
        <v>0</v>
      </c>
      <c r="F189" s="81">
        <v>0</v>
      </c>
      <c r="G189" s="81">
        <v>0</v>
      </c>
      <c r="H189" s="81">
        <v>0</v>
      </c>
    </row>
    <row r="190" spans="1:8" x14ac:dyDescent="0.25">
      <c r="A190" t="s">
        <v>230</v>
      </c>
      <c r="B190" s="81">
        <v>0</v>
      </c>
      <c r="C190" s="81">
        <v>0</v>
      </c>
      <c r="D190" s="81">
        <v>0</v>
      </c>
      <c r="E190" s="81">
        <v>0</v>
      </c>
      <c r="F190" s="81">
        <v>0</v>
      </c>
      <c r="G190" s="81">
        <v>0</v>
      </c>
      <c r="H190" s="81">
        <v>0</v>
      </c>
    </row>
    <row r="191" spans="1:8" x14ac:dyDescent="0.25">
      <c r="A191" t="s">
        <v>231</v>
      </c>
      <c r="B191" s="81">
        <v>0</v>
      </c>
      <c r="C191" s="81">
        <v>0</v>
      </c>
      <c r="D191" s="81">
        <v>0</v>
      </c>
      <c r="E191" s="81">
        <v>0</v>
      </c>
      <c r="F191" s="81">
        <v>0</v>
      </c>
      <c r="G191" s="81">
        <v>0</v>
      </c>
      <c r="H191" s="81">
        <v>0</v>
      </c>
    </row>
    <row r="192" spans="1:8" x14ac:dyDescent="0.25">
      <c r="A192" t="s">
        <v>232</v>
      </c>
      <c r="B192" s="81">
        <v>0</v>
      </c>
      <c r="C192" s="81">
        <v>0</v>
      </c>
      <c r="D192" s="81">
        <v>0</v>
      </c>
      <c r="E192" s="81">
        <v>0</v>
      </c>
      <c r="F192" s="81">
        <v>0</v>
      </c>
      <c r="G192" s="81">
        <v>0</v>
      </c>
      <c r="H192" s="81">
        <v>0</v>
      </c>
    </row>
    <row r="193" spans="1:8" x14ac:dyDescent="0.25">
      <c r="A193" t="s">
        <v>233</v>
      </c>
      <c r="B193" s="81">
        <v>0</v>
      </c>
      <c r="C193" s="81">
        <v>0</v>
      </c>
      <c r="D193" s="81">
        <v>0</v>
      </c>
      <c r="E193" s="81">
        <v>0</v>
      </c>
      <c r="F193" s="81">
        <v>0</v>
      </c>
      <c r="G193" s="81">
        <v>0</v>
      </c>
      <c r="H193" s="81">
        <v>0</v>
      </c>
    </row>
    <row r="194" spans="1:8" x14ac:dyDescent="0.25">
      <c r="A194" t="s">
        <v>234</v>
      </c>
      <c r="B194" s="81">
        <v>0</v>
      </c>
      <c r="C194" s="81">
        <v>0</v>
      </c>
      <c r="D194" s="81">
        <v>0</v>
      </c>
      <c r="E194" s="81">
        <v>0</v>
      </c>
      <c r="F194" s="81">
        <v>0</v>
      </c>
      <c r="G194" s="81">
        <v>0</v>
      </c>
      <c r="H194" s="81">
        <v>0</v>
      </c>
    </row>
    <row r="195" spans="1:8" x14ac:dyDescent="0.25">
      <c r="A195" t="s">
        <v>235</v>
      </c>
      <c r="B195" s="81">
        <v>0</v>
      </c>
      <c r="C195" s="81">
        <v>0</v>
      </c>
      <c r="D195" s="81">
        <v>0</v>
      </c>
      <c r="E195" s="81">
        <v>0</v>
      </c>
      <c r="F195" s="81">
        <v>0</v>
      </c>
      <c r="G195" s="81">
        <v>0</v>
      </c>
      <c r="H195" s="81">
        <v>0</v>
      </c>
    </row>
    <row r="196" spans="1:8" x14ac:dyDescent="0.25">
      <c r="A196" t="s">
        <v>236</v>
      </c>
      <c r="B196" s="81">
        <v>0</v>
      </c>
      <c r="C196" s="81">
        <v>0</v>
      </c>
      <c r="D196" s="81">
        <v>0</v>
      </c>
      <c r="E196" s="81">
        <v>0</v>
      </c>
      <c r="F196" s="81">
        <v>0</v>
      </c>
      <c r="G196" s="81">
        <v>0</v>
      </c>
      <c r="H196" s="81">
        <v>0</v>
      </c>
    </row>
    <row r="197" spans="1:8" x14ac:dyDescent="0.25">
      <c r="A197" t="s">
        <v>237</v>
      </c>
      <c r="B197" s="81">
        <v>0</v>
      </c>
      <c r="C197" s="81">
        <v>0</v>
      </c>
      <c r="D197" s="81">
        <v>0</v>
      </c>
      <c r="E197" s="81">
        <v>0</v>
      </c>
      <c r="F197" s="81">
        <v>0</v>
      </c>
      <c r="G197" s="81">
        <v>0</v>
      </c>
      <c r="H197" s="81">
        <v>0</v>
      </c>
    </row>
    <row r="198" spans="1:8" x14ac:dyDescent="0.25">
      <c r="A198" t="s">
        <v>238</v>
      </c>
      <c r="B198" s="81">
        <v>0</v>
      </c>
      <c r="C198" s="81">
        <v>0</v>
      </c>
      <c r="D198" s="81">
        <v>0</v>
      </c>
      <c r="E198" s="81">
        <v>0</v>
      </c>
      <c r="F198" s="81">
        <v>0</v>
      </c>
      <c r="G198" s="81">
        <v>0</v>
      </c>
      <c r="H198" s="81">
        <v>0</v>
      </c>
    </row>
    <row r="199" spans="1:8" x14ac:dyDescent="0.25">
      <c r="A199" t="s">
        <v>239</v>
      </c>
      <c r="B199" s="81">
        <v>0</v>
      </c>
      <c r="C199" s="81">
        <v>0</v>
      </c>
      <c r="D199" s="81">
        <v>0</v>
      </c>
      <c r="E199" s="81">
        <v>0</v>
      </c>
      <c r="F199" s="81">
        <v>0</v>
      </c>
      <c r="G199" s="81">
        <v>0</v>
      </c>
      <c r="H199" s="81">
        <v>0</v>
      </c>
    </row>
    <row r="200" spans="1:8" x14ac:dyDescent="0.25">
      <c r="A200" t="s">
        <v>240</v>
      </c>
      <c r="B200" s="81">
        <v>0</v>
      </c>
      <c r="C200" s="81">
        <v>0</v>
      </c>
      <c r="D200" s="81">
        <v>0</v>
      </c>
      <c r="E200" s="81">
        <v>0</v>
      </c>
      <c r="F200" s="81">
        <v>0</v>
      </c>
      <c r="G200" s="81">
        <v>0</v>
      </c>
      <c r="H200" s="81">
        <v>0</v>
      </c>
    </row>
    <row r="201" spans="1:8" x14ac:dyDescent="0.25">
      <c r="A201" t="s">
        <v>241</v>
      </c>
      <c r="B201" s="81">
        <v>0</v>
      </c>
      <c r="C201" s="81">
        <v>0</v>
      </c>
      <c r="D201" s="81">
        <v>0</v>
      </c>
      <c r="E201" s="81">
        <v>0</v>
      </c>
      <c r="F201" s="81">
        <v>0</v>
      </c>
      <c r="G201" s="81">
        <v>0</v>
      </c>
      <c r="H201" s="81">
        <v>0</v>
      </c>
    </row>
    <row r="202" spans="1:8" x14ac:dyDescent="0.25">
      <c r="A202" t="s">
        <v>242</v>
      </c>
      <c r="B202" s="81">
        <v>0</v>
      </c>
      <c r="C202" s="81">
        <v>0</v>
      </c>
      <c r="D202" s="81">
        <v>0</v>
      </c>
      <c r="E202" s="81">
        <v>0</v>
      </c>
      <c r="F202" s="81">
        <v>0</v>
      </c>
      <c r="G202" s="81">
        <v>0</v>
      </c>
      <c r="H202" s="81">
        <v>0</v>
      </c>
    </row>
    <row r="203" spans="1:8" x14ac:dyDescent="0.25">
      <c r="A203" t="s">
        <v>243</v>
      </c>
      <c r="B203" s="81">
        <v>0</v>
      </c>
      <c r="C203" s="81">
        <v>0</v>
      </c>
      <c r="D203" s="81">
        <v>0</v>
      </c>
      <c r="E203" s="81">
        <v>0</v>
      </c>
      <c r="F203" s="81">
        <v>0</v>
      </c>
      <c r="G203" s="81">
        <v>0</v>
      </c>
      <c r="H203" s="81">
        <v>0</v>
      </c>
    </row>
    <row r="204" spans="1:8" x14ac:dyDescent="0.25">
      <c r="A204" t="s">
        <v>244</v>
      </c>
      <c r="B204" s="81">
        <v>0</v>
      </c>
      <c r="C204" s="81">
        <v>0</v>
      </c>
      <c r="D204" s="81">
        <v>0</v>
      </c>
      <c r="E204" s="81">
        <v>0</v>
      </c>
      <c r="F204" s="81">
        <v>0</v>
      </c>
      <c r="G204" s="81">
        <v>0</v>
      </c>
      <c r="H204" s="81">
        <v>0</v>
      </c>
    </row>
    <row r="205" spans="1:8" x14ac:dyDescent="0.25">
      <c r="A205" t="s">
        <v>245</v>
      </c>
      <c r="B205" s="81">
        <v>0</v>
      </c>
      <c r="C205" s="81">
        <v>0</v>
      </c>
      <c r="D205" s="81">
        <v>0</v>
      </c>
      <c r="E205" s="81">
        <v>0</v>
      </c>
      <c r="F205" s="81">
        <v>0</v>
      </c>
      <c r="G205" s="81">
        <v>0</v>
      </c>
      <c r="H205" s="81">
        <v>0</v>
      </c>
    </row>
    <row r="206" spans="1:8" x14ac:dyDescent="0.25">
      <c r="A206" t="s">
        <v>246</v>
      </c>
      <c r="B206" s="81">
        <v>0</v>
      </c>
      <c r="C206" s="81">
        <v>0</v>
      </c>
      <c r="D206" s="81">
        <v>0</v>
      </c>
      <c r="E206" s="81">
        <v>0</v>
      </c>
      <c r="F206" s="81">
        <v>0</v>
      </c>
      <c r="G206" s="81">
        <v>0</v>
      </c>
      <c r="H206" s="81">
        <v>0</v>
      </c>
    </row>
    <row r="207" spans="1:8" x14ac:dyDescent="0.25">
      <c r="A207" t="s">
        <v>247</v>
      </c>
      <c r="B207" s="81">
        <v>0</v>
      </c>
      <c r="C207" s="81">
        <v>0</v>
      </c>
      <c r="D207" s="81">
        <v>0</v>
      </c>
      <c r="E207" s="81">
        <v>0</v>
      </c>
      <c r="F207" s="81">
        <v>0</v>
      </c>
      <c r="G207" s="81">
        <v>0</v>
      </c>
      <c r="H207" s="81">
        <v>0</v>
      </c>
    </row>
    <row r="208" spans="1:8" x14ac:dyDescent="0.25">
      <c r="A208" t="s">
        <v>248</v>
      </c>
      <c r="B208" s="81">
        <v>0</v>
      </c>
      <c r="C208" s="81">
        <v>0</v>
      </c>
      <c r="D208" s="81">
        <v>0</v>
      </c>
      <c r="E208" s="81">
        <v>0</v>
      </c>
      <c r="F208" s="81">
        <v>0</v>
      </c>
      <c r="G208" s="81">
        <v>0</v>
      </c>
      <c r="H208" s="81">
        <v>0</v>
      </c>
    </row>
    <row r="209" spans="1:8" x14ac:dyDescent="0.25">
      <c r="A209" t="s">
        <v>249</v>
      </c>
      <c r="B209" s="81">
        <v>0</v>
      </c>
      <c r="C209" s="81">
        <v>0</v>
      </c>
      <c r="D209" s="81">
        <v>0</v>
      </c>
      <c r="E209" s="81">
        <v>0</v>
      </c>
      <c r="F209" s="81">
        <v>0</v>
      </c>
      <c r="G209" s="81">
        <v>0</v>
      </c>
      <c r="H209" s="81">
        <v>0</v>
      </c>
    </row>
    <row r="210" spans="1:8" x14ac:dyDescent="0.25">
      <c r="A210" t="s">
        <v>250</v>
      </c>
      <c r="B210" s="81">
        <v>0</v>
      </c>
      <c r="C210" s="81">
        <v>0</v>
      </c>
      <c r="D210" s="81">
        <v>0</v>
      </c>
      <c r="E210" s="81">
        <v>0</v>
      </c>
      <c r="F210" s="81">
        <v>0</v>
      </c>
      <c r="G210" s="81">
        <v>0</v>
      </c>
      <c r="H210" s="81">
        <v>0</v>
      </c>
    </row>
    <row r="211" spans="1:8" x14ac:dyDescent="0.25">
      <c r="A211" t="s">
        <v>251</v>
      </c>
      <c r="B211" s="81">
        <v>0</v>
      </c>
      <c r="C211" s="81">
        <v>0</v>
      </c>
      <c r="D211" s="81">
        <v>0</v>
      </c>
      <c r="E211" s="81">
        <v>0</v>
      </c>
      <c r="F211" s="81">
        <v>0</v>
      </c>
      <c r="G211" s="81">
        <v>0</v>
      </c>
      <c r="H211" s="81">
        <v>0</v>
      </c>
    </row>
    <row r="212" spans="1:8" x14ac:dyDescent="0.25">
      <c r="A212" t="s">
        <v>252</v>
      </c>
      <c r="B212" s="81">
        <v>0</v>
      </c>
      <c r="C212" s="81">
        <v>0</v>
      </c>
      <c r="D212" s="81">
        <v>0</v>
      </c>
      <c r="E212" s="81">
        <v>0</v>
      </c>
      <c r="F212" s="81">
        <v>0</v>
      </c>
      <c r="G212" s="81">
        <v>0</v>
      </c>
      <c r="H212" s="81">
        <v>0</v>
      </c>
    </row>
    <row r="213" spans="1:8" x14ac:dyDescent="0.25">
      <c r="A213" t="s">
        <v>448</v>
      </c>
      <c r="B213" s="81">
        <v>0</v>
      </c>
      <c r="C213" s="81">
        <v>0</v>
      </c>
      <c r="D213" s="81">
        <v>0</v>
      </c>
      <c r="E213" s="81">
        <v>0</v>
      </c>
      <c r="F213" s="81">
        <v>0</v>
      </c>
      <c r="G213" s="81">
        <v>0</v>
      </c>
      <c r="H213" s="81">
        <v>0</v>
      </c>
    </row>
    <row r="214" spans="1:8" x14ac:dyDescent="0.25">
      <c r="A214" t="s">
        <v>449</v>
      </c>
      <c r="B214" s="81">
        <v>0</v>
      </c>
      <c r="C214" s="81">
        <v>0</v>
      </c>
      <c r="D214" s="81">
        <v>0</v>
      </c>
      <c r="E214" s="81">
        <v>0</v>
      </c>
      <c r="F214" s="81">
        <v>0</v>
      </c>
      <c r="G214" s="81">
        <v>0</v>
      </c>
      <c r="H214" s="81">
        <v>0</v>
      </c>
    </row>
    <row r="215" spans="1:8" x14ac:dyDescent="0.25">
      <c r="A215" t="s">
        <v>450</v>
      </c>
      <c r="B215" s="81">
        <v>0</v>
      </c>
      <c r="C215" s="81">
        <v>0</v>
      </c>
      <c r="D215" s="81">
        <v>0</v>
      </c>
      <c r="E215" s="81">
        <v>0</v>
      </c>
      <c r="F215" s="81">
        <v>0</v>
      </c>
      <c r="G215" s="81">
        <v>0</v>
      </c>
      <c r="H215" s="81">
        <v>0</v>
      </c>
    </row>
    <row r="216" spans="1:8" x14ac:dyDescent="0.25">
      <c r="A216" t="s">
        <v>451</v>
      </c>
      <c r="B216" s="81">
        <v>0</v>
      </c>
      <c r="C216" s="81">
        <v>0</v>
      </c>
      <c r="D216" s="81">
        <v>0</v>
      </c>
      <c r="E216" s="81">
        <v>0</v>
      </c>
      <c r="F216" s="81">
        <v>0</v>
      </c>
      <c r="G216" s="81">
        <v>0</v>
      </c>
      <c r="H216" s="81">
        <v>0</v>
      </c>
    </row>
    <row r="217" spans="1:8" x14ac:dyDescent="0.25">
      <c r="A217" t="s">
        <v>253</v>
      </c>
      <c r="B217" s="81">
        <v>0</v>
      </c>
      <c r="C217" s="81">
        <v>0</v>
      </c>
      <c r="D217" s="81">
        <v>0</v>
      </c>
      <c r="E217" s="81">
        <v>0</v>
      </c>
      <c r="F217" s="81">
        <v>0</v>
      </c>
      <c r="G217" s="81">
        <v>0</v>
      </c>
      <c r="H217" s="81">
        <v>0</v>
      </c>
    </row>
    <row r="218" spans="1:8" x14ac:dyDescent="0.25">
      <c r="A218" t="s">
        <v>254</v>
      </c>
      <c r="B218" s="81">
        <v>0</v>
      </c>
      <c r="C218" s="81">
        <v>0</v>
      </c>
      <c r="D218" s="81">
        <v>0</v>
      </c>
      <c r="E218" s="81">
        <v>0</v>
      </c>
      <c r="F218" s="81">
        <v>0</v>
      </c>
      <c r="G218" s="81">
        <v>0</v>
      </c>
      <c r="H218" s="81">
        <v>0</v>
      </c>
    </row>
    <row r="219" spans="1:8" x14ac:dyDescent="0.25">
      <c r="A219" t="s">
        <v>255</v>
      </c>
      <c r="B219" s="81">
        <v>0</v>
      </c>
      <c r="C219" s="81">
        <v>0</v>
      </c>
      <c r="D219" s="81">
        <v>0</v>
      </c>
      <c r="E219" s="81">
        <v>0</v>
      </c>
      <c r="F219" s="81">
        <v>0</v>
      </c>
      <c r="G219" s="81">
        <v>0</v>
      </c>
      <c r="H219" s="81">
        <v>0</v>
      </c>
    </row>
    <row r="220" spans="1:8" x14ac:dyDescent="0.25">
      <c r="A220" t="s">
        <v>256</v>
      </c>
      <c r="B220" s="81">
        <v>0</v>
      </c>
      <c r="C220" s="81">
        <v>0</v>
      </c>
      <c r="D220" s="81">
        <v>0</v>
      </c>
      <c r="E220" s="81">
        <v>0</v>
      </c>
      <c r="F220" s="81">
        <v>0</v>
      </c>
      <c r="G220" s="81">
        <v>0</v>
      </c>
      <c r="H220" s="81">
        <v>0</v>
      </c>
    </row>
    <row r="221" spans="1:8" x14ac:dyDescent="0.25">
      <c r="A221" t="s">
        <v>476</v>
      </c>
      <c r="B221" s="81">
        <v>0</v>
      </c>
      <c r="C221" s="81">
        <v>0</v>
      </c>
      <c r="D221" s="81">
        <v>0</v>
      </c>
      <c r="E221" s="81">
        <v>0</v>
      </c>
      <c r="F221" s="81">
        <v>0</v>
      </c>
      <c r="G221" s="81">
        <v>0</v>
      </c>
      <c r="H221" s="81">
        <v>0</v>
      </c>
    </row>
    <row r="222" spans="1:8" x14ac:dyDescent="0.25">
      <c r="A222" t="s">
        <v>477</v>
      </c>
      <c r="B222" s="81">
        <v>0</v>
      </c>
      <c r="C222" s="81">
        <v>0</v>
      </c>
      <c r="D222" s="81">
        <v>0</v>
      </c>
      <c r="E222" s="81">
        <v>0</v>
      </c>
      <c r="F222" s="81">
        <v>0</v>
      </c>
      <c r="G222" s="81">
        <v>0</v>
      </c>
      <c r="H222" s="81">
        <v>0</v>
      </c>
    </row>
    <row r="223" spans="1:8" x14ac:dyDescent="0.25">
      <c r="A223" t="s">
        <v>478</v>
      </c>
      <c r="B223" s="81">
        <v>0</v>
      </c>
      <c r="C223" s="81">
        <v>0</v>
      </c>
      <c r="D223" s="81">
        <v>0</v>
      </c>
      <c r="E223" s="81">
        <v>0</v>
      </c>
      <c r="F223" s="81">
        <v>0</v>
      </c>
      <c r="G223" s="81">
        <v>0</v>
      </c>
      <c r="H223" s="81">
        <v>0</v>
      </c>
    </row>
    <row r="224" spans="1:8" x14ac:dyDescent="0.25">
      <c r="A224" t="s">
        <v>479</v>
      </c>
      <c r="B224" s="81">
        <v>0</v>
      </c>
      <c r="C224" s="81">
        <v>0</v>
      </c>
      <c r="D224" s="81">
        <v>0</v>
      </c>
      <c r="E224" s="81">
        <v>0</v>
      </c>
      <c r="F224" s="81">
        <v>0</v>
      </c>
      <c r="G224" s="81">
        <v>0</v>
      </c>
      <c r="H224" s="81">
        <v>0</v>
      </c>
    </row>
    <row r="225" spans="1:8" x14ac:dyDescent="0.25">
      <c r="A225" t="s">
        <v>257</v>
      </c>
      <c r="B225" s="81">
        <v>0</v>
      </c>
      <c r="C225" s="81">
        <v>0</v>
      </c>
      <c r="D225" s="81">
        <v>0</v>
      </c>
      <c r="E225" s="81">
        <v>0</v>
      </c>
      <c r="F225" s="81">
        <v>0</v>
      </c>
      <c r="G225" s="81">
        <v>0</v>
      </c>
      <c r="H225" s="81">
        <v>0</v>
      </c>
    </row>
    <row r="226" spans="1:8" x14ac:dyDescent="0.25">
      <c r="A226" t="s">
        <v>258</v>
      </c>
      <c r="B226" s="81">
        <v>0</v>
      </c>
      <c r="C226" s="81">
        <v>0</v>
      </c>
      <c r="D226" s="81">
        <v>0</v>
      </c>
      <c r="E226" s="81">
        <v>0</v>
      </c>
      <c r="F226" s="81">
        <v>0</v>
      </c>
      <c r="G226" s="81">
        <v>0</v>
      </c>
      <c r="H226" s="81">
        <v>0</v>
      </c>
    </row>
    <row r="227" spans="1:8" x14ac:dyDescent="0.25">
      <c r="A227" t="s">
        <v>259</v>
      </c>
      <c r="B227" s="81">
        <v>0</v>
      </c>
      <c r="C227" s="81">
        <v>0</v>
      </c>
      <c r="D227" s="81">
        <v>0</v>
      </c>
      <c r="E227" s="81">
        <v>0</v>
      </c>
      <c r="F227" s="81">
        <v>0</v>
      </c>
      <c r="G227" s="81">
        <v>0</v>
      </c>
      <c r="H227" s="81">
        <v>0</v>
      </c>
    </row>
    <row r="228" spans="1:8" x14ac:dyDescent="0.25">
      <c r="A228" t="s">
        <v>260</v>
      </c>
      <c r="B228" s="81">
        <v>0</v>
      </c>
      <c r="C228" s="81">
        <v>0</v>
      </c>
      <c r="D228" s="81">
        <v>0</v>
      </c>
      <c r="E228" s="81">
        <v>0</v>
      </c>
      <c r="F228" s="81">
        <v>0</v>
      </c>
      <c r="G228" s="81">
        <v>0</v>
      </c>
      <c r="H228" s="81">
        <v>0</v>
      </c>
    </row>
    <row r="229" spans="1:8" x14ac:dyDescent="0.25">
      <c r="A229" t="s">
        <v>480</v>
      </c>
      <c r="B229" s="81">
        <v>0</v>
      </c>
      <c r="C229" s="81">
        <v>0</v>
      </c>
      <c r="D229" s="81">
        <v>0</v>
      </c>
      <c r="E229" s="81">
        <v>0</v>
      </c>
      <c r="F229" s="81">
        <v>0</v>
      </c>
      <c r="G229" s="81">
        <v>0</v>
      </c>
      <c r="H229" s="81">
        <v>0</v>
      </c>
    </row>
    <row r="230" spans="1:8" x14ac:dyDescent="0.25">
      <c r="A230" t="s">
        <v>481</v>
      </c>
      <c r="B230" s="81">
        <v>0</v>
      </c>
      <c r="C230" s="81">
        <v>0</v>
      </c>
      <c r="D230" s="81">
        <v>0</v>
      </c>
      <c r="E230" s="81">
        <v>0</v>
      </c>
      <c r="F230" s="81">
        <v>0</v>
      </c>
      <c r="G230" s="81">
        <v>0</v>
      </c>
      <c r="H230" s="81">
        <v>0</v>
      </c>
    </row>
    <row r="231" spans="1:8" x14ac:dyDescent="0.25">
      <c r="A231" t="s">
        <v>482</v>
      </c>
      <c r="B231" s="81">
        <v>0</v>
      </c>
      <c r="C231" s="81">
        <v>0</v>
      </c>
      <c r="D231" s="81">
        <v>0</v>
      </c>
      <c r="E231" s="81">
        <v>0</v>
      </c>
      <c r="F231" s="81">
        <v>0</v>
      </c>
      <c r="G231" s="81">
        <v>0</v>
      </c>
      <c r="H231" s="81">
        <v>0</v>
      </c>
    </row>
    <row r="232" spans="1:8" x14ac:dyDescent="0.25">
      <c r="A232" t="s">
        <v>483</v>
      </c>
      <c r="B232" s="81">
        <v>0</v>
      </c>
      <c r="C232" s="81">
        <v>0</v>
      </c>
      <c r="D232" s="81">
        <v>0</v>
      </c>
      <c r="E232" s="81">
        <v>0</v>
      </c>
      <c r="F232" s="81">
        <v>0</v>
      </c>
      <c r="G232" s="81">
        <v>0</v>
      </c>
      <c r="H232" s="81">
        <v>0</v>
      </c>
    </row>
    <row r="233" spans="1:8" x14ac:dyDescent="0.25">
      <c r="A233" t="s">
        <v>468</v>
      </c>
      <c r="B233" s="81">
        <v>0</v>
      </c>
      <c r="C233" s="81">
        <v>0</v>
      </c>
      <c r="D233" s="81">
        <v>0</v>
      </c>
      <c r="E233" s="81">
        <v>0</v>
      </c>
      <c r="F233" s="81">
        <v>0</v>
      </c>
      <c r="G233" s="81">
        <v>0</v>
      </c>
      <c r="H233" s="81">
        <v>0</v>
      </c>
    </row>
    <row r="234" spans="1:8" x14ac:dyDescent="0.25">
      <c r="A234" t="s">
        <v>469</v>
      </c>
      <c r="B234" s="81">
        <v>0</v>
      </c>
      <c r="C234" s="81">
        <v>0</v>
      </c>
      <c r="D234" s="81">
        <v>0</v>
      </c>
      <c r="E234" s="81">
        <v>0</v>
      </c>
      <c r="F234" s="81">
        <v>0</v>
      </c>
      <c r="G234" s="81">
        <v>0</v>
      </c>
      <c r="H234" s="81">
        <v>0</v>
      </c>
    </row>
    <row r="235" spans="1:8" x14ac:dyDescent="0.25">
      <c r="A235" t="s">
        <v>470</v>
      </c>
      <c r="B235" s="81">
        <v>0</v>
      </c>
      <c r="C235" s="81">
        <v>0</v>
      </c>
      <c r="D235" s="81">
        <v>0</v>
      </c>
      <c r="E235" s="81">
        <v>0</v>
      </c>
      <c r="F235" s="81">
        <v>0</v>
      </c>
      <c r="G235" s="81">
        <v>0</v>
      </c>
      <c r="H235" s="81">
        <v>0</v>
      </c>
    </row>
    <row r="236" spans="1:8" x14ac:dyDescent="0.25">
      <c r="A236" t="s">
        <v>471</v>
      </c>
      <c r="B236" s="81">
        <v>0</v>
      </c>
      <c r="C236" s="81">
        <v>0</v>
      </c>
      <c r="D236" s="81">
        <v>0</v>
      </c>
      <c r="E236" s="81">
        <v>0</v>
      </c>
      <c r="F236" s="81">
        <v>0</v>
      </c>
      <c r="G236" s="81">
        <v>0</v>
      </c>
      <c r="H236" s="81">
        <v>0</v>
      </c>
    </row>
    <row r="237" spans="1:8" x14ac:dyDescent="0.25">
      <c r="A237" t="s">
        <v>488</v>
      </c>
      <c r="B237" s="81">
        <v>0</v>
      </c>
      <c r="C237" s="81">
        <v>0</v>
      </c>
      <c r="D237" s="81">
        <v>0</v>
      </c>
      <c r="E237" s="81">
        <v>0</v>
      </c>
      <c r="F237" s="81">
        <v>0</v>
      </c>
      <c r="G237" s="81">
        <v>0</v>
      </c>
      <c r="H237" s="81">
        <v>0</v>
      </c>
    </row>
    <row r="238" spans="1:8" x14ac:dyDescent="0.25">
      <c r="A238" t="s">
        <v>489</v>
      </c>
      <c r="B238" s="81">
        <v>0</v>
      </c>
      <c r="C238" s="81">
        <v>0</v>
      </c>
      <c r="D238" s="81">
        <v>0</v>
      </c>
      <c r="E238" s="81">
        <v>0</v>
      </c>
      <c r="F238" s="81">
        <v>0</v>
      </c>
      <c r="G238" s="81">
        <v>0</v>
      </c>
      <c r="H238" s="81">
        <v>0</v>
      </c>
    </row>
    <row r="239" spans="1:8" x14ac:dyDescent="0.25">
      <c r="A239" t="s">
        <v>490</v>
      </c>
      <c r="B239" s="81">
        <v>0</v>
      </c>
      <c r="C239" s="81">
        <v>0</v>
      </c>
      <c r="D239" s="81">
        <v>0</v>
      </c>
      <c r="E239" s="81">
        <v>0</v>
      </c>
      <c r="F239" s="81">
        <v>0</v>
      </c>
      <c r="G239" s="81">
        <v>0</v>
      </c>
      <c r="H239" s="81">
        <v>0</v>
      </c>
    </row>
    <row r="240" spans="1:8" x14ac:dyDescent="0.25">
      <c r="A240" t="s">
        <v>491</v>
      </c>
      <c r="B240" s="81">
        <v>0</v>
      </c>
      <c r="C240" s="81">
        <v>0</v>
      </c>
      <c r="D240" s="81">
        <v>0</v>
      </c>
      <c r="E240" s="81">
        <v>0</v>
      </c>
      <c r="F240" s="81">
        <v>0</v>
      </c>
      <c r="G240" s="81">
        <v>0</v>
      </c>
      <c r="H240" s="81">
        <v>0</v>
      </c>
    </row>
    <row r="241" spans="1:8" x14ac:dyDescent="0.25">
      <c r="A241" t="s">
        <v>261</v>
      </c>
      <c r="B241" s="81">
        <v>0</v>
      </c>
      <c r="C241" s="81">
        <v>0</v>
      </c>
      <c r="D241" s="81">
        <v>0</v>
      </c>
      <c r="E241" s="81">
        <v>0</v>
      </c>
      <c r="F241" s="81">
        <v>0</v>
      </c>
      <c r="G241" s="81">
        <v>0</v>
      </c>
      <c r="H241" s="81">
        <v>0</v>
      </c>
    </row>
    <row r="242" spans="1:8" x14ac:dyDescent="0.25">
      <c r="A242" t="s">
        <v>262</v>
      </c>
      <c r="B242" s="81">
        <v>0</v>
      </c>
      <c r="C242" s="81">
        <v>0</v>
      </c>
      <c r="D242" s="81">
        <v>0</v>
      </c>
      <c r="E242" s="81">
        <v>0</v>
      </c>
      <c r="F242" s="81">
        <v>0</v>
      </c>
      <c r="G242" s="81">
        <v>0</v>
      </c>
      <c r="H242" s="81">
        <v>0</v>
      </c>
    </row>
    <row r="243" spans="1:8" x14ac:dyDescent="0.25">
      <c r="A243" t="s">
        <v>263</v>
      </c>
      <c r="B243" s="81">
        <v>0</v>
      </c>
      <c r="C243" s="81">
        <v>0</v>
      </c>
      <c r="D243" s="81">
        <v>0</v>
      </c>
      <c r="E243" s="81">
        <v>0</v>
      </c>
      <c r="F243" s="81">
        <v>0</v>
      </c>
      <c r="G243" s="81">
        <v>0</v>
      </c>
      <c r="H243" s="81">
        <v>0</v>
      </c>
    </row>
    <row r="244" spans="1:8" x14ac:dyDescent="0.25">
      <c r="A244" t="s">
        <v>264</v>
      </c>
      <c r="B244" s="81">
        <v>0</v>
      </c>
      <c r="C244" s="81">
        <v>0</v>
      </c>
      <c r="D244" s="81">
        <v>0</v>
      </c>
      <c r="E244" s="81">
        <v>0</v>
      </c>
      <c r="F244" s="81">
        <v>0</v>
      </c>
      <c r="G244" s="81">
        <v>0</v>
      </c>
      <c r="H244" s="81">
        <v>0</v>
      </c>
    </row>
    <row r="245" spans="1:8" x14ac:dyDescent="0.25">
      <c r="A245" t="s">
        <v>265</v>
      </c>
      <c r="B245" s="81">
        <v>0</v>
      </c>
      <c r="C245" s="81">
        <v>0</v>
      </c>
      <c r="D245" s="81">
        <v>0</v>
      </c>
      <c r="E245" s="81">
        <v>0</v>
      </c>
      <c r="F245" s="81">
        <v>0</v>
      </c>
      <c r="G245" s="81">
        <v>0</v>
      </c>
      <c r="H245" s="81">
        <v>0</v>
      </c>
    </row>
    <row r="246" spans="1:8" x14ac:dyDescent="0.25">
      <c r="A246" t="s">
        <v>266</v>
      </c>
      <c r="B246" s="81">
        <v>0</v>
      </c>
      <c r="C246" s="81">
        <v>0</v>
      </c>
      <c r="D246" s="81">
        <v>0</v>
      </c>
      <c r="E246" s="81">
        <v>0</v>
      </c>
      <c r="F246" s="81">
        <v>0</v>
      </c>
      <c r="G246" s="81">
        <v>0</v>
      </c>
      <c r="H246" s="81">
        <v>0</v>
      </c>
    </row>
    <row r="247" spans="1:8" x14ac:dyDescent="0.25">
      <c r="A247" t="s">
        <v>267</v>
      </c>
      <c r="B247" s="81">
        <v>0</v>
      </c>
      <c r="C247" s="81">
        <v>0</v>
      </c>
      <c r="D247" s="81">
        <v>0</v>
      </c>
      <c r="E247" s="81">
        <v>0</v>
      </c>
      <c r="F247" s="81">
        <v>0</v>
      </c>
      <c r="G247" s="81">
        <v>0</v>
      </c>
      <c r="H247" s="81">
        <v>0</v>
      </c>
    </row>
    <row r="248" spans="1:8" x14ac:dyDescent="0.25">
      <c r="A248" t="s">
        <v>268</v>
      </c>
      <c r="B248" s="81">
        <v>0</v>
      </c>
      <c r="C248" s="81">
        <v>0</v>
      </c>
      <c r="D248" s="81">
        <v>0</v>
      </c>
      <c r="E248" s="81">
        <v>0</v>
      </c>
      <c r="F248" s="81">
        <v>0</v>
      </c>
      <c r="G248" s="81">
        <v>0</v>
      </c>
      <c r="H248" s="81">
        <v>0</v>
      </c>
    </row>
    <row r="249" spans="1:8" x14ac:dyDescent="0.25">
      <c r="A249" t="s">
        <v>269</v>
      </c>
      <c r="B249" s="81">
        <v>0</v>
      </c>
      <c r="C249" s="81">
        <v>0</v>
      </c>
      <c r="D249" s="81">
        <v>0</v>
      </c>
      <c r="E249" s="81">
        <v>0</v>
      </c>
      <c r="F249" s="81">
        <v>0</v>
      </c>
      <c r="G249" s="81">
        <v>0</v>
      </c>
      <c r="H249" s="81">
        <v>0</v>
      </c>
    </row>
    <row r="250" spans="1:8" x14ac:dyDescent="0.25">
      <c r="A250" t="s">
        <v>270</v>
      </c>
      <c r="B250" s="81">
        <v>0</v>
      </c>
      <c r="C250" s="81">
        <v>0</v>
      </c>
      <c r="D250" s="81">
        <v>0</v>
      </c>
      <c r="E250" s="81">
        <v>0</v>
      </c>
      <c r="F250" s="81">
        <v>0</v>
      </c>
      <c r="G250" s="81">
        <v>0</v>
      </c>
      <c r="H250" s="81">
        <v>0</v>
      </c>
    </row>
    <row r="251" spans="1:8" x14ac:dyDescent="0.25">
      <c r="A251" t="s">
        <v>271</v>
      </c>
      <c r="B251" s="81">
        <v>0</v>
      </c>
      <c r="C251" s="81">
        <v>0</v>
      </c>
      <c r="D251" s="81">
        <v>0</v>
      </c>
      <c r="E251" s="81">
        <v>0</v>
      </c>
      <c r="F251" s="81">
        <v>0</v>
      </c>
      <c r="G251" s="81">
        <v>0</v>
      </c>
      <c r="H251" s="81">
        <v>0</v>
      </c>
    </row>
    <row r="252" spans="1:8" x14ac:dyDescent="0.25">
      <c r="A252" t="s">
        <v>272</v>
      </c>
      <c r="B252" s="81">
        <v>0</v>
      </c>
      <c r="C252" s="81">
        <v>0</v>
      </c>
      <c r="D252" s="81">
        <v>0</v>
      </c>
      <c r="E252" s="81">
        <v>0</v>
      </c>
      <c r="F252" s="81">
        <v>0</v>
      </c>
      <c r="G252" s="81">
        <v>0</v>
      </c>
      <c r="H252" s="81">
        <v>0</v>
      </c>
    </row>
    <row r="253" spans="1:8" x14ac:dyDescent="0.25">
      <c r="A253" t="s">
        <v>273</v>
      </c>
      <c r="B253" s="81">
        <v>0</v>
      </c>
      <c r="C253" s="81">
        <v>0</v>
      </c>
      <c r="D253" s="81">
        <v>0</v>
      </c>
      <c r="E253" s="81">
        <v>0</v>
      </c>
      <c r="F253" s="81">
        <v>0</v>
      </c>
      <c r="G253" s="81">
        <v>0</v>
      </c>
      <c r="H253" s="81">
        <v>0</v>
      </c>
    </row>
    <row r="254" spans="1:8" x14ac:dyDescent="0.25">
      <c r="A254" t="s">
        <v>274</v>
      </c>
      <c r="B254" s="81">
        <v>0</v>
      </c>
      <c r="C254" s="81">
        <v>0</v>
      </c>
      <c r="D254" s="81">
        <v>0</v>
      </c>
      <c r="E254" s="81">
        <v>0</v>
      </c>
      <c r="F254" s="81">
        <v>0</v>
      </c>
      <c r="G254" s="81">
        <v>0</v>
      </c>
      <c r="H254" s="81">
        <v>0</v>
      </c>
    </row>
    <row r="255" spans="1:8" x14ac:dyDescent="0.25">
      <c r="A255" t="s">
        <v>275</v>
      </c>
      <c r="B255" s="81">
        <v>0</v>
      </c>
      <c r="C255" s="81">
        <v>0</v>
      </c>
      <c r="D255" s="81">
        <v>0</v>
      </c>
      <c r="E255" s="81">
        <v>0</v>
      </c>
      <c r="F255" s="81">
        <v>0</v>
      </c>
      <c r="G255" s="81">
        <v>0</v>
      </c>
      <c r="H255" s="81">
        <v>0</v>
      </c>
    </row>
    <row r="256" spans="1:8" x14ac:dyDescent="0.25">
      <c r="A256" t="s">
        <v>276</v>
      </c>
      <c r="B256" s="81">
        <v>0</v>
      </c>
      <c r="C256" s="81">
        <v>0</v>
      </c>
      <c r="D256" s="81">
        <v>0</v>
      </c>
      <c r="E256" s="81">
        <v>0</v>
      </c>
      <c r="F256" s="81">
        <v>0</v>
      </c>
      <c r="G256" s="81">
        <v>0</v>
      </c>
      <c r="H256" s="81">
        <v>0</v>
      </c>
    </row>
    <row r="257" spans="1:8" x14ac:dyDescent="0.25">
      <c r="A257" t="s">
        <v>277</v>
      </c>
      <c r="B257" s="81">
        <v>0</v>
      </c>
      <c r="C257" s="81">
        <v>0</v>
      </c>
      <c r="D257" s="81">
        <v>0</v>
      </c>
      <c r="E257" s="81">
        <v>0</v>
      </c>
      <c r="F257" s="81">
        <v>0</v>
      </c>
      <c r="G257" s="81">
        <v>0</v>
      </c>
      <c r="H257" s="81">
        <v>0</v>
      </c>
    </row>
    <row r="258" spans="1:8" x14ac:dyDescent="0.25">
      <c r="A258" t="s">
        <v>278</v>
      </c>
      <c r="B258" s="81">
        <v>0</v>
      </c>
      <c r="C258" s="81">
        <v>0</v>
      </c>
      <c r="D258" s="81">
        <v>0</v>
      </c>
      <c r="E258" s="81">
        <v>0</v>
      </c>
      <c r="F258" s="81">
        <v>0</v>
      </c>
      <c r="G258" s="81">
        <v>0</v>
      </c>
      <c r="H258" s="81">
        <v>0</v>
      </c>
    </row>
    <row r="259" spans="1:8" x14ac:dyDescent="0.25">
      <c r="A259" t="s">
        <v>279</v>
      </c>
      <c r="B259" s="81">
        <v>0</v>
      </c>
      <c r="C259" s="81">
        <v>0</v>
      </c>
      <c r="D259" s="81">
        <v>0</v>
      </c>
      <c r="E259" s="81">
        <v>0</v>
      </c>
      <c r="F259" s="81">
        <v>0</v>
      </c>
      <c r="G259" s="81">
        <v>0</v>
      </c>
      <c r="H259" s="81">
        <v>0</v>
      </c>
    </row>
    <row r="260" spans="1:8" x14ac:dyDescent="0.25">
      <c r="A260" t="s">
        <v>280</v>
      </c>
      <c r="B260" s="81">
        <v>0</v>
      </c>
      <c r="C260" s="81">
        <v>0</v>
      </c>
      <c r="D260" s="81">
        <v>0</v>
      </c>
      <c r="E260" s="81">
        <v>0</v>
      </c>
      <c r="F260" s="81">
        <v>0</v>
      </c>
      <c r="G260" s="81">
        <v>0</v>
      </c>
      <c r="H260" s="81">
        <v>0</v>
      </c>
    </row>
    <row r="261" spans="1:8" x14ac:dyDescent="0.25">
      <c r="A261" t="s">
        <v>281</v>
      </c>
      <c r="B261" s="81">
        <v>0</v>
      </c>
      <c r="C261" s="81">
        <v>0</v>
      </c>
      <c r="D261" s="81">
        <v>0</v>
      </c>
      <c r="E261" s="81">
        <v>0</v>
      </c>
      <c r="F261" s="81">
        <v>0</v>
      </c>
      <c r="G261" s="81">
        <v>0</v>
      </c>
      <c r="H261" s="81">
        <v>0</v>
      </c>
    </row>
    <row r="262" spans="1:8" x14ac:dyDescent="0.25">
      <c r="A262" t="s">
        <v>282</v>
      </c>
      <c r="B262" s="81">
        <v>0</v>
      </c>
      <c r="C262" s="81">
        <v>0</v>
      </c>
      <c r="D262" s="81">
        <v>0</v>
      </c>
      <c r="E262" s="81">
        <v>0</v>
      </c>
      <c r="F262" s="81">
        <v>0</v>
      </c>
      <c r="G262" s="81">
        <v>0</v>
      </c>
      <c r="H262" s="81">
        <v>0</v>
      </c>
    </row>
    <row r="263" spans="1:8" x14ac:dyDescent="0.25">
      <c r="A263" t="s">
        <v>283</v>
      </c>
      <c r="B263" s="81">
        <v>0</v>
      </c>
      <c r="C263" s="81">
        <v>0</v>
      </c>
      <c r="D263" s="81">
        <v>0</v>
      </c>
      <c r="E263" s="81">
        <v>0</v>
      </c>
      <c r="F263" s="81">
        <v>0</v>
      </c>
      <c r="G263" s="81">
        <v>0</v>
      </c>
      <c r="H263" s="81">
        <v>0</v>
      </c>
    </row>
    <row r="264" spans="1:8" x14ac:dyDescent="0.25">
      <c r="A264" t="s">
        <v>284</v>
      </c>
      <c r="B264" s="81">
        <v>0</v>
      </c>
      <c r="C264" s="81">
        <v>0</v>
      </c>
      <c r="D264" s="81">
        <v>0</v>
      </c>
      <c r="E264" s="81">
        <v>0</v>
      </c>
      <c r="F264" s="81">
        <v>0</v>
      </c>
      <c r="G264" s="81">
        <v>0</v>
      </c>
      <c r="H264" s="81">
        <v>0</v>
      </c>
    </row>
    <row r="265" spans="1:8" x14ac:dyDescent="0.25">
      <c r="A265" t="s">
        <v>285</v>
      </c>
      <c r="B265" s="81">
        <v>0</v>
      </c>
      <c r="C265" s="81">
        <v>0</v>
      </c>
      <c r="D265" s="81">
        <v>0</v>
      </c>
      <c r="E265" s="81">
        <v>0</v>
      </c>
      <c r="F265" s="81">
        <v>0</v>
      </c>
      <c r="G265" s="81">
        <v>0</v>
      </c>
      <c r="H265" s="81">
        <v>0</v>
      </c>
    </row>
    <row r="266" spans="1:8" x14ac:dyDescent="0.25">
      <c r="A266" t="s">
        <v>286</v>
      </c>
      <c r="B266" s="81">
        <v>0</v>
      </c>
      <c r="C266" s="81">
        <v>0</v>
      </c>
      <c r="D266" s="81">
        <v>0</v>
      </c>
      <c r="E266" s="81">
        <v>0</v>
      </c>
      <c r="F266" s="81">
        <v>0</v>
      </c>
      <c r="G266" s="81">
        <v>0</v>
      </c>
      <c r="H266" s="81">
        <v>0</v>
      </c>
    </row>
    <row r="267" spans="1:8" x14ac:dyDescent="0.25">
      <c r="A267" t="s">
        <v>287</v>
      </c>
      <c r="B267" s="81">
        <v>0</v>
      </c>
      <c r="C267" s="81">
        <v>0</v>
      </c>
      <c r="D267" s="81">
        <v>0</v>
      </c>
      <c r="E267" s="81">
        <v>0</v>
      </c>
      <c r="F267" s="81">
        <v>0</v>
      </c>
      <c r="G267" s="81">
        <v>0</v>
      </c>
      <c r="H267" s="81">
        <v>0</v>
      </c>
    </row>
    <row r="268" spans="1:8" x14ac:dyDescent="0.25">
      <c r="A268" t="s">
        <v>288</v>
      </c>
      <c r="B268" s="81">
        <v>0</v>
      </c>
      <c r="C268" s="81">
        <v>0</v>
      </c>
      <c r="D268" s="81">
        <v>0</v>
      </c>
      <c r="E268" s="81">
        <v>0</v>
      </c>
      <c r="F268" s="81">
        <v>0</v>
      </c>
      <c r="G268" s="81">
        <v>0</v>
      </c>
      <c r="H268" s="81">
        <v>0</v>
      </c>
    </row>
    <row r="269" spans="1:8" x14ac:dyDescent="0.25">
      <c r="A269" t="s">
        <v>289</v>
      </c>
      <c r="B269" s="81">
        <v>0</v>
      </c>
      <c r="C269" s="81">
        <v>0</v>
      </c>
      <c r="D269" s="81">
        <v>0</v>
      </c>
      <c r="E269" s="81">
        <v>0</v>
      </c>
      <c r="F269" s="81">
        <v>0</v>
      </c>
      <c r="G269" s="81">
        <v>0</v>
      </c>
      <c r="H269" s="81">
        <v>0</v>
      </c>
    </row>
    <row r="270" spans="1:8" x14ac:dyDescent="0.25">
      <c r="A270" t="s">
        <v>290</v>
      </c>
      <c r="B270" s="81">
        <v>0</v>
      </c>
      <c r="C270" s="81">
        <v>0</v>
      </c>
      <c r="D270" s="81">
        <v>0</v>
      </c>
      <c r="E270" s="81">
        <v>0</v>
      </c>
      <c r="F270" s="81">
        <v>0</v>
      </c>
      <c r="G270" s="81">
        <v>0</v>
      </c>
      <c r="H270" s="81">
        <v>0</v>
      </c>
    </row>
    <row r="271" spans="1:8" x14ac:dyDescent="0.25">
      <c r="A271" t="s">
        <v>291</v>
      </c>
      <c r="B271" s="81">
        <v>0</v>
      </c>
      <c r="C271" s="81">
        <v>0</v>
      </c>
      <c r="D271" s="81">
        <v>0</v>
      </c>
      <c r="E271" s="81">
        <v>0</v>
      </c>
      <c r="F271" s="81">
        <v>0</v>
      </c>
      <c r="G271" s="81">
        <v>0</v>
      </c>
      <c r="H271" s="81">
        <v>0</v>
      </c>
    </row>
    <row r="272" spans="1:8" x14ac:dyDescent="0.25">
      <c r="A272" t="s">
        <v>292</v>
      </c>
      <c r="B272" s="81">
        <v>0</v>
      </c>
      <c r="C272" s="81">
        <v>0</v>
      </c>
      <c r="D272" s="81">
        <v>0</v>
      </c>
      <c r="E272" s="81">
        <v>0</v>
      </c>
      <c r="F272" s="81">
        <v>0</v>
      </c>
      <c r="G272" s="81">
        <v>0</v>
      </c>
      <c r="H272" s="81">
        <v>0</v>
      </c>
    </row>
    <row r="273" spans="1:8" x14ac:dyDescent="0.25">
      <c r="A273" t="s">
        <v>293</v>
      </c>
      <c r="B273" s="81">
        <v>0</v>
      </c>
      <c r="C273" s="81">
        <v>0</v>
      </c>
      <c r="D273" s="81">
        <v>0</v>
      </c>
      <c r="E273" s="81">
        <v>0</v>
      </c>
      <c r="F273" s="81">
        <v>0</v>
      </c>
      <c r="G273" s="81">
        <v>0</v>
      </c>
      <c r="H273" s="81">
        <v>0</v>
      </c>
    </row>
    <row r="274" spans="1:8" x14ac:dyDescent="0.25">
      <c r="A274" t="s">
        <v>294</v>
      </c>
      <c r="B274" s="81">
        <v>0</v>
      </c>
      <c r="C274" s="81">
        <v>0</v>
      </c>
      <c r="D274" s="81">
        <v>0</v>
      </c>
      <c r="E274" s="81">
        <v>0</v>
      </c>
      <c r="F274" s="81">
        <v>0</v>
      </c>
      <c r="G274" s="81">
        <v>0</v>
      </c>
      <c r="H274" s="81">
        <v>0</v>
      </c>
    </row>
    <row r="275" spans="1:8" x14ac:dyDescent="0.25">
      <c r="A275" t="s">
        <v>295</v>
      </c>
      <c r="B275" s="81">
        <v>0</v>
      </c>
      <c r="C275" s="81">
        <v>0</v>
      </c>
      <c r="D275" s="81">
        <v>0</v>
      </c>
      <c r="E275" s="81">
        <v>0</v>
      </c>
      <c r="F275" s="81">
        <v>0</v>
      </c>
      <c r="G275" s="81">
        <v>0</v>
      </c>
      <c r="H275" s="81">
        <v>0</v>
      </c>
    </row>
    <row r="276" spans="1:8" x14ac:dyDescent="0.25">
      <c r="A276" t="s">
        <v>296</v>
      </c>
      <c r="B276" s="81">
        <v>0</v>
      </c>
      <c r="C276" s="81">
        <v>0</v>
      </c>
      <c r="D276" s="81">
        <v>0</v>
      </c>
      <c r="E276" s="81">
        <v>0</v>
      </c>
      <c r="F276" s="81">
        <v>0</v>
      </c>
      <c r="G276" s="81">
        <v>0</v>
      </c>
      <c r="H276" s="81">
        <v>0</v>
      </c>
    </row>
    <row r="277" spans="1:8" x14ac:dyDescent="0.25">
      <c r="A277" t="s">
        <v>297</v>
      </c>
      <c r="B277" s="81">
        <v>0</v>
      </c>
      <c r="C277" s="81">
        <v>0</v>
      </c>
      <c r="D277" s="81">
        <v>0</v>
      </c>
      <c r="E277" s="81">
        <v>0</v>
      </c>
      <c r="F277" s="81">
        <v>0</v>
      </c>
      <c r="G277" s="81">
        <v>0</v>
      </c>
      <c r="H277" s="81">
        <v>0</v>
      </c>
    </row>
    <row r="278" spans="1:8" x14ac:dyDescent="0.25">
      <c r="A278" t="s">
        <v>298</v>
      </c>
      <c r="B278" s="81">
        <v>0</v>
      </c>
      <c r="C278" s="81">
        <v>0</v>
      </c>
      <c r="D278" s="81">
        <v>0</v>
      </c>
      <c r="E278" s="81">
        <v>0</v>
      </c>
      <c r="F278" s="81">
        <v>0</v>
      </c>
      <c r="G278" s="81">
        <v>0</v>
      </c>
      <c r="H278" s="81">
        <v>0</v>
      </c>
    </row>
    <row r="279" spans="1:8" x14ac:dyDescent="0.25">
      <c r="A279" t="s">
        <v>299</v>
      </c>
      <c r="B279" s="81">
        <v>0</v>
      </c>
      <c r="C279" s="81">
        <v>0</v>
      </c>
      <c r="D279" s="81">
        <v>0</v>
      </c>
      <c r="E279" s="81">
        <v>0</v>
      </c>
      <c r="F279" s="81">
        <v>0</v>
      </c>
      <c r="G279" s="81">
        <v>0</v>
      </c>
      <c r="H279" s="81">
        <v>0</v>
      </c>
    </row>
    <row r="280" spans="1:8" x14ac:dyDescent="0.25">
      <c r="A280" t="s">
        <v>300</v>
      </c>
      <c r="B280" s="81">
        <v>0</v>
      </c>
      <c r="C280" s="81">
        <v>0</v>
      </c>
      <c r="D280" s="81">
        <v>0</v>
      </c>
      <c r="E280" s="81">
        <v>0</v>
      </c>
      <c r="F280" s="81">
        <v>0</v>
      </c>
      <c r="G280" s="81">
        <v>0</v>
      </c>
      <c r="H280" s="81">
        <v>0</v>
      </c>
    </row>
    <row r="281" spans="1:8" x14ac:dyDescent="0.25">
      <c r="A281" t="s">
        <v>301</v>
      </c>
      <c r="B281" s="81">
        <v>0</v>
      </c>
      <c r="C281" s="81">
        <v>0</v>
      </c>
      <c r="D281" s="81">
        <v>0</v>
      </c>
      <c r="E281" s="81">
        <v>0</v>
      </c>
      <c r="F281" s="81">
        <v>0</v>
      </c>
      <c r="G281" s="81">
        <v>0</v>
      </c>
      <c r="H281" s="81">
        <v>0</v>
      </c>
    </row>
    <row r="282" spans="1:8" x14ac:dyDescent="0.25">
      <c r="A282" t="s">
        <v>302</v>
      </c>
      <c r="B282" s="81">
        <v>0</v>
      </c>
      <c r="C282" s="81">
        <v>0</v>
      </c>
      <c r="D282" s="81">
        <v>0</v>
      </c>
      <c r="E282" s="81">
        <v>0</v>
      </c>
      <c r="F282" s="81">
        <v>0</v>
      </c>
      <c r="G282" s="81">
        <v>0</v>
      </c>
      <c r="H282" s="81">
        <v>0</v>
      </c>
    </row>
    <row r="283" spans="1:8" x14ac:dyDescent="0.25">
      <c r="A283" t="s">
        <v>303</v>
      </c>
      <c r="B283" s="81">
        <v>0</v>
      </c>
      <c r="C283" s="81">
        <v>0</v>
      </c>
      <c r="D283" s="81">
        <v>0</v>
      </c>
      <c r="E283" s="81">
        <v>0</v>
      </c>
      <c r="F283" s="81">
        <v>0</v>
      </c>
      <c r="G283" s="81">
        <v>0</v>
      </c>
      <c r="H283" s="81">
        <v>0</v>
      </c>
    </row>
    <row r="284" spans="1:8" x14ac:dyDescent="0.25">
      <c r="A284" t="s">
        <v>304</v>
      </c>
      <c r="B284" s="81">
        <v>0</v>
      </c>
      <c r="C284" s="81">
        <v>0</v>
      </c>
      <c r="D284" s="81">
        <v>0</v>
      </c>
      <c r="E284" s="81">
        <v>0</v>
      </c>
      <c r="F284" s="81">
        <v>0</v>
      </c>
      <c r="G284" s="81">
        <v>0</v>
      </c>
      <c r="H284" s="81">
        <v>0</v>
      </c>
    </row>
    <row r="285" spans="1:8" x14ac:dyDescent="0.25">
      <c r="A285" t="s">
        <v>305</v>
      </c>
      <c r="B285" s="81">
        <v>0</v>
      </c>
      <c r="C285" s="81">
        <v>0</v>
      </c>
      <c r="D285" s="81">
        <v>0</v>
      </c>
      <c r="E285" s="81">
        <v>0</v>
      </c>
      <c r="F285" s="81">
        <v>0</v>
      </c>
      <c r="G285" s="81">
        <v>0</v>
      </c>
      <c r="H285" s="81">
        <v>0</v>
      </c>
    </row>
    <row r="286" spans="1:8" x14ac:dyDescent="0.25">
      <c r="A286" t="s">
        <v>306</v>
      </c>
      <c r="B286" s="81">
        <v>0</v>
      </c>
      <c r="C286" s="81">
        <v>0</v>
      </c>
      <c r="D286" s="81">
        <v>0</v>
      </c>
      <c r="E286" s="81">
        <v>0</v>
      </c>
      <c r="F286" s="81">
        <v>0</v>
      </c>
      <c r="G286" s="81">
        <v>0</v>
      </c>
      <c r="H286" s="81">
        <v>0</v>
      </c>
    </row>
    <row r="287" spans="1:8" x14ac:dyDescent="0.25">
      <c r="A287" t="s">
        <v>307</v>
      </c>
      <c r="B287" s="81">
        <v>0</v>
      </c>
      <c r="C287" s="81">
        <v>0</v>
      </c>
      <c r="D287" s="81">
        <v>0</v>
      </c>
      <c r="E287" s="81">
        <v>0</v>
      </c>
      <c r="F287" s="81">
        <v>0</v>
      </c>
      <c r="G287" s="81">
        <v>0</v>
      </c>
      <c r="H287" s="81">
        <v>0</v>
      </c>
    </row>
    <row r="288" spans="1:8" x14ac:dyDescent="0.25">
      <c r="A288" t="s">
        <v>308</v>
      </c>
      <c r="B288" s="81">
        <v>0</v>
      </c>
      <c r="C288" s="81">
        <v>0</v>
      </c>
      <c r="D288" s="81">
        <v>0</v>
      </c>
      <c r="E288" s="81">
        <v>0</v>
      </c>
      <c r="F288" s="81">
        <v>0</v>
      </c>
      <c r="G288" s="81">
        <v>0</v>
      </c>
      <c r="H288" s="81">
        <v>0</v>
      </c>
    </row>
    <row r="289" spans="1:8" x14ac:dyDescent="0.25">
      <c r="A289" t="s">
        <v>309</v>
      </c>
      <c r="B289" s="81">
        <v>0</v>
      </c>
      <c r="C289" s="81">
        <v>0</v>
      </c>
      <c r="D289" s="81">
        <v>0</v>
      </c>
      <c r="E289" s="81">
        <v>0</v>
      </c>
      <c r="F289" s="81">
        <v>0</v>
      </c>
      <c r="G289" s="81">
        <v>0</v>
      </c>
      <c r="H289" s="81">
        <v>0</v>
      </c>
    </row>
    <row r="290" spans="1:8" x14ac:dyDescent="0.25">
      <c r="A290" t="s">
        <v>310</v>
      </c>
      <c r="B290" s="81">
        <v>0</v>
      </c>
      <c r="C290" s="81">
        <v>0</v>
      </c>
      <c r="D290" s="81">
        <v>0</v>
      </c>
      <c r="E290" s="81">
        <v>0</v>
      </c>
      <c r="F290" s="81">
        <v>0</v>
      </c>
      <c r="G290" s="81">
        <v>0</v>
      </c>
      <c r="H290" s="81">
        <v>0</v>
      </c>
    </row>
    <row r="291" spans="1:8" x14ac:dyDescent="0.25">
      <c r="A291" t="s">
        <v>311</v>
      </c>
      <c r="B291" s="81">
        <v>0</v>
      </c>
      <c r="C291" s="81">
        <v>0</v>
      </c>
      <c r="D291" s="81">
        <v>0</v>
      </c>
      <c r="E291" s="81">
        <v>0</v>
      </c>
      <c r="F291" s="81">
        <v>0</v>
      </c>
      <c r="G291" s="81">
        <v>0</v>
      </c>
      <c r="H291" s="81">
        <v>0</v>
      </c>
    </row>
    <row r="292" spans="1:8" x14ac:dyDescent="0.25">
      <c r="A292" t="s">
        <v>312</v>
      </c>
      <c r="B292" s="81">
        <v>0</v>
      </c>
      <c r="C292" s="81">
        <v>0</v>
      </c>
      <c r="D292" s="81">
        <v>0</v>
      </c>
      <c r="E292" s="81">
        <v>0</v>
      </c>
      <c r="F292" s="81">
        <v>0</v>
      </c>
      <c r="G292" s="81">
        <v>0</v>
      </c>
      <c r="H292" s="81">
        <v>0</v>
      </c>
    </row>
    <row r="293" spans="1:8" x14ac:dyDescent="0.25">
      <c r="A293" t="s">
        <v>313</v>
      </c>
      <c r="B293" s="81">
        <v>0</v>
      </c>
      <c r="C293" s="81">
        <v>0</v>
      </c>
      <c r="D293" s="81">
        <v>0</v>
      </c>
      <c r="E293" s="81">
        <v>0</v>
      </c>
      <c r="F293" s="81">
        <v>0</v>
      </c>
      <c r="G293" s="81">
        <v>0</v>
      </c>
      <c r="H293" s="81">
        <v>0</v>
      </c>
    </row>
    <row r="294" spans="1:8" x14ac:dyDescent="0.25">
      <c r="A294" t="s">
        <v>314</v>
      </c>
      <c r="B294" s="81">
        <v>0</v>
      </c>
      <c r="C294" s="81">
        <v>0</v>
      </c>
      <c r="D294" s="81">
        <v>0</v>
      </c>
      <c r="E294" s="81">
        <v>0</v>
      </c>
      <c r="F294" s="81">
        <v>0</v>
      </c>
      <c r="G294" s="81">
        <v>0</v>
      </c>
      <c r="H294" s="81">
        <v>0</v>
      </c>
    </row>
    <row r="295" spans="1:8" x14ac:dyDescent="0.25">
      <c r="A295" t="s">
        <v>315</v>
      </c>
      <c r="B295" s="81">
        <v>0</v>
      </c>
      <c r="C295" s="81">
        <v>0</v>
      </c>
      <c r="D295" s="81">
        <v>0</v>
      </c>
      <c r="E295" s="81">
        <v>0</v>
      </c>
      <c r="F295" s="81">
        <v>0</v>
      </c>
      <c r="G295" s="81">
        <v>0</v>
      </c>
      <c r="H295" s="81">
        <v>0</v>
      </c>
    </row>
    <row r="296" spans="1:8" x14ac:dyDescent="0.25">
      <c r="A296" t="s">
        <v>316</v>
      </c>
      <c r="B296" s="81">
        <v>0</v>
      </c>
      <c r="C296" s="81">
        <v>0</v>
      </c>
      <c r="D296" s="81">
        <v>0</v>
      </c>
      <c r="E296" s="81">
        <v>0</v>
      </c>
      <c r="F296" s="81">
        <v>0</v>
      </c>
      <c r="G296" s="81">
        <v>0</v>
      </c>
      <c r="H296" s="81">
        <v>0</v>
      </c>
    </row>
    <row r="297" spans="1:8" x14ac:dyDescent="0.25">
      <c r="A297" t="s">
        <v>317</v>
      </c>
      <c r="B297" s="81">
        <v>0</v>
      </c>
      <c r="C297" s="81">
        <v>0</v>
      </c>
      <c r="D297" s="81">
        <v>0</v>
      </c>
      <c r="E297" s="81">
        <v>0</v>
      </c>
      <c r="F297" s="81">
        <v>0</v>
      </c>
      <c r="G297" s="81">
        <v>0</v>
      </c>
      <c r="H297" s="81">
        <v>0</v>
      </c>
    </row>
    <row r="298" spans="1:8" x14ac:dyDescent="0.25">
      <c r="A298" t="s">
        <v>318</v>
      </c>
      <c r="B298" s="81">
        <v>0</v>
      </c>
      <c r="C298" s="81">
        <v>0</v>
      </c>
      <c r="D298" s="81">
        <v>0</v>
      </c>
      <c r="E298" s="81">
        <v>0</v>
      </c>
      <c r="F298" s="81">
        <v>0</v>
      </c>
      <c r="G298" s="81">
        <v>0</v>
      </c>
      <c r="H298" s="81">
        <v>0</v>
      </c>
    </row>
    <row r="299" spans="1:8" x14ac:dyDescent="0.25">
      <c r="A299" t="s">
        <v>319</v>
      </c>
      <c r="B299" s="81">
        <v>0</v>
      </c>
      <c r="C299" s="81">
        <v>0</v>
      </c>
      <c r="D299" s="81">
        <v>0</v>
      </c>
      <c r="E299" s="81">
        <v>0</v>
      </c>
      <c r="F299" s="81">
        <v>0</v>
      </c>
      <c r="G299" s="81">
        <v>0</v>
      </c>
      <c r="H299" s="81">
        <v>0</v>
      </c>
    </row>
    <row r="300" spans="1:8" x14ac:dyDescent="0.25">
      <c r="A300" t="s">
        <v>320</v>
      </c>
      <c r="B300" s="81">
        <v>0</v>
      </c>
      <c r="C300" s="81">
        <v>0</v>
      </c>
      <c r="D300" s="81">
        <v>0</v>
      </c>
      <c r="E300" s="81">
        <v>0</v>
      </c>
      <c r="F300" s="81">
        <v>0</v>
      </c>
      <c r="G300" s="81">
        <v>0</v>
      </c>
      <c r="H300" s="81">
        <v>0</v>
      </c>
    </row>
    <row r="301" spans="1:8" x14ac:dyDescent="0.25">
      <c r="A301" t="s">
        <v>321</v>
      </c>
      <c r="B301" s="81">
        <v>0</v>
      </c>
      <c r="C301" s="81">
        <v>0</v>
      </c>
      <c r="D301" s="81">
        <v>0</v>
      </c>
      <c r="E301" s="81">
        <v>0</v>
      </c>
      <c r="F301" s="81">
        <v>0</v>
      </c>
      <c r="G301" s="81">
        <v>0</v>
      </c>
      <c r="H301" s="81">
        <v>0</v>
      </c>
    </row>
    <row r="302" spans="1:8" x14ac:dyDescent="0.25">
      <c r="A302" t="s">
        <v>322</v>
      </c>
      <c r="B302" s="81">
        <v>0</v>
      </c>
      <c r="C302" s="81">
        <v>0</v>
      </c>
      <c r="D302" s="81">
        <v>0</v>
      </c>
      <c r="E302" s="81">
        <v>0</v>
      </c>
      <c r="F302" s="81">
        <v>0</v>
      </c>
      <c r="G302" s="81">
        <v>0</v>
      </c>
      <c r="H302" s="81">
        <v>0</v>
      </c>
    </row>
    <row r="303" spans="1:8" x14ac:dyDescent="0.25">
      <c r="A303" t="s">
        <v>323</v>
      </c>
      <c r="B303" s="81">
        <v>0</v>
      </c>
      <c r="C303" s="81">
        <v>0</v>
      </c>
      <c r="D303" s="81">
        <v>0</v>
      </c>
      <c r="E303" s="81">
        <v>0</v>
      </c>
      <c r="F303" s="81">
        <v>0</v>
      </c>
      <c r="G303" s="81">
        <v>0</v>
      </c>
      <c r="H303" s="81">
        <v>0</v>
      </c>
    </row>
    <row r="304" spans="1:8" x14ac:dyDescent="0.25">
      <c r="A304" t="s">
        <v>324</v>
      </c>
      <c r="B304" s="81">
        <v>0</v>
      </c>
      <c r="C304" s="81">
        <v>0</v>
      </c>
      <c r="D304" s="81">
        <v>0</v>
      </c>
      <c r="E304" s="81">
        <v>0</v>
      </c>
      <c r="F304" s="81">
        <v>0</v>
      </c>
      <c r="G304" s="81">
        <v>0</v>
      </c>
      <c r="H304" s="81">
        <v>0</v>
      </c>
    </row>
    <row r="305" spans="1:8" x14ac:dyDescent="0.25">
      <c r="A305" t="s">
        <v>325</v>
      </c>
      <c r="B305" s="81">
        <v>0</v>
      </c>
      <c r="C305" s="81">
        <v>0</v>
      </c>
      <c r="D305" s="81">
        <v>0</v>
      </c>
      <c r="E305" s="81">
        <v>0</v>
      </c>
      <c r="F305" s="81">
        <v>0</v>
      </c>
      <c r="G305" s="81">
        <v>0</v>
      </c>
      <c r="H305" s="81">
        <v>0</v>
      </c>
    </row>
    <row r="306" spans="1:8" x14ac:dyDescent="0.25">
      <c r="A306" t="s">
        <v>326</v>
      </c>
      <c r="B306" s="81">
        <v>0</v>
      </c>
      <c r="C306" s="81">
        <v>0</v>
      </c>
      <c r="D306" s="81">
        <v>0</v>
      </c>
      <c r="E306" s="81">
        <v>0</v>
      </c>
      <c r="F306" s="81">
        <v>0</v>
      </c>
      <c r="G306" s="81">
        <v>0</v>
      </c>
      <c r="H306" s="81">
        <v>0</v>
      </c>
    </row>
    <row r="307" spans="1:8" x14ac:dyDescent="0.25">
      <c r="A307" t="s">
        <v>327</v>
      </c>
      <c r="B307" s="81">
        <v>0</v>
      </c>
      <c r="C307" s="81">
        <v>0</v>
      </c>
      <c r="D307" s="81">
        <v>0</v>
      </c>
      <c r="E307" s="81">
        <v>0</v>
      </c>
      <c r="F307" s="81">
        <v>0</v>
      </c>
      <c r="G307" s="81">
        <v>0</v>
      </c>
      <c r="H307" s="81">
        <v>0</v>
      </c>
    </row>
    <row r="308" spans="1:8" x14ac:dyDescent="0.25">
      <c r="A308" t="s">
        <v>328</v>
      </c>
      <c r="B308" s="81">
        <v>0</v>
      </c>
      <c r="C308" s="81">
        <v>0</v>
      </c>
      <c r="D308" s="81">
        <v>0</v>
      </c>
      <c r="E308" s="81">
        <v>0</v>
      </c>
      <c r="F308" s="81">
        <v>0</v>
      </c>
      <c r="G308" s="81">
        <v>0</v>
      </c>
      <c r="H308" s="81">
        <v>0</v>
      </c>
    </row>
    <row r="309" spans="1:8" x14ac:dyDescent="0.25">
      <c r="A309" t="s">
        <v>329</v>
      </c>
      <c r="B309" s="81">
        <v>0</v>
      </c>
      <c r="C309" s="81">
        <v>0</v>
      </c>
      <c r="D309" s="81">
        <v>0</v>
      </c>
      <c r="E309" s="81">
        <v>0</v>
      </c>
      <c r="F309" s="81">
        <v>0</v>
      </c>
      <c r="G309" s="81">
        <v>0</v>
      </c>
      <c r="H309" s="81">
        <v>0</v>
      </c>
    </row>
    <row r="310" spans="1:8" x14ac:dyDescent="0.25">
      <c r="A310" t="s">
        <v>330</v>
      </c>
      <c r="B310" s="81">
        <v>0</v>
      </c>
      <c r="C310" s="81">
        <v>0</v>
      </c>
      <c r="D310" s="81">
        <v>0</v>
      </c>
      <c r="E310" s="81">
        <v>0</v>
      </c>
      <c r="F310" s="81">
        <v>0</v>
      </c>
      <c r="G310" s="81">
        <v>0</v>
      </c>
      <c r="H310" s="81">
        <v>0</v>
      </c>
    </row>
    <row r="311" spans="1:8" x14ac:dyDescent="0.25">
      <c r="A311" t="s">
        <v>331</v>
      </c>
      <c r="B311" s="81">
        <v>0</v>
      </c>
      <c r="C311" s="81">
        <v>0</v>
      </c>
      <c r="D311" s="81">
        <v>0</v>
      </c>
      <c r="E311" s="81">
        <v>0</v>
      </c>
      <c r="F311" s="81">
        <v>0</v>
      </c>
      <c r="G311" s="81">
        <v>0</v>
      </c>
      <c r="H311" s="81">
        <v>0</v>
      </c>
    </row>
    <row r="312" spans="1:8" x14ac:dyDescent="0.25">
      <c r="A312" t="s">
        <v>332</v>
      </c>
      <c r="B312" s="81">
        <v>0</v>
      </c>
      <c r="C312" s="81">
        <v>0</v>
      </c>
      <c r="D312" s="81">
        <v>0</v>
      </c>
      <c r="E312" s="81">
        <v>0</v>
      </c>
      <c r="F312" s="81">
        <v>0</v>
      </c>
      <c r="G312" s="81">
        <v>0</v>
      </c>
      <c r="H312" s="81">
        <v>0</v>
      </c>
    </row>
    <row r="313" spans="1:8" x14ac:dyDescent="0.25">
      <c r="A313" t="s">
        <v>333</v>
      </c>
      <c r="B313" s="81">
        <v>0</v>
      </c>
      <c r="C313" s="81">
        <v>0</v>
      </c>
      <c r="D313" s="81">
        <v>0</v>
      </c>
      <c r="E313" s="81">
        <v>0</v>
      </c>
      <c r="F313" s="81">
        <v>0</v>
      </c>
      <c r="G313" s="81">
        <v>0</v>
      </c>
      <c r="H313" s="81">
        <v>0</v>
      </c>
    </row>
    <row r="314" spans="1:8" x14ac:dyDescent="0.25">
      <c r="A314" t="s">
        <v>334</v>
      </c>
      <c r="B314" s="81">
        <v>0</v>
      </c>
      <c r="C314" s="81">
        <v>0</v>
      </c>
      <c r="D314" s="81">
        <v>0</v>
      </c>
      <c r="E314" s="81">
        <v>0</v>
      </c>
      <c r="F314" s="81">
        <v>0</v>
      </c>
      <c r="G314" s="81">
        <v>0</v>
      </c>
      <c r="H314" s="81">
        <v>0</v>
      </c>
    </row>
    <row r="315" spans="1:8" x14ac:dyDescent="0.25">
      <c r="A315" t="s">
        <v>335</v>
      </c>
      <c r="B315" s="81">
        <v>0</v>
      </c>
      <c r="C315" s="81">
        <v>0</v>
      </c>
      <c r="D315" s="81">
        <v>0</v>
      </c>
      <c r="E315" s="81">
        <v>0</v>
      </c>
      <c r="F315" s="81">
        <v>0</v>
      </c>
      <c r="G315" s="81">
        <v>0</v>
      </c>
      <c r="H315" s="81">
        <v>0</v>
      </c>
    </row>
    <row r="316" spans="1:8" x14ac:dyDescent="0.25">
      <c r="A316" t="s">
        <v>336</v>
      </c>
      <c r="B316" s="81">
        <v>0</v>
      </c>
      <c r="C316" s="81">
        <v>0</v>
      </c>
      <c r="D316" s="81">
        <v>0</v>
      </c>
      <c r="E316" s="81">
        <v>0</v>
      </c>
      <c r="F316" s="81">
        <v>0</v>
      </c>
      <c r="G316" s="81">
        <v>0</v>
      </c>
      <c r="H316" s="81">
        <v>0</v>
      </c>
    </row>
    <row r="317" spans="1:8" x14ac:dyDescent="0.25">
      <c r="A317" t="s">
        <v>496</v>
      </c>
      <c r="B317" s="81">
        <v>0</v>
      </c>
      <c r="C317" s="81">
        <v>0</v>
      </c>
      <c r="D317" s="81">
        <v>0</v>
      </c>
      <c r="E317" s="81">
        <v>0</v>
      </c>
      <c r="F317" s="81">
        <v>0</v>
      </c>
      <c r="G317" s="81">
        <v>0</v>
      </c>
      <c r="H317" s="81">
        <v>0</v>
      </c>
    </row>
    <row r="318" spans="1:8" x14ac:dyDescent="0.25">
      <c r="A318" t="s">
        <v>497</v>
      </c>
      <c r="B318" s="81">
        <v>0</v>
      </c>
      <c r="C318" s="81">
        <v>0</v>
      </c>
      <c r="D318" s="81">
        <v>0</v>
      </c>
      <c r="E318" s="81">
        <v>0</v>
      </c>
      <c r="F318" s="81">
        <v>0</v>
      </c>
      <c r="G318" s="81">
        <v>0</v>
      </c>
      <c r="H318" s="81">
        <v>0</v>
      </c>
    </row>
    <row r="319" spans="1:8" x14ac:dyDescent="0.25">
      <c r="A319" t="s">
        <v>498</v>
      </c>
      <c r="B319" s="81">
        <v>0</v>
      </c>
      <c r="C319" s="81">
        <v>0</v>
      </c>
      <c r="D319" s="81">
        <v>0</v>
      </c>
      <c r="E319" s="81">
        <v>0</v>
      </c>
      <c r="F319" s="81">
        <v>0</v>
      </c>
      <c r="G319" s="81">
        <v>0</v>
      </c>
      <c r="H319" s="81">
        <v>0</v>
      </c>
    </row>
    <row r="320" spans="1:8" x14ac:dyDescent="0.25">
      <c r="A320" t="s">
        <v>499</v>
      </c>
      <c r="B320" s="81">
        <v>0</v>
      </c>
      <c r="C320" s="81">
        <v>0</v>
      </c>
      <c r="D320" s="81">
        <v>0</v>
      </c>
      <c r="E320" s="81">
        <v>0</v>
      </c>
      <c r="F320" s="81">
        <v>0</v>
      </c>
      <c r="G320" s="81">
        <v>0</v>
      </c>
      <c r="H320" s="81">
        <v>0</v>
      </c>
    </row>
    <row r="321" spans="1:8" x14ac:dyDescent="0.25">
      <c r="A321" t="s">
        <v>337</v>
      </c>
      <c r="B321" s="81">
        <v>0</v>
      </c>
      <c r="C321" s="81">
        <v>0</v>
      </c>
      <c r="D321" s="81">
        <v>0</v>
      </c>
      <c r="E321" s="81">
        <v>0</v>
      </c>
      <c r="F321" s="81">
        <v>0</v>
      </c>
      <c r="G321" s="81">
        <v>0</v>
      </c>
      <c r="H321" s="81">
        <v>0</v>
      </c>
    </row>
    <row r="322" spans="1:8" x14ac:dyDescent="0.25">
      <c r="A322" t="s">
        <v>338</v>
      </c>
      <c r="B322" s="81">
        <v>0</v>
      </c>
      <c r="C322" s="81">
        <v>0</v>
      </c>
      <c r="D322" s="81">
        <v>0</v>
      </c>
      <c r="E322" s="81">
        <v>0</v>
      </c>
      <c r="F322" s="81">
        <v>0</v>
      </c>
      <c r="G322" s="81">
        <v>0</v>
      </c>
      <c r="H322" s="81">
        <v>0</v>
      </c>
    </row>
    <row r="323" spans="1:8" x14ac:dyDescent="0.25">
      <c r="A323" t="s">
        <v>339</v>
      </c>
      <c r="B323" s="81">
        <v>0</v>
      </c>
      <c r="C323" s="81">
        <v>0</v>
      </c>
      <c r="D323" s="81">
        <v>0</v>
      </c>
      <c r="E323" s="81">
        <v>0</v>
      </c>
      <c r="F323" s="81">
        <v>0</v>
      </c>
      <c r="G323" s="81">
        <v>0</v>
      </c>
      <c r="H323" s="81">
        <v>0</v>
      </c>
    </row>
    <row r="324" spans="1:8" x14ac:dyDescent="0.25">
      <c r="A324" t="s">
        <v>340</v>
      </c>
      <c r="B324" s="81">
        <v>0</v>
      </c>
      <c r="C324" s="81">
        <v>0</v>
      </c>
      <c r="D324" s="81">
        <v>0</v>
      </c>
      <c r="E324" s="81">
        <v>0</v>
      </c>
      <c r="F324" s="81">
        <v>0</v>
      </c>
      <c r="G324" s="81">
        <v>0</v>
      </c>
      <c r="H324" s="81">
        <v>0</v>
      </c>
    </row>
    <row r="325" spans="1:8" x14ac:dyDescent="0.25">
      <c r="A325" t="s">
        <v>500</v>
      </c>
      <c r="B325" s="81">
        <v>0</v>
      </c>
      <c r="C325" s="81">
        <v>0</v>
      </c>
      <c r="D325" s="81">
        <v>0</v>
      </c>
      <c r="E325" s="81">
        <v>0</v>
      </c>
      <c r="F325" s="81">
        <v>0</v>
      </c>
      <c r="G325" s="81">
        <v>0</v>
      </c>
      <c r="H325" s="81">
        <v>0</v>
      </c>
    </row>
    <row r="326" spans="1:8" x14ac:dyDescent="0.25">
      <c r="A326" t="s">
        <v>501</v>
      </c>
      <c r="B326" s="81">
        <v>0</v>
      </c>
      <c r="C326" s="81">
        <v>0</v>
      </c>
      <c r="D326" s="81">
        <v>0</v>
      </c>
      <c r="E326" s="81">
        <v>0</v>
      </c>
      <c r="F326" s="81">
        <v>0</v>
      </c>
      <c r="G326" s="81">
        <v>0</v>
      </c>
      <c r="H326" s="81">
        <v>0</v>
      </c>
    </row>
    <row r="327" spans="1:8" x14ac:dyDescent="0.25">
      <c r="A327" t="s">
        <v>502</v>
      </c>
      <c r="B327" s="81">
        <v>0</v>
      </c>
      <c r="C327" s="81">
        <v>0</v>
      </c>
      <c r="D327" s="81">
        <v>0</v>
      </c>
      <c r="E327" s="81">
        <v>0</v>
      </c>
      <c r="F327" s="81">
        <v>0</v>
      </c>
      <c r="G327" s="81">
        <v>0</v>
      </c>
      <c r="H327" s="81">
        <v>0</v>
      </c>
    </row>
    <row r="328" spans="1:8" x14ac:dyDescent="0.25">
      <c r="A328" t="s">
        <v>503</v>
      </c>
      <c r="B328" s="81">
        <v>0</v>
      </c>
      <c r="C328" s="81">
        <v>0</v>
      </c>
      <c r="D328" s="81">
        <v>0</v>
      </c>
      <c r="E328" s="81">
        <v>0</v>
      </c>
      <c r="F328" s="81">
        <v>0</v>
      </c>
      <c r="G328" s="81">
        <v>0</v>
      </c>
      <c r="H328" s="81">
        <v>0</v>
      </c>
    </row>
    <row r="329" spans="1:8" x14ac:dyDescent="0.25">
      <c r="A329" t="s">
        <v>341</v>
      </c>
      <c r="B329" s="81">
        <v>0</v>
      </c>
      <c r="C329" s="81">
        <v>0</v>
      </c>
      <c r="D329" s="81">
        <v>0</v>
      </c>
      <c r="E329" s="81">
        <v>0</v>
      </c>
      <c r="F329" s="81">
        <v>0</v>
      </c>
      <c r="G329" s="81">
        <v>0</v>
      </c>
      <c r="H329" s="81">
        <v>0</v>
      </c>
    </row>
    <row r="330" spans="1:8" x14ac:dyDescent="0.25">
      <c r="A330" t="s">
        <v>342</v>
      </c>
      <c r="B330" s="81">
        <v>0</v>
      </c>
      <c r="C330" s="81">
        <v>0</v>
      </c>
      <c r="D330" s="81">
        <v>0</v>
      </c>
      <c r="E330" s="81">
        <v>0</v>
      </c>
      <c r="F330" s="81">
        <v>0</v>
      </c>
      <c r="G330" s="81">
        <v>0</v>
      </c>
      <c r="H330" s="81">
        <v>0</v>
      </c>
    </row>
    <row r="331" spans="1:8" x14ac:dyDescent="0.25">
      <c r="A331" t="s">
        <v>343</v>
      </c>
      <c r="B331" s="81">
        <v>0</v>
      </c>
      <c r="C331" s="81">
        <v>0</v>
      </c>
      <c r="D331" s="81">
        <v>0</v>
      </c>
      <c r="E331" s="81">
        <v>0</v>
      </c>
      <c r="F331" s="81">
        <v>0</v>
      </c>
      <c r="G331" s="81">
        <v>0</v>
      </c>
      <c r="H331" s="81">
        <v>0</v>
      </c>
    </row>
    <row r="332" spans="1:8" x14ac:dyDescent="0.25">
      <c r="A332" t="s">
        <v>344</v>
      </c>
      <c r="B332" s="81">
        <v>0</v>
      </c>
      <c r="C332" s="81">
        <v>0</v>
      </c>
      <c r="D332" s="81">
        <v>0</v>
      </c>
      <c r="E332" s="81">
        <v>0</v>
      </c>
      <c r="F332" s="81">
        <v>0</v>
      </c>
      <c r="G332" s="81">
        <v>0</v>
      </c>
      <c r="H332" s="81">
        <v>0</v>
      </c>
    </row>
    <row r="333" spans="1:8" x14ac:dyDescent="0.25">
      <c r="A333" t="s">
        <v>504</v>
      </c>
      <c r="B333" s="81">
        <v>0</v>
      </c>
      <c r="C333" s="81">
        <v>0</v>
      </c>
      <c r="D333" s="81">
        <v>0</v>
      </c>
      <c r="E333" s="81">
        <v>0</v>
      </c>
      <c r="F333" s="81">
        <v>0</v>
      </c>
      <c r="G333" s="81">
        <v>0</v>
      </c>
      <c r="H333" s="81">
        <v>0</v>
      </c>
    </row>
    <row r="334" spans="1:8" x14ac:dyDescent="0.25">
      <c r="A334" t="s">
        <v>505</v>
      </c>
      <c r="B334" s="81">
        <v>0</v>
      </c>
      <c r="C334" s="81">
        <v>0</v>
      </c>
      <c r="D334" s="81">
        <v>0</v>
      </c>
      <c r="E334" s="81">
        <v>0</v>
      </c>
      <c r="F334" s="81">
        <v>0</v>
      </c>
      <c r="G334" s="81">
        <v>0</v>
      </c>
      <c r="H334" s="81">
        <v>0</v>
      </c>
    </row>
    <row r="335" spans="1:8" x14ac:dyDescent="0.25">
      <c r="A335" t="s">
        <v>506</v>
      </c>
      <c r="B335" s="81">
        <v>0</v>
      </c>
      <c r="C335" s="81">
        <v>0</v>
      </c>
      <c r="D335" s="81">
        <v>0</v>
      </c>
      <c r="E335" s="81">
        <v>0</v>
      </c>
      <c r="F335" s="81">
        <v>0</v>
      </c>
      <c r="G335" s="81">
        <v>0</v>
      </c>
      <c r="H335" s="81">
        <v>0</v>
      </c>
    </row>
    <row r="336" spans="1:8" x14ac:dyDescent="0.25">
      <c r="A336" t="s">
        <v>344</v>
      </c>
      <c r="B336" s="81">
        <v>0</v>
      </c>
      <c r="C336" s="81">
        <v>0</v>
      </c>
      <c r="D336" s="81">
        <v>0</v>
      </c>
      <c r="E336" s="81">
        <v>0</v>
      </c>
      <c r="F336" s="81">
        <v>0</v>
      </c>
      <c r="G336" s="81">
        <v>0</v>
      </c>
      <c r="H336" s="81">
        <v>0</v>
      </c>
    </row>
    <row r="337" spans="1:8" x14ac:dyDescent="0.25">
      <c r="A337" t="s">
        <v>472</v>
      </c>
      <c r="B337" s="81">
        <v>0</v>
      </c>
      <c r="C337" s="81">
        <v>0</v>
      </c>
      <c r="D337" s="81">
        <v>0</v>
      </c>
      <c r="E337" s="81">
        <v>0</v>
      </c>
      <c r="F337" s="81">
        <v>0</v>
      </c>
      <c r="G337" s="81">
        <v>0</v>
      </c>
      <c r="H337" s="81">
        <v>0</v>
      </c>
    </row>
    <row r="338" spans="1:8" x14ac:dyDescent="0.25">
      <c r="A338" t="s">
        <v>473</v>
      </c>
      <c r="B338" s="81">
        <v>0</v>
      </c>
      <c r="C338" s="81">
        <v>0</v>
      </c>
      <c r="D338" s="81">
        <v>0</v>
      </c>
      <c r="E338" s="81">
        <v>0</v>
      </c>
      <c r="F338" s="81">
        <v>0</v>
      </c>
      <c r="G338" s="81">
        <v>0</v>
      </c>
      <c r="H338" s="81">
        <v>0</v>
      </c>
    </row>
    <row r="339" spans="1:8" x14ac:dyDescent="0.25">
      <c r="A339" t="s">
        <v>474</v>
      </c>
      <c r="B339" s="81">
        <v>0</v>
      </c>
      <c r="C339" s="81">
        <v>0</v>
      </c>
      <c r="D339" s="81">
        <v>0</v>
      </c>
      <c r="E339" s="81">
        <v>0</v>
      </c>
      <c r="F339" s="81">
        <v>0</v>
      </c>
      <c r="G339" s="81">
        <v>0</v>
      </c>
      <c r="H339" s="81">
        <v>0</v>
      </c>
    </row>
    <row r="340" spans="1:8" x14ac:dyDescent="0.25">
      <c r="A340" t="s">
        <v>475</v>
      </c>
      <c r="B340" s="81">
        <v>0</v>
      </c>
      <c r="C340" s="81">
        <v>0</v>
      </c>
      <c r="D340" s="81">
        <v>0</v>
      </c>
      <c r="E340" s="81">
        <v>0</v>
      </c>
      <c r="F340" s="81">
        <v>0</v>
      </c>
      <c r="G340" s="81">
        <v>0</v>
      </c>
      <c r="H340" s="81">
        <v>0</v>
      </c>
    </row>
    <row r="341" spans="1:8" x14ac:dyDescent="0.25">
      <c r="A341" t="s">
        <v>492</v>
      </c>
      <c r="B341" s="81">
        <v>0</v>
      </c>
      <c r="C341" s="81">
        <v>0</v>
      </c>
      <c r="D341" s="81">
        <v>0</v>
      </c>
      <c r="E341" s="81">
        <v>0</v>
      </c>
      <c r="F341" s="81">
        <v>0</v>
      </c>
      <c r="G341" s="81">
        <v>0</v>
      </c>
      <c r="H341" s="81">
        <v>0</v>
      </c>
    </row>
    <row r="342" spans="1:8" x14ac:dyDescent="0.25">
      <c r="A342" t="s">
        <v>493</v>
      </c>
      <c r="B342" s="81">
        <v>0</v>
      </c>
      <c r="C342" s="81">
        <v>0</v>
      </c>
      <c r="D342" s="81">
        <v>0</v>
      </c>
      <c r="E342" s="81">
        <v>0</v>
      </c>
      <c r="F342" s="81">
        <v>0</v>
      </c>
      <c r="G342" s="81">
        <v>0</v>
      </c>
      <c r="H342" s="81">
        <v>0</v>
      </c>
    </row>
    <row r="343" spans="1:8" x14ac:dyDescent="0.25">
      <c r="A343" t="s">
        <v>494</v>
      </c>
      <c r="B343" s="81">
        <v>0</v>
      </c>
      <c r="C343" s="81">
        <v>0</v>
      </c>
      <c r="D343" s="81">
        <v>0</v>
      </c>
      <c r="E343" s="81">
        <v>0</v>
      </c>
      <c r="F343" s="81">
        <v>0</v>
      </c>
      <c r="G343" s="81">
        <v>0</v>
      </c>
      <c r="H343" s="81">
        <v>0</v>
      </c>
    </row>
    <row r="344" spans="1:8" x14ac:dyDescent="0.25">
      <c r="A344" t="s">
        <v>495</v>
      </c>
      <c r="B344" s="81">
        <v>0</v>
      </c>
      <c r="C344" s="81">
        <v>0</v>
      </c>
      <c r="D344" s="81">
        <v>0</v>
      </c>
      <c r="E344" s="81">
        <v>0</v>
      </c>
      <c r="F344" s="81">
        <v>0</v>
      </c>
      <c r="G344" s="81">
        <v>0</v>
      </c>
      <c r="H344" s="81">
        <v>0</v>
      </c>
    </row>
    <row r="345" spans="1:8" x14ac:dyDescent="0.25">
      <c r="A345" t="s">
        <v>345</v>
      </c>
      <c r="B345" s="81">
        <v>0</v>
      </c>
      <c r="C345" s="81">
        <v>0</v>
      </c>
      <c r="D345" s="81">
        <v>0</v>
      </c>
      <c r="E345" s="81">
        <v>0</v>
      </c>
      <c r="F345" s="81">
        <v>0</v>
      </c>
      <c r="G345" s="81">
        <v>0</v>
      </c>
      <c r="H345" s="81">
        <v>0</v>
      </c>
    </row>
    <row r="346" spans="1:8" x14ac:dyDescent="0.25">
      <c r="A346" t="s">
        <v>346</v>
      </c>
      <c r="B346" s="81">
        <v>0</v>
      </c>
      <c r="C346" s="81">
        <v>0</v>
      </c>
      <c r="D346" s="81">
        <v>0</v>
      </c>
      <c r="E346" s="81">
        <v>0</v>
      </c>
      <c r="F346" s="81">
        <v>0</v>
      </c>
      <c r="G346" s="81">
        <v>0</v>
      </c>
      <c r="H346" s="81">
        <v>0</v>
      </c>
    </row>
    <row r="347" spans="1:8" x14ac:dyDescent="0.25">
      <c r="A347" t="s">
        <v>347</v>
      </c>
      <c r="B347" s="81">
        <v>0</v>
      </c>
      <c r="C347" s="81">
        <v>0</v>
      </c>
      <c r="D347" s="81">
        <v>0</v>
      </c>
      <c r="E347" s="81">
        <v>0</v>
      </c>
      <c r="F347" s="81">
        <v>0</v>
      </c>
      <c r="G347" s="81">
        <v>0</v>
      </c>
      <c r="H347" s="81">
        <v>0</v>
      </c>
    </row>
    <row r="348" spans="1:8" x14ac:dyDescent="0.25">
      <c r="A348" t="s">
        <v>348</v>
      </c>
      <c r="B348" s="81">
        <v>0</v>
      </c>
      <c r="C348" s="81">
        <v>0</v>
      </c>
      <c r="D348" s="81">
        <v>0</v>
      </c>
      <c r="E348" s="81">
        <v>0</v>
      </c>
      <c r="F348" s="81">
        <v>0</v>
      </c>
      <c r="G348" s="81">
        <v>0</v>
      </c>
      <c r="H348" s="81">
        <v>0</v>
      </c>
    </row>
    <row r="349" spans="1:8" x14ac:dyDescent="0.25">
      <c r="A349" t="s">
        <v>349</v>
      </c>
      <c r="B349" s="81">
        <v>0</v>
      </c>
      <c r="C349" s="81">
        <v>0</v>
      </c>
      <c r="D349" s="81">
        <v>0</v>
      </c>
      <c r="E349" s="81">
        <v>0</v>
      </c>
      <c r="F349" s="81">
        <v>0</v>
      </c>
      <c r="G349" s="81">
        <v>0</v>
      </c>
      <c r="H349" s="81">
        <v>0</v>
      </c>
    </row>
    <row r="350" spans="1:8" x14ac:dyDescent="0.25">
      <c r="A350" t="s">
        <v>350</v>
      </c>
      <c r="B350" s="81">
        <v>0</v>
      </c>
      <c r="C350" s="81">
        <v>0</v>
      </c>
      <c r="D350" s="81">
        <v>0</v>
      </c>
      <c r="E350" s="81">
        <v>0</v>
      </c>
      <c r="F350" s="81">
        <v>0</v>
      </c>
      <c r="G350" s="81">
        <v>0</v>
      </c>
      <c r="H350" s="81">
        <v>0</v>
      </c>
    </row>
    <row r="351" spans="1:8" x14ac:dyDescent="0.25">
      <c r="A351" t="s">
        <v>351</v>
      </c>
      <c r="B351" s="81">
        <v>0</v>
      </c>
      <c r="C351" s="81">
        <v>0</v>
      </c>
      <c r="D351" s="81">
        <v>0</v>
      </c>
      <c r="E351" s="81">
        <v>0</v>
      </c>
      <c r="F351" s="81">
        <v>0</v>
      </c>
      <c r="G351" s="81">
        <v>0</v>
      </c>
      <c r="H351" s="81">
        <v>0</v>
      </c>
    </row>
    <row r="352" spans="1:8" x14ac:dyDescent="0.25">
      <c r="A352" t="s">
        <v>352</v>
      </c>
      <c r="B352" s="81">
        <v>0</v>
      </c>
      <c r="C352" s="81">
        <v>0</v>
      </c>
      <c r="D352" s="81">
        <v>0</v>
      </c>
      <c r="E352" s="81">
        <v>0</v>
      </c>
      <c r="F352" s="81">
        <v>0</v>
      </c>
      <c r="G352" s="81">
        <v>0</v>
      </c>
      <c r="H352" s="81">
        <v>0</v>
      </c>
    </row>
    <row r="353" spans="1:8" x14ac:dyDescent="0.25">
      <c r="A353" t="s">
        <v>353</v>
      </c>
      <c r="B353" s="81">
        <v>0</v>
      </c>
      <c r="C353" s="81">
        <v>0</v>
      </c>
      <c r="D353" s="81">
        <v>0</v>
      </c>
      <c r="E353" s="81">
        <v>0</v>
      </c>
      <c r="F353" s="81">
        <v>0</v>
      </c>
      <c r="G353" s="81">
        <v>0</v>
      </c>
      <c r="H353" s="81">
        <v>0</v>
      </c>
    </row>
    <row r="354" spans="1:8" x14ac:dyDescent="0.25">
      <c r="A354" t="s">
        <v>354</v>
      </c>
      <c r="B354" s="81">
        <v>0</v>
      </c>
      <c r="C354" s="81">
        <v>0</v>
      </c>
      <c r="D354" s="81">
        <v>0</v>
      </c>
      <c r="E354" s="81">
        <v>0</v>
      </c>
      <c r="F354" s="81">
        <v>0</v>
      </c>
      <c r="G354" s="81">
        <v>0</v>
      </c>
      <c r="H354" s="81">
        <v>0</v>
      </c>
    </row>
    <row r="355" spans="1:8" x14ac:dyDescent="0.25">
      <c r="A355" t="s">
        <v>355</v>
      </c>
      <c r="B355" s="81">
        <v>0</v>
      </c>
      <c r="C355" s="81">
        <v>0</v>
      </c>
      <c r="D355" s="81">
        <v>0</v>
      </c>
      <c r="E355" s="81">
        <v>0</v>
      </c>
      <c r="F355" s="81">
        <v>0</v>
      </c>
      <c r="G355" s="81">
        <v>0</v>
      </c>
      <c r="H355" s="81">
        <v>0</v>
      </c>
    </row>
    <row r="356" spans="1:8" x14ac:dyDescent="0.25">
      <c r="A356" t="s">
        <v>356</v>
      </c>
      <c r="B356" s="81">
        <v>0</v>
      </c>
      <c r="C356" s="81">
        <v>0</v>
      </c>
      <c r="D356" s="81">
        <v>0</v>
      </c>
      <c r="E356" s="81">
        <v>0</v>
      </c>
      <c r="F356" s="81">
        <v>0</v>
      </c>
      <c r="G356" s="81">
        <v>0</v>
      </c>
      <c r="H356" s="81">
        <v>0</v>
      </c>
    </row>
    <row r="357" spans="1:8" x14ac:dyDescent="0.25">
      <c r="A357" t="s">
        <v>357</v>
      </c>
      <c r="B357" s="81">
        <v>0</v>
      </c>
      <c r="C357" s="81">
        <v>0</v>
      </c>
      <c r="D357" s="81">
        <v>0</v>
      </c>
      <c r="E357" s="81">
        <v>0</v>
      </c>
      <c r="F357" s="81">
        <v>0</v>
      </c>
      <c r="G357" s="81">
        <v>0</v>
      </c>
      <c r="H357" s="81">
        <v>0</v>
      </c>
    </row>
    <row r="358" spans="1:8" x14ac:dyDescent="0.25">
      <c r="A358" t="s">
        <v>358</v>
      </c>
      <c r="B358" s="81">
        <v>0</v>
      </c>
      <c r="C358" s="81">
        <v>0</v>
      </c>
      <c r="D358" s="81">
        <v>0</v>
      </c>
      <c r="E358" s="81">
        <v>0</v>
      </c>
      <c r="F358" s="81">
        <v>0</v>
      </c>
      <c r="G358" s="81">
        <v>0</v>
      </c>
      <c r="H358" s="81">
        <v>0</v>
      </c>
    </row>
    <row r="359" spans="1:8" x14ac:dyDescent="0.25">
      <c r="A359" t="s">
        <v>359</v>
      </c>
      <c r="B359" s="81">
        <v>0</v>
      </c>
      <c r="C359" s="81">
        <v>0</v>
      </c>
      <c r="D359" s="81">
        <v>0</v>
      </c>
      <c r="E359" s="81">
        <v>0</v>
      </c>
      <c r="F359" s="81">
        <v>0</v>
      </c>
      <c r="G359" s="81">
        <v>0</v>
      </c>
      <c r="H359" s="81">
        <v>0</v>
      </c>
    </row>
    <row r="360" spans="1:8" x14ac:dyDescent="0.25">
      <c r="A360" t="s">
        <v>360</v>
      </c>
      <c r="B360" s="81">
        <v>0</v>
      </c>
      <c r="C360" s="81">
        <v>0</v>
      </c>
      <c r="D360" s="81">
        <v>0</v>
      </c>
      <c r="E360" s="81">
        <v>0</v>
      </c>
      <c r="F360" s="81">
        <v>0</v>
      </c>
      <c r="G360" s="81">
        <v>0</v>
      </c>
      <c r="H360" s="81">
        <v>0</v>
      </c>
    </row>
    <row r="361" spans="1:8" x14ac:dyDescent="0.25">
      <c r="A361" t="s">
        <v>361</v>
      </c>
      <c r="B361" s="81">
        <v>0</v>
      </c>
      <c r="C361" s="81">
        <v>0</v>
      </c>
      <c r="D361" s="81">
        <v>0</v>
      </c>
      <c r="E361" s="81">
        <v>0</v>
      </c>
      <c r="F361" s="81">
        <v>0</v>
      </c>
      <c r="G361" s="81">
        <v>0</v>
      </c>
      <c r="H361" s="81">
        <v>0</v>
      </c>
    </row>
    <row r="362" spans="1:8" x14ac:dyDescent="0.25">
      <c r="A362" t="s">
        <v>362</v>
      </c>
      <c r="B362" s="81">
        <v>0</v>
      </c>
      <c r="C362" s="81">
        <v>0</v>
      </c>
      <c r="D362" s="81">
        <v>0</v>
      </c>
      <c r="E362" s="81">
        <v>0</v>
      </c>
      <c r="F362" s="81">
        <v>0</v>
      </c>
      <c r="G362" s="81">
        <v>0</v>
      </c>
      <c r="H362" s="81">
        <v>0</v>
      </c>
    </row>
    <row r="363" spans="1:8" x14ac:dyDescent="0.25">
      <c r="A363" t="s">
        <v>363</v>
      </c>
      <c r="B363" s="81">
        <v>0</v>
      </c>
      <c r="C363" s="81">
        <v>0</v>
      </c>
      <c r="D363" s="81">
        <v>0</v>
      </c>
      <c r="E363" s="81">
        <v>0</v>
      </c>
      <c r="F363" s="81">
        <v>0</v>
      </c>
      <c r="G363" s="81">
        <v>0</v>
      </c>
      <c r="H363" s="81">
        <v>0</v>
      </c>
    </row>
    <row r="364" spans="1:8" x14ac:dyDescent="0.25">
      <c r="A364" t="s">
        <v>364</v>
      </c>
      <c r="B364" s="81">
        <v>0</v>
      </c>
      <c r="C364" s="81">
        <v>0</v>
      </c>
      <c r="D364" s="81">
        <v>0</v>
      </c>
      <c r="E364" s="81">
        <v>0</v>
      </c>
      <c r="F364" s="81">
        <v>0</v>
      </c>
      <c r="G364" s="81">
        <v>0</v>
      </c>
      <c r="H364" s="81">
        <v>0</v>
      </c>
    </row>
    <row r="365" spans="1:8" x14ac:dyDescent="0.25">
      <c r="A365" t="s">
        <v>365</v>
      </c>
      <c r="B365" s="81">
        <v>0</v>
      </c>
      <c r="C365" s="81">
        <v>0</v>
      </c>
      <c r="D365" s="81">
        <v>0</v>
      </c>
      <c r="E365" s="81">
        <v>0</v>
      </c>
      <c r="F365" s="81">
        <v>0</v>
      </c>
      <c r="G365" s="81">
        <v>0</v>
      </c>
      <c r="H365" s="81">
        <v>0</v>
      </c>
    </row>
    <row r="366" spans="1:8" x14ac:dyDescent="0.25">
      <c r="A366" t="s">
        <v>366</v>
      </c>
      <c r="B366" s="81">
        <v>0</v>
      </c>
      <c r="C366" s="81">
        <v>0</v>
      </c>
      <c r="D366" s="81">
        <v>0</v>
      </c>
      <c r="E366" s="81">
        <v>0</v>
      </c>
      <c r="F366" s="81">
        <v>0</v>
      </c>
      <c r="G366" s="81">
        <v>0</v>
      </c>
      <c r="H366" s="81">
        <v>0</v>
      </c>
    </row>
    <row r="367" spans="1:8" x14ac:dyDescent="0.25">
      <c r="A367" t="s">
        <v>367</v>
      </c>
      <c r="B367" s="81">
        <v>0</v>
      </c>
      <c r="C367" s="81">
        <v>0</v>
      </c>
      <c r="D367" s="81">
        <v>0</v>
      </c>
      <c r="E367" s="81">
        <v>0</v>
      </c>
      <c r="F367" s="81">
        <v>0</v>
      </c>
      <c r="G367" s="81">
        <v>0</v>
      </c>
      <c r="H367" s="81">
        <v>0</v>
      </c>
    </row>
    <row r="368" spans="1:8" x14ac:dyDescent="0.25">
      <c r="A368" t="s">
        <v>368</v>
      </c>
      <c r="B368" s="81">
        <v>0</v>
      </c>
      <c r="C368" s="81">
        <v>0</v>
      </c>
      <c r="D368" s="81">
        <v>0</v>
      </c>
      <c r="E368" s="81">
        <v>0</v>
      </c>
      <c r="F368" s="81">
        <v>0</v>
      </c>
      <c r="G368" s="81">
        <v>0</v>
      </c>
      <c r="H368" s="81">
        <v>0</v>
      </c>
    </row>
    <row r="369" spans="1:8" x14ac:dyDescent="0.25">
      <c r="A369" t="s">
        <v>369</v>
      </c>
      <c r="B369" s="81">
        <v>0</v>
      </c>
      <c r="C369" s="81">
        <v>0</v>
      </c>
      <c r="D369" s="81">
        <v>0</v>
      </c>
      <c r="E369" s="81">
        <v>0</v>
      </c>
      <c r="F369" s="81">
        <v>0</v>
      </c>
      <c r="G369" s="81">
        <v>0</v>
      </c>
      <c r="H369" s="81">
        <v>0</v>
      </c>
    </row>
    <row r="370" spans="1:8" x14ac:dyDescent="0.25">
      <c r="A370" t="s">
        <v>370</v>
      </c>
      <c r="B370" s="81">
        <v>0</v>
      </c>
      <c r="C370" s="81">
        <v>0</v>
      </c>
      <c r="D370" s="81">
        <v>0</v>
      </c>
      <c r="E370" s="81">
        <v>0</v>
      </c>
      <c r="F370" s="81">
        <v>0</v>
      </c>
      <c r="G370" s="81">
        <v>0</v>
      </c>
      <c r="H370" s="81">
        <v>0</v>
      </c>
    </row>
    <row r="371" spans="1:8" x14ac:dyDescent="0.25">
      <c r="A371" t="s">
        <v>371</v>
      </c>
      <c r="B371" s="81">
        <v>0</v>
      </c>
      <c r="C371" s="81">
        <v>0</v>
      </c>
      <c r="D371" s="81">
        <v>0</v>
      </c>
      <c r="E371" s="81">
        <v>0</v>
      </c>
      <c r="F371" s="81">
        <v>0</v>
      </c>
      <c r="G371" s="81">
        <v>0</v>
      </c>
      <c r="H371" s="81">
        <v>0</v>
      </c>
    </row>
    <row r="372" spans="1:8" x14ac:dyDescent="0.25">
      <c r="A372" t="s">
        <v>372</v>
      </c>
      <c r="B372" s="81">
        <v>0</v>
      </c>
      <c r="C372" s="81">
        <v>0</v>
      </c>
      <c r="D372" s="81">
        <v>0</v>
      </c>
      <c r="E372" s="81">
        <v>0</v>
      </c>
      <c r="F372" s="81">
        <v>0</v>
      </c>
      <c r="G372" s="81">
        <v>0</v>
      </c>
      <c r="H372" s="81">
        <v>0</v>
      </c>
    </row>
    <row r="373" spans="1:8" x14ac:dyDescent="0.25">
      <c r="A373" t="s">
        <v>373</v>
      </c>
      <c r="B373" s="81">
        <v>0</v>
      </c>
      <c r="C373" s="81">
        <v>0</v>
      </c>
      <c r="D373" s="81">
        <v>0</v>
      </c>
      <c r="E373" s="81">
        <v>0</v>
      </c>
      <c r="F373" s="81">
        <v>0</v>
      </c>
      <c r="G373" s="81">
        <v>0</v>
      </c>
      <c r="H373" s="81">
        <v>0</v>
      </c>
    </row>
    <row r="374" spans="1:8" x14ac:dyDescent="0.25">
      <c r="A374" t="s">
        <v>374</v>
      </c>
      <c r="B374" s="81">
        <v>0</v>
      </c>
      <c r="C374" s="81">
        <v>0</v>
      </c>
      <c r="D374" s="81">
        <v>0</v>
      </c>
      <c r="E374" s="81">
        <v>0</v>
      </c>
      <c r="F374" s="81">
        <v>0</v>
      </c>
      <c r="G374" s="81">
        <v>0</v>
      </c>
      <c r="H374" s="81">
        <v>0</v>
      </c>
    </row>
    <row r="375" spans="1:8" x14ac:dyDescent="0.25">
      <c r="A375" t="s">
        <v>375</v>
      </c>
      <c r="B375" s="81">
        <v>0</v>
      </c>
      <c r="C375" s="81">
        <v>0</v>
      </c>
      <c r="D375" s="81">
        <v>0</v>
      </c>
      <c r="E375" s="81">
        <v>0</v>
      </c>
      <c r="F375" s="81">
        <v>0</v>
      </c>
      <c r="G375" s="81">
        <v>0</v>
      </c>
      <c r="H375" s="81">
        <v>0</v>
      </c>
    </row>
    <row r="376" spans="1:8" x14ac:dyDescent="0.25">
      <c r="A376" t="s">
        <v>376</v>
      </c>
      <c r="B376" s="81">
        <v>0</v>
      </c>
      <c r="C376" s="81">
        <v>0</v>
      </c>
      <c r="D376" s="81">
        <v>0</v>
      </c>
      <c r="E376" s="81">
        <v>0</v>
      </c>
      <c r="F376" s="81">
        <v>0</v>
      </c>
      <c r="G376" s="81">
        <v>0</v>
      </c>
      <c r="H376" s="81">
        <v>0</v>
      </c>
    </row>
    <row r="377" spans="1:8" x14ac:dyDescent="0.25">
      <c r="A377" t="s">
        <v>377</v>
      </c>
      <c r="B377" s="81">
        <v>0</v>
      </c>
      <c r="C377" s="81">
        <v>0</v>
      </c>
      <c r="D377" s="81">
        <v>0</v>
      </c>
      <c r="E377" s="81">
        <v>0</v>
      </c>
      <c r="F377" s="81">
        <v>0</v>
      </c>
      <c r="G377" s="81">
        <v>0</v>
      </c>
      <c r="H377" s="81">
        <v>0</v>
      </c>
    </row>
    <row r="378" spans="1:8" x14ac:dyDescent="0.25">
      <c r="A378" t="s">
        <v>378</v>
      </c>
      <c r="B378" s="81">
        <v>0</v>
      </c>
      <c r="C378" s="81">
        <v>0</v>
      </c>
      <c r="D378" s="81">
        <v>0</v>
      </c>
      <c r="E378" s="81">
        <v>0</v>
      </c>
      <c r="F378" s="81">
        <v>0</v>
      </c>
      <c r="G378" s="81">
        <v>0</v>
      </c>
      <c r="H378" s="81">
        <v>0</v>
      </c>
    </row>
    <row r="379" spans="1:8" x14ac:dyDescent="0.25">
      <c r="A379" t="s">
        <v>379</v>
      </c>
      <c r="B379" s="81">
        <v>0</v>
      </c>
      <c r="C379" s="81">
        <v>0</v>
      </c>
      <c r="D379" s="81">
        <v>0</v>
      </c>
      <c r="E379" s="81">
        <v>0</v>
      </c>
      <c r="F379" s="81">
        <v>0</v>
      </c>
      <c r="G379" s="81">
        <v>0</v>
      </c>
      <c r="H379" s="81">
        <v>0</v>
      </c>
    </row>
    <row r="380" spans="1:8" x14ac:dyDescent="0.25">
      <c r="A380" t="s">
        <v>380</v>
      </c>
      <c r="B380" s="81">
        <v>0</v>
      </c>
      <c r="C380" s="81">
        <v>0</v>
      </c>
      <c r="D380" s="81">
        <v>0</v>
      </c>
      <c r="E380" s="81">
        <v>0</v>
      </c>
      <c r="F380" s="81">
        <v>0</v>
      </c>
      <c r="G380" s="81">
        <v>0</v>
      </c>
      <c r="H380" s="81">
        <v>0</v>
      </c>
    </row>
    <row r="381" spans="1:8" x14ac:dyDescent="0.25">
      <c r="A381" t="s">
        <v>381</v>
      </c>
      <c r="B381" s="81">
        <v>0</v>
      </c>
      <c r="C381" s="81">
        <v>0</v>
      </c>
      <c r="D381" s="81">
        <v>0</v>
      </c>
      <c r="E381" s="81">
        <v>0</v>
      </c>
      <c r="F381" s="81">
        <v>0</v>
      </c>
      <c r="G381" s="81">
        <v>0</v>
      </c>
      <c r="H381" s="81">
        <v>0</v>
      </c>
    </row>
    <row r="382" spans="1:8" x14ac:dyDescent="0.25">
      <c r="A382" t="s">
        <v>382</v>
      </c>
      <c r="B382" s="81">
        <v>0</v>
      </c>
      <c r="C382" s="81">
        <v>0</v>
      </c>
      <c r="D382" s="81">
        <v>0</v>
      </c>
      <c r="E382" s="81">
        <v>0</v>
      </c>
      <c r="F382" s="81">
        <v>0</v>
      </c>
      <c r="G382" s="81">
        <v>0</v>
      </c>
      <c r="H382" s="81">
        <v>0</v>
      </c>
    </row>
    <row r="383" spans="1:8" x14ac:dyDescent="0.25">
      <c r="A383" t="s">
        <v>383</v>
      </c>
      <c r="B383" s="81">
        <v>0</v>
      </c>
      <c r="C383" s="81">
        <v>0</v>
      </c>
      <c r="D383" s="81">
        <v>0</v>
      </c>
      <c r="E383" s="81">
        <v>0</v>
      </c>
      <c r="F383" s="81">
        <v>0</v>
      </c>
      <c r="G383" s="81">
        <v>0</v>
      </c>
      <c r="H383" s="81">
        <v>0</v>
      </c>
    </row>
    <row r="384" spans="1:8" x14ac:dyDescent="0.25">
      <c r="A384" t="s">
        <v>384</v>
      </c>
      <c r="B384" s="81">
        <v>0</v>
      </c>
      <c r="C384" s="81">
        <v>0</v>
      </c>
      <c r="D384" s="81">
        <v>0</v>
      </c>
      <c r="E384" s="81">
        <v>0</v>
      </c>
      <c r="F384" s="81">
        <v>0</v>
      </c>
      <c r="G384" s="81">
        <v>0</v>
      </c>
      <c r="H384" s="81">
        <v>0</v>
      </c>
    </row>
    <row r="385" spans="1:8" x14ac:dyDescent="0.25">
      <c r="A385" t="s">
        <v>385</v>
      </c>
      <c r="B385" s="81">
        <v>0</v>
      </c>
      <c r="C385" s="81">
        <v>0</v>
      </c>
      <c r="D385" s="81">
        <v>0</v>
      </c>
      <c r="E385" s="81">
        <v>0</v>
      </c>
      <c r="F385" s="81">
        <v>0</v>
      </c>
      <c r="G385" s="81">
        <v>0</v>
      </c>
      <c r="H385" s="81">
        <v>0</v>
      </c>
    </row>
    <row r="386" spans="1:8" x14ac:dyDescent="0.25">
      <c r="A386" t="s">
        <v>386</v>
      </c>
      <c r="B386" s="81">
        <v>0</v>
      </c>
      <c r="C386" s="81">
        <v>0</v>
      </c>
      <c r="D386" s="81">
        <v>0</v>
      </c>
      <c r="E386" s="81">
        <v>0</v>
      </c>
      <c r="F386" s="81">
        <v>0</v>
      </c>
      <c r="G386" s="81">
        <v>0</v>
      </c>
      <c r="H386" s="81">
        <v>0</v>
      </c>
    </row>
    <row r="387" spans="1:8" x14ac:dyDescent="0.25">
      <c r="A387" t="s">
        <v>387</v>
      </c>
      <c r="B387" s="81">
        <v>0</v>
      </c>
      <c r="C387" s="81">
        <v>0</v>
      </c>
      <c r="D387" s="81">
        <v>0</v>
      </c>
      <c r="E387" s="81">
        <v>0</v>
      </c>
      <c r="F387" s="81">
        <v>0</v>
      </c>
      <c r="G387" s="81">
        <v>0</v>
      </c>
      <c r="H387" s="81">
        <v>0</v>
      </c>
    </row>
    <row r="388" spans="1:8" x14ac:dyDescent="0.25">
      <c r="A388" t="s">
        <v>388</v>
      </c>
      <c r="B388" s="81">
        <v>0</v>
      </c>
      <c r="C388" s="81">
        <v>0</v>
      </c>
      <c r="D388" s="81">
        <v>0</v>
      </c>
      <c r="E388" s="81">
        <v>0</v>
      </c>
      <c r="F388" s="81">
        <v>0</v>
      </c>
      <c r="G388" s="81">
        <v>0</v>
      </c>
      <c r="H388" s="81">
        <v>0</v>
      </c>
    </row>
    <row r="389" spans="1:8" x14ac:dyDescent="0.25">
      <c r="A389" t="s">
        <v>389</v>
      </c>
      <c r="B389" s="81">
        <v>0</v>
      </c>
      <c r="C389" s="81">
        <v>0</v>
      </c>
      <c r="D389" s="81">
        <v>0</v>
      </c>
      <c r="E389" s="81">
        <v>0</v>
      </c>
      <c r="F389" s="81">
        <v>0</v>
      </c>
      <c r="G389" s="81">
        <v>0</v>
      </c>
      <c r="H389" s="81">
        <v>0</v>
      </c>
    </row>
    <row r="390" spans="1:8" x14ac:dyDescent="0.25">
      <c r="A390" t="s">
        <v>390</v>
      </c>
      <c r="B390" s="81">
        <v>0</v>
      </c>
      <c r="C390" s="81">
        <v>0</v>
      </c>
      <c r="D390" s="81">
        <v>0</v>
      </c>
      <c r="E390" s="81">
        <v>0</v>
      </c>
      <c r="F390" s="81">
        <v>0</v>
      </c>
      <c r="G390" s="81">
        <v>0</v>
      </c>
      <c r="H390" s="81">
        <v>0</v>
      </c>
    </row>
    <row r="391" spans="1:8" x14ac:dyDescent="0.25">
      <c r="A391" t="s">
        <v>391</v>
      </c>
      <c r="B391" s="81">
        <v>0</v>
      </c>
      <c r="C391" s="81">
        <v>0</v>
      </c>
      <c r="D391" s="81">
        <v>0</v>
      </c>
      <c r="E391" s="81">
        <v>0</v>
      </c>
      <c r="F391" s="81">
        <v>0</v>
      </c>
      <c r="G391" s="81">
        <v>0</v>
      </c>
      <c r="H391" s="81">
        <v>0</v>
      </c>
    </row>
    <row r="392" spans="1:8" x14ac:dyDescent="0.25">
      <c r="A392" t="s">
        <v>392</v>
      </c>
      <c r="B392" s="81">
        <v>0</v>
      </c>
      <c r="C392" s="81">
        <v>0</v>
      </c>
      <c r="D392" s="81">
        <v>0</v>
      </c>
      <c r="E392" s="81">
        <v>0</v>
      </c>
      <c r="F392" s="81">
        <v>0</v>
      </c>
      <c r="G392" s="81">
        <v>0</v>
      </c>
      <c r="H392" s="81">
        <v>0</v>
      </c>
    </row>
    <row r="393" spans="1:8" x14ac:dyDescent="0.25">
      <c r="A393" t="s">
        <v>393</v>
      </c>
      <c r="B393" s="81">
        <v>0</v>
      </c>
      <c r="C393" s="81">
        <v>0</v>
      </c>
      <c r="D393" s="81">
        <v>0</v>
      </c>
      <c r="E393" s="81">
        <v>0</v>
      </c>
      <c r="F393" s="81">
        <v>0</v>
      </c>
      <c r="G393" s="81">
        <v>0</v>
      </c>
      <c r="H393" s="81">
        <v>0</v>
      </c>
    </row>
    <row r="394" spans="1:8" x14ac:dyDescent="0.25">
      <c r="A394" t="s">
        <v>394</v>
      </c>
      <c r="B394" s="81">
        <v>0</v>
      </c>
      <c r="C394" s="81">
        <v>0</v>
      </c>
      <c r="D394" s="81">
        <v>0</v>
      </c>
      <c r="E394" s="81">
        <v>0</v>
      </c>
      <c r="F394" s="81">
        <v>0</v>
      </c>
      <c r="G394" s="81">
        <v>0</v>
      </c>
      <c r="H394" s="81">
        <v>0</v>
      </c>
    </row>
    <row r="395" spans="1:8" x14ac:dyDescent="0.25">
      <c r="A395" t="s">
        <v>395</v>
      </c>
      <c r="B395" s="81">
        <v>0</v>
      </c>
      <c r="C395" s="81">
        <v>0</v>
      </c>
      <c r="D395" s="81">
        <v>0</v>
      </c>
      <c r="E395" s="81">
        <v>0</v>
      </c>
      <c r="F395" s="81">
        <v>0</v>
      </c>
      <c r="G395" s="81">
        <v>0</v>
      </c>
      <c r="H395" s="81">
        <v>0</v>
      </c>
    </row>
    <row r="396" spans="1:8" x14ac:dyDescent="0.25">
      <c r="A396" t="s">
        <v>396</v>
      </c>
      <c r="B396" s="81">
        <v>0</v>
      </c>
      <c r="C396" s="81">
        <v>0</v>
      </c>
      <c r="D396" s="81">
        <v>0</v>
      </c>
      <c r="E396" s="81">
        <v>0</v>
      </c>
      <c r="F396" s="81">
        <v>0</v>
      </c>
      <c r="G396" s="81">
        <v>0</v>
      </c>
      <c r="H396" s="81">
        <v>0</v>
      </c>
    </row>
    <row r="397" spans="1:8" x14ac:dyDescent="0.25">
      <c r="A397" t="s">
        <v>397</v>
      </c>
      <c r="B397" s="81">
        <v>0</v>
      </c>
      <c r="C397" s="81">
        <v>0</v>
      </c>
      <c r="D397" s="81">
        <v>0</v>
      </c>
      <c r="E397" s="81">
        <v>0</v>
      </c>
      <c r="F397" s="81">
        <v>0</v>
      </c>
      <c r="G397" s="81">
        <v>0</v>
      </c>
      <c r="H397" s="81">
        <v>0</v>
      </c>
    </row>
    <row r="398" spans="1:8" x14ac:dyDescent="0.25">
      <c r="A398" t="s">
        <v>398</v>
      </c>
      <c r="B398" s="81">
        <v>0</v>
      </c>
      <c r="C398" s="81">
        <v>0</v>
      </c>
      <c r="D398" s="81">
        <v>0</v>
      </c>
      <c r="E398" s="81">
        <v>0</v>
      </c>
      <c r="F398" s="81">
        <v>0</v>
      </c>
      <c r="G398" s="81">
        <v>0</v>
      </c>
      <c r="H398" s="81">
        <v>0</v>
      </c>
    </row>
    <row r="399" spans="1:8" x14ac:dyDescent="0.25">
      <c r="A399" t="s">
        <v>399</v>
      </c>
      <c r="B399" s="81">
        <v>0</v>
      </c>
      <c r="C399" s="81">
        <v>0</v>
      </c>
      <c r="D399" s="81">
        <v>0</v>
      </c>
      <c r="E399" s="81">
        <v>0</v>
      </c>
      <c r="F399" s="81">
        <v>0</v>
      </c>
      <c r="G399" s="81">
        <v>0</v>
      </c>
      <c r="H399" s="81">
        <v>0</v>
      </c>
    </row>
    <row r="400" spans="1:8" x14ac:dyDescent="0.25">
      <c r="A400" t="s">
        <v>400</v>
      </c>
      <c r="B400" s="81">
        <v>0</v>
      </c>
      <c r="C400" s="81">
        <v>0</v>
      </c>
      <c r="D400" s="81">
        <v>0</v>
      </c>
      <c r="E400" s="81">
        <v>0</v>
      </c>
      <c r="F400" s="81">
        <v>0</v>
      </c>
      <c r="G400" s="81">
        <v>0</v>
      </c>
      <c r="H400" s="81">
        <v>0</v>
      </c>
    </row>
    <row r="401" spans="1:8" x14ac:dyDescent="0.25">
      <c r="A401" t="s">
        <v>401</v>
      </c>
      <c r="B401" s="81">
        <v>0</v>
      </c>
      <c r="C401" s="81">
        <v>0</v>
      </c>
      <c r="D401" s="81">
        <v>0</v>
      </c>
      <c r="E401" s="81">
        <v>0</v>
      </c>
      <c r="F401" s="81">
        <v>0</v>
      </c>
      <c r="G401" s="81">
        <v>0</v>
      </c>
      <c r="H401" s="81">
        <v>0</v>
      </c>
    </row>
    <row r="402" spans="1:8" x14ac:dyDescent="0.25">
      <c r="A402" t="s">
        <v>402</v>
      </c>
      <c r="B402" s="81">
        <v>0</v>
      </c>
      <c r="C402" s="81">
        <v>0</v>
      </c>
      <c r="D402" s="81">
        <v>0</v>
      </c>
      <c r="E402" s="81">
        <v>0</v>
      </c>
      <c r="F402" s="81">
        <v>0</v>
      </c>
      <c r="G402" s="81">
        <v>0</v>
      </c>
      <c r="H402" s="81">
        <v>0</v>
      </c>
    </row>
    <row r="403" spans="1:8" x14ac:dyDescent="0.25">
      <c r="A403" t="s">
        <v>403</v>
      </c>
      <c r="B403" s="81">
        <v>0</v>
      </c>
      <c r="C403" s="81">
        <v>0</v>
      </c>
      <c r="D403" s="81">
        <v>0</v>
      </c>
      <c r="E403" s="81">
        <v>0</v>
      </c>
      <c r="F403" s="81">
        <v>0</v>
      </c>
      <c r="G403" s="81">
        <v>0</v>
      </c>
      <c r="H403" s="81">
        <v>0</v>
      </c>
    </row>
    <row r="404" spans="1:8" x14ac:dyDescent="0.25">
      <c r="A404" t="s">
        <v>404</v>
      </c>
      <c r="B404" s="81">
        <v>0</v>
      </c>
      <c r="C404" s="81">
        <v>0</v>
      </c>
      <c r="D404" s="81">
        <v>0</v>
      </c>
      <c r="E404" s="81">
        <v>0</v>
      </c>
      <c r="F404" s="81">
        <v>0</v>
      </c>
      <c r="G404" s="81">
        <v>0</v>
      </c>
      <c r="H404" s="81">
        <v>0</v>
      </c>
    </row>
    <row r="405" spans="1:8" x14ac:dyDescent="0.25">
      <c r="A405" t="s">
        <v>405</v>
      </c>
      <c r="B405" s="81">
        <v>0</v>
      </c>
      <c r="C405" s="81">
        <v>0</v>
      </c>
      <c r="D405" s="81">
        <v>0</v>
      </c>
      <c r="E405" s="81">
        <v>0</v>
      </c>
      <c r="F405" s="81">
        <v>0</v>
      </c>
      <c r="G405" s="81">
        <v>0</v>
      </c>
      <c r="H405" s="81">
        <v>0</v>
      </c>
    </row>
    <row r="406" spans="1:8" x14ac:dyDescent="0.25">
      <c r="A406" t="s">
        <v>406</v>
      </c>
      <c r="B406" s="81">
        <v>0</v>
      </c>
      <c r="C406" s="81">
        <v>0</v>
      </c>
      <c r="D406" s="81">
        <v>0</v>
      </c>
      <c r="E406" s="81">
        <v>0</v>
      </c>
      <c r="F406" s="81">
        <v>0</v>
      </c>
      <c r="G406" s="81">
        <v>0</v>
      </c>
      <c r="H406" s="81">
        <v>0</v>
      </c>
    </row>
    <row r="407" spans="1:8" x14ac:dyDescent="0.25">
      <c r="A407" t="s">
        <v>407</v>
      </c>
      <c r="B407" s="81">
        <v>0</v>
      </c>
      <c r="C407" s="81">
        <v>0</v>
      </c>
      <c r="D407" s="81">
        <v>0</v>
      </c>
      <c r="E407" s="81">
        <v>0</v>
      </c>
      <c r="F407" s="81">
        <v>0</v>
      </c>
      <c r="G407" s="81">
        <v>0</v>
      </c>
      <c r="H407" s="81">
        <v>0</v>
      </c>
    </row>
    <row r="408" spans="1:8" x14ac:dyDescent="0.25">
      <c r="A408" t="s">
        <v>408</v>
      </c>
      <c r="B408" s="81">
        <v>0</v>
      </c>
      <c r="C408" s="81">
        <v>0</v>
      </c>
      <c r="D408" s="81">
        <v>0</v>
      </c>
      <c r="E408" s="81">
        <v>0</v>
      </c>
      <c r="F408" s="81">
        <v>0</v>
      </c>
      <c r="G408" s="81">
        <v>0</v>
      </c>
      <c r="H408" s="81">
        <v>0</v>
      </c>
    </row>
    <row r="409" spans="1:8" x14ac:dyDescent="0.25">
      <c r="A409" t="s">
        <v>409</v>
      </c>
      <c r="B409" s="81">
        <v>0</v>
      </c>
      <c r="C409" s="81">
        <v>0</v>
      </c>
      <c r="D409" s="81">
        <v>0</v>
      </c>
      <c r="E409" s="81">
        <v>0</v>
      </c>
      <c r="F409" s="81">
        <v>0</v>
      </c>
      <c r="G409" s="81">
        <v>0</v>
      </c>
      <c r="H409" s="81">
        <v>0</v>
      </c>
    </row>
    <row r="410" spans="1:8" x14ac:dyDescent="0.25">
      <c r="A410" t="s">
        <v>410</v>
      </c>
      <c r="B410" s="81">
        <v>0</v>
      </c>
      <c r="C410" s="81">
        <v>0</v>
      </c>
      <c r="D410" s="81">
        <v>0</v>
      </c>
      <c r="E410" s="81">
        <v>0</v>
      </c>
      <c r="F410" s="81">
        <v>0</v>
      </c>
      <c r="G410" s="81">
        <v>0</v>
      </c>
      <c r="H410" s="81">
        <v>0</v>
      </c>
    </row>
    <row r="411" spans="1:8" x14ac:dyDescent="0.25">
      <c r="A411" t="s">
        <v>411</v>
      </c>
      <c r="B411" s="81">
        <v>0</v>
      </c>
      <c r="C411" s="81">
        <v>0</v>
      </c>
      <c r="D411" s="81">
        <v>0</v>
      </c>
      <c r="E411" s="81">
        <v>0</v>
      </c>
      <c r="F411" s="81">
        <v>0</v>
      </c>
      <c r="G411" s="81">
        <v>0</v>
      </c>
      <c r="H411" s="81">
        <v>0</v>
      </c>
    </row>
    <row r="412" spans="1:8" x14ac:dyDescent="0.25">
      <c r="A412" t="s">
        <v>412</v>
      </c>
      <c r="B412" s="81">
        <v>0</v>
      </c>
      <c r="C412" s="81">
        <v>0</v>
      </c>
      <c r="D412" s="81">
        <v>0</v>
      </c>
      <c r="E412" s="81">
        <v>0</v>
      </c>
      <c r="F412" s="81">
        <v>0</v>
      </c>
      <c r="G412" s="81">
        <v>0</v>
      </c>
      <c r="H412" s="81">
        <v>0</v>
      </c>
    </row>
    <row r="413" spans="1:8" x14ac:dyDescent="0.25">
      <c r="A413" t="s">
        <v>413</v>
      </c>
      <c r="B413" s="81">
        <v>0</v>
      </c>
      <c r="C413" s="81">
        <v>0</v>
      </c>
      <c r="D413" s="81">
        <v>0</v>
      </c>
      <c r="E413" s="81">
        <v>0</v>
      </c>
      <c r="F413" s="81">
        <v>0</v>
      </c>
      <c r="G413" s="81">
        <v>0</v>
      </c>
      <c r="H413" s="81">
        <v>0</v>
      </c>
    </row>
    <row r="414" spans="1:8" x14ac:dyDescent="0.25">
      <c r="A414" t="s">
        <v>414</v>
      </c>
      <c r="B414" s="81">
        <v>0</v>
      </c>
      <c r="C414" s="81">
        <v>0</v>
      </c>
      <c r="D414" s="81">
        <v>0</v>
      </c>
      <c r="E414" s="81">
        <v>0</v>
      </c>
      <c r="F414" s="81">
        <v>0</v>
      </c>
      <c r="G414" s="81">
        <v>0</v>
      </c>
      <c r="H414" s="81">
        <v>0</v>
      </c>
    </row>
    <row r="415" spans="1:8" x14ac:dyDescent="0.25">
      <c r="A415" t="s">
        <v>415</v>
      </c>
      <c r="B415" s="81">
        <v>0</v>
      </c>
      <c r="C415" s="81">
        <v>0</v>
      </c>
      <c r="D415" s="81">
        <v>0</v>
      </c>
      <c r="E415" s="81">
        <v>0</v>
      </c>
      <c r="F415" s="81">
        <v>0</v>
      </c>
      <c r="G415" s="81">
        <v>0</v>
      </c>
      <c r="H415" s="81">
        <v>0</v>
      </c>
    </row>
    <row r="416" spans="1:8" x14ac:dyDescent="0.25">
      <c r="A416" t="s">
        <v>416</v>
      </c>
      <c r="B416" s="81">
        <v>0</v>
      </c>
      <c r="C416" s="81">
        <v>0</v>
      </c>
      <c r="D416" s="81">
        <v>0</v>
      </c>
      <c r="E416" s="81">
        <v>0</v>
      </c>
      <c r="F416" s="81">
        <v>0</v>
      </c>
      <c r="G416" s="81">
        <v>0</v>
      </c>
      <c r="H416" s="81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6"/>
  <sheetViews>
    <sheetView workbookViewId="0"/>
  </sheetViews>
  <sheetFormatPr defaultColWidth="9" defaultRowHeight="15.75" x14ac:dyDescent="0.25"/>
  <cols>
    <col min="1" max="1" width="57.625" customWidth="1"/>
  </cols>
  <sheetData>
    <row r="1" spans="1:8" x14ac:dyDescent="0.25">
      <c r="A1" t="s">
        <v>81</v>
      </c>
      <c r="B1" s="81">
        <v>0</v>
      </c>
      <c r="C1" s="81">
        <v>0</v>
      </c>
      <c r="D1" s="81">
        <v>0</v>
      </c>
      <c r="E1" s="81">
        <v>0</v>
      </c>
      <c r="F1" s="81">
        <v>0</v>
      </c>
      <c r="G1" s="81">
        <v>0</v>
      </c>
      <c r="H1" s="81">
        <v>0</v>
      </c>
    </row>
    <row r="2" spans="1:8" x14ac:dyDescent="0.25">
      <c r="A2" t="s">
        <v>82</v>
      </c>
      <c r="B2" s="81">
        <v>0</v>
      </c>
      <c r="C2" s="81">
        <v>0</v>
      </c>
      <c r="D2" s="81">
        <v>0</v>
      </c>
      <c r="E2" s="81">
        <v>0</v>
      </c>
      <c r="F2" s="81">
        <v>0</v>
      </c>
      <c r="G2" s="81">
        <v>0</v>
      </c>
      <c r="H2" s="81">
        <v>0</v>
      </c>
    </row>
    <row r="3" spans="1:8" x14ac:dyDescent="0.25">
      <c r="A3" t="s">
        <v>83</v>
      </c>
      <c r="B3" s="81">
        <v>0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1">
        <v>0</v>
      </c>
    </row>
    <row r="4" spans="1:8" x14ac:dyDescent="0.25">
      <c r="A4" t="s">
        <v>84</v>
      </c>
      <c r="B4" s="81">
        <v>0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1">
        <v>0</v>
      </c>
    </row>
    <row r="5" spans="1:8" x14ac:dyDescent="0.25">
      <c r="A5" t="s">
        <v>428</v>
      </c>
      <c r="B5" s="81">
        <v>0</v>
      </c>
      <c r="C5" s="81">
        <v>0</v>
      </c>
      <c r="D5" s="81">
        <v>0</v>
      </c>
      <c r="E5" s="81">
        <v>0</v>
      </c>
      <c r="F5" s="81">
        <v>0</v>
      </c>
      <c r="G5" s="81">
        <v>0</v>
      </c>
      <c r="H5" s="81">
        <v>0</v>
      </c>
    </row>
    <row r="6" spans="1:8" x14ac:dyDescent="0.25">
      <c r="A6" t="s">
        <v>429</v>
      </c>
      <c r="B6" s="81">
        <v>0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</row>
    <row r="7" spans="1:8" x14ac:dyDescent="0.25">
      <c r="A7" t="s">
        <v>430</v>
      </c>
      <c r="B7" s="81">
        <v>0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</row>
    <row r="8" spans="1:8" x14ac:dyDescent="0.25">
      <c r="A8" t="s">
        <v>431</v>
      </c>
      <c r="B8" s="81">
        <v>0</v>
      </c>
      <c r="C8" s="81">
        <v>0</v>
      </c>
      <c r="D8" s="81">
        <v>0</v>
      </c>
      <c r="E8" s="81">
        <v>0</v>
      </c>
      <c r="F8" s="81">
        <v>0</v>
      </c>
      <c r="G8" s="81">
        <v>0</v>
      </c>
      <c r="H8" s="81">
        <v>0</v>
      </c>
    </row>
    <row r="9" spans="1:8" x14ac:dyDescent="0.25">
      <c r="A9" t="s">
        <v>85</v>
      </c>
      <c r="B9" s="81">
        <v>0</v>
      </c>
      <c r="C9" s="81">
        <v>0</v>
      </c>
      <c r="D9" s="81">
        <v>0</v>
      </c>
      <c r="E9" s="81">
        <v>0</v>
      </c>
      <c r="F9" s="81">
        <v>0</v>
      </c>
      <c r="G9" s="81">
        <v>0</v>
      </c>
      <c r="H9" s="81">
        <v>0</v>
      </c>
    </row>
    <row r="10" spans="1:8" x14ac:dyDescent="0.25">
      <c r="A10" t="s">
        <v>86</v>
      </c>
      <c r="B10" s="81">
        <v>0</v>
      </c>
      <c r="C10" s="81">
        <v>0</v>
      </c>
      <c r="D10" s="81">
        <v>0</v>
      </c>
      <c r="E10" s="81">
        <v>0</v>
      </c>
      <c r="F10" s="81">
        <v>0</v>
      </c>
      <c r="G10" s="81">
        <v>0</v>
      </c>
      <c r="H10" s="81">
        <v>0</v>
      </c>
    </row>
    <row r="11" spans="1:8" x14ac:dyDescent="0.25">
      <c r="A11" t="s">
        <v>87</v>
      </c>
      <c r="B11" s="81">
        <v>0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</row>
    <row r="12" spans="1:8" x14ac:dyDescent="0.25">
      <c r="A12" t="s">
        <v>88</v>
      </c>
      <c r="B12" s="81">
        <v>0</v>
      </c>
      <c r="C12" s="81">
        <v>0</v>
      </c>
      <c r="D12" s="81">
        <v>0</v>
      </c>
      <c r="E12" s="81">
        <v>0</v>
      </c>
      <c r="F12" s="81">
        <v>0</v>
      </c>
      <c r="G12" s="81">
        <v>0</v>
      </c>
      <c r="H12" s="81">
        <v>0</v>
      </c>
    </row>
    <row r="13" spans="1:8" x14ac:dyDescent="0.25">
      <c r="A13" t="s">
        <v>432</v>
      </c>
      <c r="B13" s="81">
        <v>0</v>
      </c>
      <c r="C13" s="81">
        <v>0</v>
      </c>
      <c r="D13" s="81">
        <v>0</v>
      </c>
      <c r="E13" s="81">
        <v>0</v>
      </c>
      <c r="F13" s="81">
        <v>0</v>
      </c>
      <c r="G13" s="81">
        <v>0</v>
      </c>
      <c r="H13" s="81">
        <v>0</v>
      </c>
    </row>
    <row r="14" spans="1:8" x14ac:dyDescent="0.25">
      <c r="A14" t="s">
        <v>433</v>
      </c>
      <c r="B14" s="81">
        <v>0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</row>
    <row r="15" spans="1:8" x14ac:dyDescent="0.25">
      <c r="A15" t="s">
        <v>434</v>
      </c>
      <c r="B15" s="81">
        <v>0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</row>
    <row r="16" spans="1:8" x14ac:dyDescent="0.25">
      <c r="A16" t="s">
        <v>435</v>
      </c>
      <c r="B16" s="81">
        <v>0</v>
      </c>
      <c r="C16" s="81">
        <v>0</v>
      </c>
      <c r="D16" s="81">
        <v>0</v>
      </c>
      <c r="E16" s="81">
        <v>0</v>
      </c>
      <c r="F16" s="81">
        <v>0</v>
      </c>
      <c r="G16" s="81">
        <v>0</v>
      </c>
      <c r="H16" s="81">
        <v>0</v>
      </c>
    </row>
    <row r="17" spans="1:8" x14ac:dyDescent="0.25">
      <c r="A17" t="s">
        <v>89</v>
      </c>
      <c r="B17" s="81">
        <v>0</v>
      </c>
      <c r="C17" s="81">
        <v>0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</row>
    <row r="18" spans="1:8" x14ac:dyDescent="0.25">
      <c r="A18" t="s">
        <v>90</v>
      </c>
      <c r="B18" s="81">
        <v>0</v>
      </c>
      <c r="C18" s="81">
        <v>0</v>
      </c>
      <c r="D18" s="81">
        <v>0</v>
      </c>
      <c r="E18" s="81">
        <v>0</v>
      </c>
      <c r="F18" s="81">
        <v>0</v>
      </c>
      <c r="G18" s="81">
        <v>0</v>
      </c>
      <c r="H18" s="81">
        <v>0</v>
      </c>
    </row>
    <row r="19" spans="1:8" x14ac:dyDescent="0.25">
      <c r="A19" t="s">
        <v>91</v>
      </c>
      <c r="B19" s="81">
        <v>0</v>
      </c>
      <c r="C19" s="81">
        <v>0</v>
      </c>
      <c r="D19" s="81">
        <v>0</v>
      </c>
      <c r="E19" s="81">
        <v>0</v>
      </c>
      <c r="F19" s="81">
        <v>0</v>
      </c>
      <c r="G19" s="81">
        <v>0</v>
      </c>
      <c r="H19" s="81">
        <v>0</v>
      </c>
    </row>
    <row r="20" spans="1:8" x14ac:dyDescent="0.25">
      <c r="A20" t="s">
        <v>92</v>
      </c>
      <c r="B20" s="81">
        <v>0</v>
      </c>
      <c r="C20" s="81">
        <v>0</v>
      </c>
      <c r="D20" s="81">
        <v>0</v>
      </c>
      <c r="E20" s="81">
        <v>0</v>
      </c>
      <c r="F20" s="81">
        <v>0</v>
      </c>
      <c r="G20" s="81">
        <v>0</v>
      </c>
      <c r="H20" s="81">
        <v>0</v>
      </c>
    </row>
    <row r="21" spans="1:8" x14ac:dyDescent="0.25">
      <c r="A21" t="s">
        <v>436</v>
      </c>
      <c r="B21" s="81">
        <v>0</v>
      </c>
      <c r="C21" s="81">
        <v>0</v>
      </c>
      <c r="D21" s="81">
        <v>0</v>
      </c>
      <c r="E21" s="81">
        <v>0</v>
      </c>
      <c r="F21" s="81">
        <v>0</v>
      </c>
      <c r="G21" s="81">
        <v>0</v>
      </c>
      <c r="H21" s="81">
        <v>0</v>
      </c>
    </row>
    <row r="22" spans="1:8" x14ac:dyDescent="0.25">
      <c r="A22" t="s">
        <v>437</v>
      </c>
      <c r="B22" s="81">
        <v>0</v>
      </c>
      <c r="C22" s="81">
        <v>0</v>
      </c>
      <c r="D22" s="81">
        <v>0</v>
      </c>
      <c r="E22" s="81">
        <v>0</v>
      </c>
      <c r="F22" s="81">
        <v>0</v>
      </c>
      <c r="G22" s="81">
        <v>0</v>
      </c>
      <c r="H22" s="81">
        <v>0</v>
      </c>
    </row>
    <row r="23" spans="1:8" x14ac:dyDescent="0.25">
      <c r="A23" t="s">
        <v>438</v>
      </c>
      <c r="B23" s="81">
        <v>0</v>
      </c>
      <c r="C23" s="81">
        <v>0</v>
      </c>
      <c r="D23" s="81">
        <v>0</v>
      </c>
      <c r="E23" s="81">
        <v>0</v>
      </c>
      <c r="F23" s="81">
        <v>0</v>
      </c>
      <c r="G23" s="81">
        <v>0</v>
      </c>
      <c r="H23" s="81">
        <v>0</v>
      </c>
    </row>
    <row r="24" spans="1:8" x14ac:dyDescent="0.25">
      <c r="A24" t="s">
        <v>439</v>
      </c>
      <c r="B24" s="81">
        <v>0</v>
      </c>
      <c r="C24" s="81">
        <v>0</v>
      </c>
      <c r="D24" s="81">
        <v>0</v>
      </c>
      <c r="E24" s="81">
        <v>0</v>
      </c>
      <c r="F24" s="81">
        <v>0</v>
      </c>
      <c r="G24" s="81">
        <v>0</v>
      </c>
      <c r="H24" s="81">
        <v>0</v>
      </c>
    </row>
    <row r="25" spans="1:8" x14ac:dyDescent="0.25">
      <c r="A25" t="s">
        <v>440</v>
      </c>
      <c r="B25" s="81">
        <v>0</v>
      </c>
      <c r="C25" s="81">
        <v>0</v>
      </c>
      <c r="D25" s="81">
        <v>0</v>
      </c>
      <c r="E25" s="81">
        <v>0</v>
      </c>
      <c r="F25" s="81">
        <v>0</v>
      </c>
      <c r="G25" s="81">
        <v>0</v>
      </c>
      <c r="H25" s="81">
        <v>0</v>
      </c>
    </row>
    <row r="26" spans="1:8" x14ac:dyDescent="0.25">
      <c r="A26" t="s">
        <v>441</v>
      </c>
      <c r="B26" s="81">
        <v>0</v>
      </c>
      <c r="C26" s="81">
        <v>0</v>
      </c>
      <c r="D26" s="81">
        <v>0</v>
      </c>
      <c r="E26" s="81">
        <v>0</v>
      </c>
      <c r="F26" s="81">
        <v>0</v>
      </c>
      <c r="G26" s="81">
        <v>0</v>
      </c>
      <c r="H26" s="81">
        <v>0</v>
      </c>
    </row>
    <row r="27" spans="1:8" x14ac:dyDescent="0.25">
      <c r="A27" t="s">
        <v>442</v>
      </c>
      <c r="B27" s="81">
        <v>0</v>
      </c>
      <c r="C27" s="81">
        <v>0</v>
      </c>
      <c r="D27" s="81">
        <v>0</v>
      </c>
      <c r="E27" s="81">
        <v>0</v>
      </c>
      <c r="F27" s="81">
        <v>0</v>
      </c>
      <c r="G27" s="81">
        <v>0</v>
      </c>
      <c r="H27" s="81">
        <v>0</v>
      </c>
    </row>
    <row r="28" spans="1:8" x14ac:dyDescent="0.25">
      <c r="A28" t="s">
        <v>443</v>
      </c>
      <c r="B28" s="81">
        <v>0</v>
      </c>
      <c r="C28" s="81">
        <v>0</v>
      </c>
      <c r="D28" s="81">
        <v>0</v>
      </c>
      <c r="E28" s="81">
        <v>0</v>
      </c>
      <c r="F28" s="81">
        <v>0</v>
      </c>
      <c r="G28" s="81">
        <v>0</v>
      </c>
      <c r="H28" s="81">
        <v>0</v>
      </c>
    </row>
    <row r="29" spans="1:8" x14ac:dyDescent="0.25">
      <c r="A29" t="s">
        <v>444</v>
      </c>
      <c r="B29" s="81">
        <v>0</v>
      </c>
      <c r="C29" s="81">
        <v>0</v>
      </c>
      <c r="D29" s="81">
        <v>0</v>
      </c>
      <c r="E29" s="81">
        <v>0</v>
      </c>
      <c r="F29" s="81">
        <v>0</v>
      </c>
      <c r="G29" s="81">
        <v>0</v>
      </c>
      <c r="H29" s="81">
        <v>0</v>
      </c>
    </row>
    <row r="30" spans="1:8" x14ac:dyDescent="0.25">
      <c r="A30" t="s">
        <v>445</v>
      </c>
      <c r="B30" s="81">
        <v>0</v>
      </c>
      <c r="C30" s="81">
        <v>0</v>
      </c>
      <c r="D30" s="81">
        <v>0</v>
      </c>
      <c r="E30" s="81">
        <v>0</v>
      </c>
      <c r="F30" s="81">
        <v>0</v>
      </c>
      <c r="G30" s="81">
        <v>0</v>
      </c>
      <c r="H30" s="81">
        <v>0</v>
      </c>
    </row>
    <row r="31" spans="1:8" x14ac:dyDescent="0.25">
      <c r="A31" t="s">
        <v>446</v>
      </c>
      <c r="B31" s="81">
        <v>0</v>
      </c>
      <c r="C31" s="81">
        <v>0</v>
      </c>
      <c r="D31" s="81">
        <v>0</v>
      </c>
      <c r="E31" s="81">
        <v>0</v>
      </c>
      <c r="F31" s="81">
        <v>0</v>
      </c>
      <c r="G31" s="81">
        <v>0</v>
      </c>
      <c r="H31" s="81">
        <v>0</v>
      </c>
    </row>
    <row r="32" spans="1:8" x14ac:dyDescent="0.25">
      <c r="A32" t="s">
        <v>447</v>
      </c>
      <c r="B32" s="81">
        <v>0</v>
      </c>
      <c r="C32" s="81">
        <v>0</v>
      </c>
      <c r="D32" s="81">
        <v>0</v>
      </c>
      <c r="E32" s="81">
        <v>0</v>
      </c>
      <c r="F32" s="81">
        <v>0</v>
      </c>
      <c r="G32" s="81">
        <v>0</v>
      </c>
      <c r="H32" s="81">
        <v>0</v>
      </c>
    </row>
    <row r="33" spans="1:8" x14ac:dyDescent="0.25">
      <c r="A33" t="s">
        <v>93</v>
      </c>
      <c r="B33" s="81">
        <v>0</v>
      </c>
      <c r="C33" s="81">
        <v>0</v>
      </c>
      <c r="D33" s="81">
        <v>0</v>
      </c>
      <c r="E33" s="81">
        <v>0</v>
      </c>
      <c r="F33" s="81">
        <v>0</v>
      </c>
      <c r="G33" s="81">
        <v>0</v>
      </c>
      <c r="H33" s="81">
        <v>0</v>
      </c>
    </row>
    <row r="34" spans="1:8" x14ac:dyDescent="0.25">
      <c r="A34" t="s">
        <v>94</v>
      </c>
      <c r="B34" s="81">
        <v>0</v>
      </c>
      <c r="C34" s="81">
        <v>0</v>
      </c>
      <c r="D34" s="81">
        <v>0</v>
      </c>
      <c r="E34" s="81">
        <v>0</v>
      </c>
      <c r="F34" s="81">
        <v>0</v>
      </c>
      <c r="G34" s="81">
        <v>0</v>
      </c>
      <c r="H34" s="81">
        <v>0</v>
      </c>
    </row>
    <row r="35" spans="1:8" x14ac:dyDescent="0.25">
      <c r="A35" t="s">
        <v>95</v>
      </c>
      <c r="B35" s="81">
        <v>0</v>
      </c>
      <c r="C35" s="81">
        <v>0</v>
      </c>
      <c r="D35" s="81">
        <v>0</v>
      </c>
      <c r="E35" s="81">
        <v>0</v>
      </c>
      <c r="F35" s="81">
        <v>0</v>
      </c>
      <c r="G35" s="81">
        <v>0</v>
      </c>
      <c r="H35" s="81">
        <v>0</v>
      </c>
    </row>
    <row r="36" spans="1:8" x14ac:dyDescent="0.25">
      <c r="A36" t="s">
        <v>96</v>
      </c>
      <c r="B36" s="81">
        <v>0</v>
      </c>
      <c r="C36" s="81">
        <v>0</v>
      </c>
      <c r="D36" s="81">
        <v>0</v>
      </c>
      <c r="E36" s="81">
        <v>0</v>
      </c>
      <c r="F36" s="81">
        <v>0</v>
      </c>
      <c r="G36" s="81">
        <v>0</v>
      </c>
      <c r="H36" s="81">
        <v>0</v>
      </c>
    </row>
    <row r="37" spans="1:8" x14ac:dyDescent="0.25">
      <c r="A37" t="s">
        <v>97</v>
      </c>
      <c r="B37" s="81">
        <v>0</v>
      </c>
      <c r="C37" s="81">
        <v>0</v>
      </c>
      <c r="D37" s="81">
        <v>0</v>
      </c>
      <c r="E37" s="81">
        <v>0</v>
      </c>
      <c r="F37" s="81">
        <v>0</v>
      </c>
      <c r="G37" s="81">
        <v>0</v>
      </c>
      <c r="H37" s="81">
        <v>0</v>
      </c>
    </row>
    <row r="38" spans="1:8" x14ac:dyDescent="0.25">
      <c r="A38" t="s">
        <v>98</v>
      </c>
      <c r="B38" s="81">
        <v>0</v>
      </c>
      <c r="C38" s="81">
        <v>0</v>
      </c>
      <c r="D38" s="81">
        <v>0</v>
      </c>
      <c r="E38" s="81">
        <v>0</v>
      </c>
      <c r="F38" s="81">
        <v>0</v>
      </c>
      <c r="G38" s="81">
        <v>0</v>
      </c>
      <c r="H38" s="81">
        <v>0</v>
      </c>
    </row>
    <row r="39" spans="1:8" x14ac:dyDescent="0.25">
      <c r="A39" t="s">
        <v>99</v>
      </c>
      <c r="B39" s="81">
        <v>0</v>
      </c>
      <c r="C39" s="81">
        <v>0</v>
      </c>
      <c r="D39" s="81">
        <v>0</v>
      </c>
      <c r="E39" s="81">
        <v>0</v>
      </c>
      <c r="F39" s="81">
        <v>0</v>
      </c>
      <c r="G39" s="81">
        <v>0</v>
      </c>
      <c r="H39" s="81">
        <v>0</v>
      </c>
    </row>
    <row r="40" spans="1:8" x14ac:dyDescent="0.25">
      <c r="A40" t="s">
        <v>100</v>
      </c>
      <c r="B40" s="81">
        <v>0</v>
      </c>
      <c r="C40" s="81">
        <v>0</v>
      </c>
      <c r="D40" s="81">
        <v>0</v>
      </c>
      <c r="E40" s="81">
        <v>0</v>
      </c>
      <c r="F40" s="81">
        <v>0</v>
      </c>
      <c r="G40" s="81">
        <v>0</v>
      </c>
      <c r="H40" s="81">
        <v>0</v>
      </c>
    </row>
    <row r="41" spans="1:8" x14ac:dyDescent="0.25">
      <c r="A41" t="s">
        <v>101</v>
      </c>
      <c r="B41" s="81">
        <v>0</v>
      </c>
      <c r="C41" s="81">
        <v>0</v>
      </c>
      <c r="D41" s="81">
        <v>0</v>
      </c>
      <c r="E41" s="81">
        <v>0</v>
      </c>
      <c r="F41" s="81">
        <v>0</v>
      </c>
      <c r="G41" s="81">
        <v>0</v>
      </c>
      <c r="H41" s="81">
        <v>0</v>
      </c>
    </row>
    <row r="42" spans="1:8" x14ac:dyDescent="0.25">
      <c r="A42" t="s">
        <v>102</v>
      </c>
      <c r="B42" s="81">
        <v>0</v>
      </c>
      <c r="C42" s="81">
        <v>0</v>
      </c>
      <c r="D42" s="81">
        <v>0</v>
      </c>
      <c r="E42" s="81">
        <v>0</v>
      </c>
      <c r="F42" s="81">
        <v>0</v>
      </c>
      <c r="G42" s="81">
        <v>0</v>
      </c>
      <c r="H42" s="81">
        <v>0</v>
      </c>
    </row>
    <row r="43" spans="1:8" x14ac:dyDescent="0.25">
      <c r="A43" t="s">
        <v>103</v>
      </c>
      <c r="B43" s="81">
        <v>0</v>
      </c>
      <c r="C43" s="81">
        <v>0</v>
      </c>
      <c r="D43" s="81">
        <v>0</v>
      </c>
      <c r="E43" s="81">
        <v>0</v>
      </c>
      <c r="F43" s="81">
        <v>0</v>
      </c>
      <c r="G43" s="81">
        <v>0</v>
      </c>
      <c r="H43" s="81">
        <v>0</v>
      </c>
    </row>
    <row r="44" spans="1:8" x14ac:dyDescent="0.25">
      <c r="A44" t="s">
        <v>104</v>
      </c>
      <c r="B44" s="81">
        <v>0</v>
      </c>
      <c r="C44" s="81">
        <v>0</v>
      </c>
      <c r="D44" s="81">
        <v>0</v>
      </c>
      <c r="E44" s="81">
        <v>0</v>
      </c>
      <c r="F44" s="81">
        <v>0</v>
      </c>
      <c r="G44" s="81">
        <v>0</v>
      </c>
      <c r="H44" s="81">
        <v>0</v>
      </c>
    </row>
    <row r="45" spans="1:8" x14ac:dyDescent="0.25">
      <c r="A45" t="s">
        <v>105</v>
      </c>
      <c r="B45" s="81">
        <v>0</v>
      </c>
      <c r="C45" s="81">
        <v>0</v>
      </c>
      <c r="D45" s="81">
        <v>0</v>
      </c>
      <c r="E45" s="81">
        <v>0</v>
      </c>
      <c r="F45" s="81">
        <v>0</v>
      </c>
      <c r="G45" s="81">
        <v>0</v>
      </c>
      <c r="H45" s="81">
        <v>0</v>
      </c>
    </row>
    <row r="46" spans="1:8" x14ac:dyDescent="0.25">
      <c r="A46" t="s">
        <v>106</v>
      </c>
      <c r="B46" s="81">
        <v>0</v>
      </c>
      <c r="C46" s="81">
        <v>0</v>
      </c>
      <c r="D46" s="81">
        <v>0</v>
      </c>
      <c r="E46" s="81">
        <v>0</v>
      </c>
      <c r="F46" s="81">
        <v>0</v>
      </c>
      <c r="G46" s="81">
        <v>0</v>
      </c>
      <c r="H46" s="81">
        <v>0</v>
      </c>
    </row>
    <row r="47" spans="1:8" x14ac:dyDescent="0.25">
      <c r="A47" t="s">
        <v>107</v>
      </c>
      <c r="B47" s="81">
        <v>0</v>
      </c>
      <c r="C47" s="81">
        <v>0</v>
      </c>
      <c r="D47" s="81">
        <v>0</v>
      </c>
      <c r="E47" s="81">
        <v>0</v>
      </c>
      <c r="F47" s="81">
        <v>0</v>
      </c>
      <c r="G47" s="81">
        <v>0</v>
      </c>
      <c r="H47" s="81">
        <v>0</v>
      </c>
    </row>
    <row r="48" spans="1:8" x14ac:dyDescent="0.25">
      <c r="A48" t="s">
        <v>108</v>
      </c>
      <c r="B48" s="81">
        <v>0</v>
      </c>
      <c r="C48" s="81">
        <v>0</v>
      </c>
      <c r="D48" s="81">
        <v>0</v>
      </c>
      <c r="E48" s="81">
        <v>0</v>
      </c>
      <c r="F48" s="81">
        <v>0</v>
      </c>
      <c r="G48" s="81">
        <v>0</v>
      </c>
      <c r="H48" s="81">
        <v>0</v>
      </c>
    </row>
    <row r="49" spans="1:8" x14ac:dyDescent="0.25">
      <c r="A49" t="s">
        <v>109</v>
      </c>
      <c r="B49" s="81">
        <v>0</v>
      </c>
      <c r="C49" s="81">
        <v>0</v>
      </c>
      <c r="D49" s="81">
        <v>0</v>
      </c>
      <c r="E49" s="81">
        <v>0</v>
      </c>
      <c r="F49" s="81">
        <v>0</v>
      </c>
      <c r="G49" s="81">
        <v>0</v>
      </c>
      <c r="H49" s="81">
        <v>0</v>
      </c>
    </row>
    <row r="50" spans="1:8" x14ac:dyDescent="0.25">
      <c r="A50" t="s">
        <v>110</v>
      </c>
      <c r="B50" s="81">
        <v>0</v>
      </c>
      <c r="C50" s="81">
        <v>0</v>
      </c>
      <c r="D50" s="81">
        <v>0</v>
      </c>
      <c r="E50" s="81">
        <v>0</v>
      </c>
      <c r="F50" s="81">
        <v>0</v>
      </c>
      <c r="G50" s="81">
        <v>0</v>
      </c>
      <c r="H50" s="81">
        <v>0</v>
      </c>
    </row>
    <row r="51" spans="1:8" x14ac:dyDescent="0.25">
      <c r="A51" t="s">
        <v>111</v>
      </c>
      <c r="B51" s="81">
        <v>0</v>
      </c>
      <c r="C51" s="81">
        <v>0</v>
      </c>
      <c r="D51" s="81">
        <v>0</v>
      </c>
      <c r="E51" s="81">
        <v>0</v>
      </c>
      <c r="F51" s="81">
        <v>0</v>
      </c>
      <c r="G51" s="81">
        <v>0</v>
      </c>
      <c r="H51" s="81">
        <v>0</v>
      </c>
    </row>
    <row r="52" spans="1:8" x14ac:dyDescent="0.25">
      <c r="A52" t="s">
        <v>112</v>
      </c>
      <c r="B52" s="81">
        <v>0</v>
      </c>
      <c r="C52" s="81">
        <v>0</v>
      </c>
      <c r="D52" s="81">
        <v>0</v>
      </c>
      <c r="E52" s="81">
        <v>0</v>
      </c>
      <c r="F52" s="81">
        <v>0</v>
      </c>
      <c r="G52" s="81">
        <v>0</v>
      </c>
      <c r="H52" s="81">
        <v>0</v>
      </c>
    </row>
    <row r="53" spans="1:8" x14ac:dyDescent="0.25">
      <c r="A53" t="s">
        <v>113</v>
      </c>
      <c r="B53" s="81">
        <v>0</v>
      </c>
      <c r="C53" s="81">
        <v>0</v>
      </c>
      <c r="D53" s="81">
        <v>0</v>
      </c>
      <c r="E53" s="81">
        <v>0</v>
      </c>
      <c r="F53" s="81">
        <v>0</v>
      </c>
      <c r="G53" s="81">
        <v>0</v>
      </c>
      <c r="H53" s="81">
        <v>0</v>
      </c>
    </row>
    <row r="54" spans="1:8" x14ac:dyDescent="0.25">
      <c r="A54" t="s">
        <v>114</v>
      </c>
      <c r="B54" s="81">
        <v>0</v>
      </c>
      <c r="C54" s="81">
        <v>0</v>
      </c>
      <c r="D54" s="81">
        <v>0</v>
      </c>
      <c r="E54" s="81">
        <v>0</v>
      </c>
      <c r="F54" s="81">
        <v>0</v>
      </c>
      <c r="G54" s="81">
        <v>0</v>
      </c>
      <c r="H54" s="81">
        <v>0</v>
      </c>
    </row>
    <row r="55" spans="1:8" x14ac:dyDescent="0.25">
      <c r="A55" t="s">
        <v>115</v>
      </c>
      <c r="B55" s="81">
        <v>0</v>
      </c>
      <c r="C55" s="81">
        <v>0</v>
      </c>
      <c r="D55" s="81">
        <v>0</v>
      </c>
      <c r="E55" s="81">
        <v>0</v>
      </c>
      <c r="F55" s="81">
        <v>0</v>
      </c>
      <c r="G55" s="81">
        <v>0</v>
      </c>
      <c r="H55" s="81">
        <v>0</v>
      </c>
    </row>
    <row r="56" spans="1:8" x14ac:dyDescent="0.25">
      <c r="A56" t="s">
        <v>116</v>
      </c>
      <c r="B56" s="81">
        <v>0</v>
      </c>
      <c r="C56" s="81">
        <v>0</v>
      </c>
      <c r="D56" s="81">
        <v>0</v>
      </c>
      <c r="E56" s="81">
        <v>0</v>
      </c>
      <c r="F56" s="81">
        <v>0</v>
      </c>
      <c r="G56" s="81">
        <v>0</v>
      </c>
      <c r="H56" s="81">
        <v>0</v>
      </c>
    </row>
    <row r="57" spans="1:8" x14ac:dyDescent="0.25">
      <c r="A57" t="s">
        <v>117</v>
      </c>
      <c r="B57" s="81">
        <v>0</v>
      </c>
      <c r="C57" s="81">
        <v>0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</row>
    <row r="58" spans="1:8" x14ac:dyDescent="0.25">
      <c r="A58" t="s">
        <v>118</v>
      </c>
      <c r="B58" s="81">
        <v>0</v>
      </c>
      <c r="C58" s="81">
        <v>0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</row>
    <row r="59" spans="1:8" x14ac:dyDescent="0.25">
      <c r="A59" t="s">
        <v>119</v>
      </c>
      <c r="B59" s="81">
        <v>0</v>
      </c>
      <c r="C59" s="81">
        <v>0</v>
      </c>
      <c r="D59" s="81">
        <v>0</v>
      </c>
      <c r="E59" s="81">
        <v>0</v>
      </c>
      <c r="F59" s="81">
        <v>0</v>
      </c>
      <c r="G59" s="81">
        <v>0</v>
      </c>
      <c r="H59" s="81">
        <v>0</v>
      </c>
    </row>
    <row r="60" spans="1:8" x14ac:dyDescent="0.25">
      <c r="A60" t="s">
        <v>120</v>
      </c>
      <c r="B60" s="81">
        <v>0</v>
      </c>
      <c r="C60" s="81">
        <v>0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</row>
    <row r="61" spans="1:8" x14ac:dyDescent="0.25">
      <c r="A61" t="s">
        <v>121</v>
      </c>
      <c r="B61" s="81">
        <v>0</v>
      </c>
      <c r="C61" s="81">
        <v>0</v>
      </c>
      <c r="D61" s="81">
        <v>0</v>
      </c>
      <c r="E61" s="81">
        <v>0</v>
      </c>
      <c r="F61" s="81">
        <v>0</v>
      </c>
      <c r="G61" s="81">
        <v>0</v>
      </c>
      <c r="H61" s="81">
        <v>0</v>
      </c>
    </row>
    <row r="62" spans="1:8" x14ac:dyDescent="0.25">
      <c r="A62" t="s">
        <v>122</v>
      </c>
      <c r="B62" s="81">
        <v>0</v>
      </c>
      <c r="C62" s="81">
        <v>0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</row>
    <row r="63" spans="1:8" x14ac:dyDescent="0.25">
      <c r="A63" t="s">
        <v>123</v>
      </c>
      <c r="B63" s="81">
        <v>0</v>
      </c>
      <c r="C63" s="81">
        <v>0</v>
      </c>
      <c r="D63" s="81">
        <v>0</v>
      </c>
      <c r="E63" s="81">
        <v>0</v>
      </c>
      <c r="F63" s="81">
        <v>0</v>
      </c>
      <c r="G63" s="81">
        <v>0</v>
      </c>
      <c r="H63" s="81">
        <v>0</v>
      </c>
    </row>
    <row r="64" spans="1:8" x14ac:dyDescent="0.25">
      <c r="A64" t="s">
        <v>124</v>
      </c>
      <c r="B64" s="81">
        <v>0</v>
      </c>
      <c r="C64" s="81">
        <v>0</v>
      </c>
      <c r="D64" s="81">
        <v>0</v>
      </c>
      <c r="E64" s="81">
        <v>0</v>
      </c>
      <c r="F64" s="81">
        <v>0</v>
      </c>
      <c r="G64" s="81">
        <v>0</v>
      </c>
      <c r="H64" s="81">
        <v>0</v>
      </c>
    </row>
    <row r="65" spans="1:8" x14ac:dyDescent="0.25">
      <c r="A65" t="s">
        <v>125</v>
      </c>
      <c r="B65" s="81">
        <v>0</v>
      </c>
      <c r="C65" s="81">
        <v>0</v>
      </c>
      <c r="D65" s="81">
        <v>0</v>
      </c>
      <c r="E65" s="81">
        <v>0</v>
      </c>
      <c r="F65" s="81">
        <v>0</v>
      </c>
      <c r="G65" s="81">
        <v>0</v>
      </c>
      <c r="H65" s="81">
        <v>0</v>
      </c>
    </row>
    <row r="66" spans="1:8" x14ac:dyDescent="0.25">
      <c r="A66" t="s">
        <v>126</v>
      </c>
      <c r="B66" s="81">
        <v>0</v>
      </c>
      <c r="C66" s="81">
        <v>0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</row>
    <row r="67" spans="1:8" x14ac:dyDescent="0.25">
      <c r="A67" t="s">
        <v>127</v>
      </c>
      <c r="B67" s="81">
        <v>0</v>
      </c>
      <c r="C67" s="81">
        <v>0</v>
      </c>
      <c r="D67" s="81">
        <v>0</v>
      </c>
      <c r="E67" s="81">
        <v>0</v>
      </c>
      <c r="F67" s="81">
        <v>0</v>
      </c>
      <c r="G67" s="81">
        <v>0</v>
      </c>
      <c r="H67" s="81">
        <v>0</v>
      </c>
    </row>
    <row r="68" spans="1:8" x14ac:dyDescent="0.25">
      <c r="A68" t="s">
        <v>128</v>
      </c>
      <c r="B68" s="81">
        <v>0</v>
      </c>
      <c r="C68" s="81">
        <v>0</v>
      </c>
      <c r="D68" s="81">
        <v>0</v>
      </c>
      <c r="E68" s="81">
        <v>0</v>
      </c>
      <c r="F68" s="81">
        <v>0</v>
      </c>
      <c r="G68" s="81">
        <v>0</v>
      </c>
      <c r="H68" s="81">
        <v>0</v>
      </c>
    </row>
    <row r="69" spans="1:8" x14ac:dyDescent="0.25">
      <c r="A69" t="s">
        <v>129</v>
      </c>
      <c r="B69" s="81">
        <v>0</v>
      </c>
      <c r="C69" s="81">
        <v>0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</row>
    <row r="70" spans="1:8" x14ac:dyDescent="0.25">
      <c r="A70" t="s">
        <v>130</v>
      </c>
      <c r="B70" s="81">
        <v>0</v>
      </c>
      <c r="C70" s="81">
        <v>0</v>
      </c>
      <c r="D70" s="81">
        <v>0</v>
      </c>
      <c r="E70" s="81">
        <v>0</v>
      </c>
      <c r="F70" s="81">
        <v>0</v>
      </c>
      <c r="G70" s="81">
        <v>0</v>
      </c>
      <c r="H70" s="81">
        <v>0</v>
      </c>
    </row>
    <row r="71" spans="1:8" x14ac:dyDescent="0.25">
      <c r="A71" t="s">
        <v>131</v>
      </c>
      <c r="B71" s="81">
        <v>0</v>
      </c>
      <c r="C71" s="81">
        <v>0</v>
      </c>
      <c r="D71" s="81">
        <v>0</v>
      </c>
      <c r="E71" s="81">
        <v>0</v>
      </c>
      <c r="F71" s="81">
        <v>0</v>
      </c>
      <c r="G71" s="81">
        <v>0</v>
      </c>
      <c r="H71" s="81">
        <v>0</v>
      </c>
    </row>
    <row r="72" spans="1:8" x14ac:dyDescent="0.25">
      <c r="A72" t="s">
        <v>132</v>
      </c>
      <c r="B72" s="81">
        <v>0</v>
      </c>
      <c r="C72" s="81">
        <v>0</v>
      </c>
      <c r="D72" s="81">
        <v>0</v>
      </c>
      <c r="E72" s="81">
        <v>0</v>
      </c>
      <c r="F72" s="81">
        <v>0</v>
      </c>
      <c r="G72" s="81">
        <v>0</v>
      </c>
      <c r="H72" s="81">
        <v>0</v>
      </c>
    </row>
    <row r="73" spans="1:8" x14ac:dyDescent="0.25">
      <c r="A73" t="s">
        <v>133</v>
      </c>
      <c r="B73" s="81">
        <v>0</v>
      </c>
      <c r="C73" s="81">
        <v>0</v>
      </c>
      <c r="D73" s="81">
        <v>0</v>
      </c>
      <c r="E73" s="81">
        <v>0</v>
      </c>
      <c r="F73" s="81">
        <v>0</v>
      </c>
      <c r="G73" s="81">
        <v>0</v>
      </c>
      <c r="H73" s="81">
        <v>0</v>
      </c>
    </row>
    <row r="74" spans="1:8" x14ac:dyDescent="0.25">
      <c r="A74" t="s">
        <v>134</v>
      </c>
      <c r="B74" s="81">
        <v>0</v>
      </c>
      <c r="C74" s="81">
        <v>0</v>
      </c>
      <c r="D74" s="81">
        <v>0</v>
      </c>
      <c r="E74" s="81">
        <v>0</v>
      </c>
      <c r="F74" s="81">
        <v>0</v>
      </c>
      <c r="G74" s="81">
        <v>0</v>
      </c>
      <c r="H74" s="81">
        <v>0</v>
      </c>
    </row>
    <row r="75" spans="1:8" x14ac:dyDescent="0.25">
      <c r="A75" t="s">
        <v>135</v>
      </c>
      <c r="B75" s="81">
        <v>0</v>
      </c>
      <c r="C75" s="81">
        <v>0</v>
      </c>
      <c r="D75" s="81">
        <v>0</v>
      </c>
      <c r="E75" s="81">
        <v>0</v>
      </c>
      <c r="F75" s="81">
        <v>0</v>
      </c>
      <c r="G75" s="81">
        <v>0</v>
      </c>
      <c r="H75" s="81">
        <v>0</v>
      </c>
    </row>
    <row r="76" spans="1:8" x14ac:dyDescent="0.25">
      <c r="A76" t="s">
        <v>136</v>
      </c>
      <c r="B76" s="81">
        <v>0</v>
      </c>
      <c r="C76" s="81">
        <v>0</v>
      </c>
      <c r="D76" s="81">
        <v>0</v>
      </c>
      <c r="E76" s="81">
        <v>0</v>
      </c>
      <c r="F76" s="81">
        <v>0</v>
      </c>
      <c r="G76" s="81">
        <v>0</v>
      </c>
      <c r="H76" s="81">
        <v>0</v>
      </c>
    </row>
    <row r="77" spans="1:8" x14ac:dyDescent="0.25">
      <c r="A77" t="s">
        <v>137</v>
      </c>
      <c r="B77" s="81">
        <v>0</v>
      </c>
      <c r="C77" s="81">
        <v>0</v>
      </c>
      <c r="D77" s="81">
        <v>0</v>
      </c>
      <c r="E77" s="81">
        <v>0</v>
      </c>
      <c r="F77" s="81">
        <v>0</v>
      </c>
      <c r="G77" s="81">
        <v>0</v>
      </c>
      <c r="H77" s="81">
        <v>0</v>
      </c>
    </row>
    <row r="78" spans="1:8" x14ac:dyDescent="0.25">
      <c r="A78" t="s">
        <v>138</v>
      </c>
      <c r="B78" s="81">
        <v>0</v>
      </c>
      <c r="C78" s="81">
        <v>0</v>
      </c>
      <c r="D78" s="81">
        <v>0</v>
      </c>
      <c r="E78" s="81">
        <v>0</v>
      </c>
      <c r="F78" s="81">
        <v>0</v>
      </c>
      <c r="G78" s="81">
        <v>0</v>
      </c>
      <c r="H78" s="81">
        <v>0</v>
      </c>
    </row>
    <row r="79" spans="1:8" x14ac:dyDescent="0.25">
      <c r="A79" t="s">
        <v>139</v>
      </c>
      <c r="B79" s="81">
        <v>0</v>
      </c>
      <c r="C79" s="81">
        <v>0</v>
      </c>
      <c r="D79" s="81">
        <v>0</v>
      </c>
      <c r="E79" s="81">
        <v>0</v>
      </c>
      <c r="F79" s="81">
        <v>0</v>
      </c>
      <c r="G79" s="81">
        <v>0</v>
      </c>
      <c r="H79" s="81">
        <v>0</v>
      </c>
    </row>
    <row r="80" spans="1:8" x14ac:dyDescent="0.25">
      <c r="A80" t="s">
        <v>140</v>
      </c>
      <c r="B80" s="81">
        <v>0</v>
      </c>
      <c r="C80" s="81">
        <v>0</v>
      </c>
      <c r="D80" s="81">
        <v>0</v>
      </c>
      <c r="E80" s="81">
        <v>0</v>
      </c>
      <c r="F80" s="81">
        <v>0</v>
      </c>
      <c r="G80" s="81">
        <v>0</v>
      </c>
      <c r="H80" s="81">
        <v>0</v>
      </c>
    </row>
    <row r="81" spans="1:8" x14ac:dyDescent="0.25">
      <c r="A81" t="s">
        <v>141</v>
      </c>
      <c r="B81" s="81">
        <v>0</v>
      </c>
      <c r="C81" s="81">
        <v>0</v>
      </c>
      <c r="D81" s="81">
        <v>0</v>
      </c>
      <c r="E81" s="81">
        <v>0</v>
      </c>
      <c r="F81" s="81">
        <v>0</v>
      </c>
      <c r="G81" s="81">
        <v>0</v>
      </c>
      <c r="H81" s="81">
        <v>0</v>
      </c>
    </row>
    <row r="82" spans="1:8" x14ac:dyDescent="0.25">
      <c r="A82" t="s">
        <v>142</v>
      </c>
      <c r="B82" s="81">
        <v>0</v>
      </c>
      <c r="C82" s="81">
        <v>0</v>
      </c>
      <c r="D82" s="81">
        <v>0</v>
      </c>
      <c r="E82" s="81">
        <v>0</v>
      </c>
      <c r="F82" s="81">
        <v>0</v>
      </c>
      <c r="G82" s="81">
        <v>0</v>
      </c>
      <c r="H82" s="81">
        <v>0</v>
      </c>
    </row>
    <row r="83" spans="1:8" x14ac:dyDescent="0.25">
      <c r="A83" t="s">
        <v>143</v>
      </c>
      <c r="B83" s="81">
        <v>0</v>
      </c>
      <c r="C83" s="81">
        <v>0</v>
      </c>
      <c r="D83" s="81">
        <v>0</v>
      </c>
      <c r="E83" s="81">
        <v>0</v>
      </c>
      <c r="F83" s="81">
        <v>0</v>
      </c>
      <c r="G83" s="81">
        <v>0</v>
      </c>
      <c r="H83" s="81">
        <v>0</v>
      </c>
    </row>
    <row r="84" spans="1:8" x14ac:dyDescent="0.25">
      <c r="A84" t="s">
        <v>144</v>
      </c>
      <c r="B84" s="81">
        <v>0</v>
      </c>
      <c r="C84" s="81">
        <v>0</v>
      </c>
      <c r="D84" s="81">
        <v>0</v>
      </c>
      <c r="E84" s="81">
        <v>0</v>
      </c>
      <c r="F84" s="81">
        <v>0</v>
      </c>
      <c r="G84" s="81">
        <v>0</v>
      </c>
      <c r="H84" s="81">
        <v>0</v>
      </c>
    </row>
    <row r="85" spans="1:8" x14ac:dyDescent="0.25">
      <c r="A85" t="s">
        <v>145</v>
      </c>
      <c r="B85" s="81">
        <v>0</v>
      </c>
      <c r="C85" s="81">
        <v>0</v>
      </c>
      <c r="D85" s="81">
        <v>0</v>
      </c>
      <c r="E85" s="81">
        <v>0</v>
      </c>
      <c r="F85" s="81">
        <v>0</v>
      </c>
      <c r="G85" s="81">
        <v>0</v>
      </c>
      <c r="H85" s="81">
        <v>0</v>
      </c>
    </row>
    <row r="86" spans="1:8" x14ac:dyDescent="0.25">
      <c r="A86" t="s">
        <v>146</v>
      </c>
      <c r="B86" s="81">
        <v>0</v>
      </c>
      <c r="C86" s="81">
        <v>0</v>
      </c>
      <c r="D86" s="81">
        <v>0</v>
      </c>
      <c r="E86" s="81">
        <v>0</v>
      </c>
      <c r="F86" s="81">
        <v>0</v>
      </c>
      <c r="G86" s="81">
        <v>0</v>
      </c>
      <c r="H86" s="81">
        <v>0</v>
      </c>
    </row>
    <row r="87" spans="1:8" x14ac:dyDescent="0.25">
      <c r="A87" t="s">
        <v>147</v>
      </c>
      <c r="B87" s="81">
        <v>0</v>
      </c>
      <c r="C87" s="81">
        <v>0</v>
      </c>
      <c r="D87" s="81">
        <v>0</v>
      </c>
      <c r="E87" s="81">
        <v>0</v>
      </c>
      <c r="F87" s="81">
        <v>0</v>
      </c>
      <c r="G87" s="81">
        <v>0</v>
      </c>
      <c r="H87" s="81">
        <v>0</v>
      </c>
    </row>
    <row r="88" spans="1:8" x14ac:dyDescent="0.25">
      <c r="A88" t="s">
        <v>148</v>
      </c>
      <c r="B88" s="81">
        <v>0</v>
      </c>
      <c r="C88" s="81">
        <v>0</v>
      </c>
      <c r="D88" s="81">
        <v>0</v>
      </c>
      <c r="E88" s="81">
        <v>0</v>
      </c>
      <c r="F88" s="81">
        <v>0</v>
      </c>
      <c r="G88" s="81">
        <v>0</v>
      </c>
      <c r="H88" s="81">
        <v>0</v>
      </c>
    </row>
    <row r="89" spans="1:8" x14ac:dyDescent="0.25">
      <c r="A89" t="s">
        <v>149</v>
      </c>
      <c r="B89" s="81">
        <v>0</v>
      </c>
      <c r="C89" s="81">
        <v>0</v>
      </c>
      <c r="D89" s="81">
        <v>0</v>
      </c>
      <c r="E89" s="81">
        <v>0</v>
      </c>
      <c r="F89" s="81">
        <v>0</v>
      </c>
      <c r="G89" s="81">
        <v>0</v>
      </c>
      <c r="H89" s="81">
        <v>0</v>
      </c>
    </row>
    <row r="90" spans="1:8" x14ac:dyDescent="0.25">
      <c r="A90" t="s">
        <v>150</v>
      </c>
      <c r="B90" s="81">
        <v>0</v>
      </c>
      <c r="C90" s="81">
        <v>0</v>
      </c>
      <c r="D90" s="81">
        <v>0</v>
      </c>
      <c r="E90" s="81">
        <v>0</v>
      </c>
      <c r="F90" s="81">
        <v>0</v>
      </c>
      <c r="G90" s="81">
        <v>0</v>
      </c>
      <c r="H90" s="81">
        <v>0</v>
      </c>
    </row>
    <row r="91" spans="1:8" x14ac:dyDescent="0.25">
      <c r="A91" t="s">
        <v>151</v>
      </c>
      <c r="B91" s="81">
        <v>0</v>
      </c>
      <c r="C91" s="81">
        <v>0</v>
      </c>
      <c r="D91" s="81">
        <v>0</v>
      </c>
      <c r="E91" s="81">
        <v>0</v>
      </c>
      <c r="F91" s="81">
        <v>0</v>
      </c>
      <c r="G91" s="81">
        <v>0</v>
      </c>
      <c r="H91" s="81">
        <v>0</v>
      </c>
    </row>
    <row r="92" spans="1:8" x14ac:dyDescent="0.25">
      <c r="A92" t="s">
        <v>152</v>
      </c>
      <c r="B92" s="81">
        <v>0</v>
      </c>
      <c r="C92" s="81">
        <v>0</v>
      </c>
      <c r="D92" s="81">
        <v>0</v>
      </c>
      <c r="E92" s="81">
        <v>0</v>
      </c>
      <c r="F92" s="81">
        <v>0</v>
      </c>
      <c r="G92" s="81">
        <v>0</v>
      </c>
      <c r="H92" s="81">
        <v>0</v>
      </c>
    </row>
    <row r="93" spans="1:8" x14ac:dyDescent="0.25">
      <c r="A93" t="s">
        <v>153</v>
      </c>
      <c r="B93" s="81">
        <v>0</v>
      </c>
      <c r="C93" s="81">
        <v>0</v>
      </c>
      <c r="D93" s="81">
        <v>0</v>
      </c>
      <c r="E93" s="81">
        <v>0</v>
      </c>
      <c r="F93" s="81">
        <v>0</v>
      </c>
      <c r="G93" s="81">
        <v>0</v>
      </c>
      <c r="H93" s="81">
        <v>0</v>
      </c>
    </row>
    <row r="94" spans="1:8" x14ac:dyDescent="0.25">
      <c r="A94" t="s">
        <v>154</v>
      </c>
      <c r="B94" s="81">
        <v>0</v>
      </c>
      <c r="C94" s="81">
        <v>0</v>
      </c>
      <c r="D94" s="81">
        <v>0</v>
      </c>
      <c r="E94" s="81">
        <v>0</v>
      </c>
      <c r="F94" s="81">
        <v>0</v>
      </c>
      <c r="G94" s="81">
        <v>0</v>
      </c>
      <c r="H94" s="81">
        <v>0</v>
      </c>
    </row>
    <row r="95" spans="1:8" x14ac:dyDescent="0.25">
      <c r="A95" t="s">
        <v>155</v>
      </c>
      <c r="B95" s="81">
        <v>0</v>
      </c>
      <c r="C95" s="81">
        <v>0</v>
      </c>
      <c r="D95" s="81">
        <v>0</v>
      </c>
      <c r="E95" s="81">
        <v>0</v>
      </c>
      <c r="F95" s="81">
        <v>0</v>
      </c>
      <c r="G95" s="81">
        <v>0</v>
      </c>
      <c r="H95" s="81">
        <v>0</v>
      </c>
    </row>
    <row r="96" spans="1:8" x14ac:dyDescent="0.25">
      <c r="A96" t="s">
        <v>156</v>
      </c>
      <c r="B96" s="81">
        <v>0</v>
      </c>
      <c r="C96" s="81">
        <v>0</v>
      </c>
      <c r="D96" s="81">
        <v>0</v>
      </c>
      <c r="E96" s="81">
        <v>0</v>
      </c>
      <c r="F96" s="81">
        <v>0</v>
      </c>
      <c r="G96" s="81">
        <v>0</v>
      </c>
      <c r="H96" s="81">
        <v>0</v>
      </c>
    </row>
    <row r="97" spans="1:8" x14ac:dyDescent="0.25">
      <c r="A97" t="s">
        <v>157</v>
      </c>
      <c r="B97" s="81">
        <v>0</v>
      </c>
      <c r="C97" s="81">
        <v>0</v>
      </c>
      <c r="D97" s="81">
        <v>0</v>
      </c>
      <c r="E97" s="81">
        <v>0</v>
      </c>
      <c r="F97" s="81">
        <v>0</v>
      </c>
      <c r="G97" s="81">
        <v>0</v>
      </c>
      <c r="H97" s="81">
        <v>0</v>
      </c>
    </row>
    <row r="98" spans="1:8" x14ac:dyDescent="0.25">
      <c r="A98" t="s">
        <v>158</v>
      </c>
      <c r="B98" s="81">
        <v>0</v>
      </c>
      <c r="C98" s="81">
        <v>0</v>
      </c>
      <c r="D98" s="81">
        <v>0</v>
      </c>
      <c r="E98" s="81">
        <v>0</v>
      </c>
      <c r="F98" s="81">
        <v>0</v>
      </c>
      <c r="G98" s="81">
        <v>0</v>
      </c>
      <c r="H98" s="81">
        <v>0</v>
      </c>
    </row>
    <row r="99" spans="1:8" x14ac:dyDescent="0.25">
      <c r="A99" t="s">
        <v>159</v>
      </c>
      <c r="B99" s="81">
        <v>0</v>
      </c>
      <c r="C99" s="81">
        <v>0</v>
      </c>
      <c r="D99" s="81">
        <v>0</v>
      </c>
      <c r="E99" s="81">
        <v>0</v>
      </c>
      <c r="F99" s="81">
        <v>0</v>
      </c>
      <c r="G99" s="81">
        <v>0</v>
      </c>
      <c r="H99" s="81">
        <v>0</v>
      </c>
    </row>
    <row r="100" spans="1:8" x14ac:dyDescent="0.25">
      <c r="A100" t="s">
        <v>160</v>
      </c>
      <c r="B100" s="81">
        <v>0</v>
      </c>
      <c r="C100" s="81">
        <v>0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</row>
    <row r="101" spans="1:8" x14ac:dyDescent="0.25">
      <c r="A101" t="s">
        <v>161</v>
      </c>
      <c r="B101" s="81">
        <v>0</v>
      </c>
      <c r="C101" s="81">
        <v>0</v>
      </c>
      <c r="D101" s="81">
        <v>0</v>
      </c>
      <c r="E101" s="81">
        <v>0</v>
      </c>
      <c r="F101" s="81">
        <v>0</v>
      </c>
      <c r="G101" s="81">
        <v>0</v>
      </c>
      <c r="H101" s="81">
        <v>0</v>
      </c>
    </row>
    <row r="102" spans="1:8" x14ac:dyDescent="0.25">
      <c r="A102" t="s">
        <v>162</v>
      </c>
      <c r="B102" s="81">
        <v>0</v>
      </c>
      <c r="C102" s="81">
        <v>0</v>
      </c>
      <c r="D102" s="81">
        <v>0</v>
      </c>
      <c r="E102" s="81">
        <v>0</v>
      </c>
      <c r="F102" s="81">
        <v>0</v>
      </c>
      <c r="G102" s="81">
        <v>0</v>
      </c>
      <c r="H102" s="81">
        <v>0</v>
      </c>
    </row>
    <row r="103" spans="1:8" x14ac:dyDescent="0.25">
      <c r="A103" t="s">
        <v>163</v>
      </c>
      <c r="B103" s="81">
        <v>0</v>
      </c>
      <c r="C103" s="81">
        <v>0</v>
      </c>
      <c r="D103" s="81">
        <v>0</v>
      </c>
      <c r="E103" s="81">
        <v>0</v>
      </c>
      <c r="F103" s="81">
        <v>0</v>
      </c>
      <c r="G103" s="81">
        <v>0</v>
      </c>
      <c r="H103" s="81">
        <v>0</v>
      </c>
    </row>
    <row r="104" spans="1:8" x14ac:dyDescent="0.25">
      <c r="A104" t="s">
        <v>164</v>
      </c>
      <c r="B104" s="81">
        <v>0</v>
      </c>
      <c r="C104" s="81">
        <v>0</v>
      </c>
      <c r="D104" s="81">
        <v>0</v>
      </c>
      <c r="E104" s="81">
        <v>0</v>
      </c>
      <c r="F104" s="81">
        <v>0</v>
      </c>
      <c r="G104" s="81">
        <v>0</v>
      </c>
      <c r="H104" s="81">
        <v>0</v>
      </c>
    </row>
    <row r="105" spans="1:8" x14ac:dyDescent="0.25">
      <c r="A105" t="s">
        <v>165</v>
      </c>
      <c r="B105" s="81">
        <v>0</v>
      </c>
      <c r="C105" s="81">
        <v>0</v>
      </c>
      <c r="D105" s="81">
        <v>0</v>
      </c>
      <c r="E105" s="81">
        <v>0</v>
      </c>
      <c r="F105" s="81">
        <v>0</v>
      </c>
      <c r="G105" s="81">
        <v>0</v>
      </c>
      <c r="H105" s="81">
        <v>0</v>
      </c>
    </row>
    <row r="106" spans="1:8" x14ac:dyDescent="0.25">
      <c r="A106" t="s">
        <v>166</v>
      </c>
      <c r="B106" s="81">
        <v>0</v>
      </c>
      <c r="C106" s="81">
        <v>0</v>
      </c>
      <c r="D106" s="81">
        <v>0</v>
      </c>
      <c r="E106" s="81">
        <v>0</v>
      </c>
      <c r="F106" s="81">
        <v>0</v>
      </c>
      <c r="G106" s="81">
        <v>0</v>
      </c>
      <c r="H106" s="81">
        <v>0</v>
      </c>
    </row>
    <row r="107" spans="1:8" x14ac:dyDescent="0.25">
      <c r="A107" t="s">
        <v>167</v>
      </c>
      <c r="B107" s="81">
        <v>0</v>
      </c>
      <c r="C107" s="81">
        <v>0</v>
      </c>
      <c r="D107" s="81">
        <v>0</v>
      </c>
      <c r="E107" s="81">
        <v>0</v>
      </c>
      <c r="F107" s="81">
        <v>0</v>
      </c>
      <c r="G107" s="81">
        <v>0</v>
      </c>
      <c r="H107" s="81">
        <v>0</v>
      </c>
    </row>
    <row r="108" spans="1:8" x14ac:dyDescent="0.25">
      <c r="A108" t="s">
        <v>168</v>
      </c>
      <c r="B108" s="81">
        <v>0</v>
      </c>
      <c r="C108" s="81">
        <v>0</v>
      </c>
      <c r="D108" s="81">
        <v>0</v>
      </c>
      <c r="E108" s="81">
        <v>0</v>
      </c>
      <c r="F108" s="81">
        <v>0</v>
      </c>
      <c r="G108" s="81">
        <v>0</v>
      </c>
      <c r="H108" s="81">
        <v>0</v>
      </c>
    </row>
    <row r="109" spans="1:8" x14ac:dyDescent="0.25">
      <c r="A109" t="s">
        <v>460</v>
      </c>
      <c r="B109" s="81">
        <v>0</v>
      </c>
      <c r="C109" s="81">
        <v>0</v>
      </c>
      <c r="D109" s="81">
        <v>0</v>
      </c>
      <c r="E109" s="81">
        <v>0</v>
      </c>
      <c r="F109" s="81">
        <v>0</v>
      </c>
      <c r="G109" s="81">
        <v>0</v>
      </c>
      <c r="H109" s="81">
        <v>0</v>
      </c>
    </row>
    <row r="110" spans="1:8" x14ac:dyDescent="0.25">
      <c r="A110" t="s">
        <v>461</v>
      </c>
      <c r="B110" s="81">
        <v>0</v>
      </c>
      <c r="C110" s="81">
        <v>0</v>
      </c>
      <c r="D110" s="81">
        <v>0</v>
      </c>
      <c r="E110" s="81">
        <v>0</v>
      </c>
      <c r="F110" s="81">
        <v>0</v>
      </c>
      <c r="G110" s="81">
        <v>0</v>
      </c>
      <c r="H110" s="81">
        <v>0</v>
      </c>
    </row>
    <row r="111" spans="1:8" x14ac:dyDescent="0.25">
      <c r="A111" t="s">
        <v>462</v>
      </c>
      <c r="B111" s="81">
        <v>0</v>
      </c>
      <c r="C111" s="81">
        <v>0</v>
      </c>
      <c r="D111" s="81">
        <v>0</v>
      </c>
      <c r="E111" s="81">
        <v>0</v>
      </c>
      <c r="F111" s="81">
        <v>0</v>
      </c>
      <c r="G111" s="81">
        <v>0</v>
      </c>
      <c r="H111" s="81">
        <v>0</v>
      </c>
    </row>
    <row r="112" spans="1:8" x14ac:dyDescent="0.25">
      <c r="A112" t="s">
        <v>463</v>
      </c>
      <c r="B112" s="81">
        <v>0</v>
      </c>
      <c r="C112" s="81">
        <v>0</v>
      </c>
      <c r="D112" s="81">
        <v>0</v>
      </c>
      <c r="E112" s="81">
        <v>0</v>
      </c>
      <c r="F112" s="81">
        <v>0</v>
      </c>
      <c r="G112" s="81">
        <v>0</v>
      </c>
      <c r="H112" s="81">
        <v>0</v>
      </c>
    </row>
    <row r="113" spans="1:8" x14ac:dyDescent="0.25">
      <c r="A113" t="s">
        <v>169</v>
      </c>
      <c r="B113" s="81">
        <v>0</v>
      </c>
      <c r="C113" s="81">
        <v>0</v>
      </c>
      <c r="D113" s="81">
        <v>0</v>
      </c>
      <c r="E113" s="81">
        <v>0</v>
      </c>
      <c r="F113" s="81">
        <v>0</v>
      </c>
      <c r="G113" s="81">
        <v>0</v>
      </c>
      <c r="H113" s="81">
        <v>0</v>
      </c>
    </row>
    <row r="114" spans="1:8" x14ac:dyDescent="0.25">
      <c r="A114" t="s">
        <v>170</v>
      </c>
      <c r="B114" s="81">
        <v>0</v>
      </c>
      <c r="C114" s="81">
        <v>0</v>
      </c>
      <c r="D114" s="81">
        <v>0</v>
      </c>
      <c r="E114" s="81">
        <v>0</v>
      </c>
      <c r="F114" s="81">
        <v>0</v>
      </c>
      <c r="G114" s="81">
        <v>0</v>
      </c>
      <c r="H114" s="81">
        <v>0</v>
      </c>
    </row>
    <row r="115" spans="1:8" x14ac:dyDescent="0.25">
      <c r="A115" t="s">
        <v>171</v>
      </c>
      <c r="B115" s="81">
        <v>0</v>
      </c>
      <c r="C115" s="81">
        <v>0</v>
      </c>
      <c r="D115" s="81">
        <v>0</v>
      </c>
      <c r="E115" s="81">
        <v>0</v>
      </c>
      <c r="F115" s="81">
        <v>0</v>
      </c>
      <c r="G115" s="81">
        <v>0</v>
      </c>
      <c r="H115" s="81">
        <v>0</v>
      </c>
    </row>
    <row r="116" spans="1:8" x14ac:dyDescent="0.25">
      <c r="A116" t="s">
        <v>172</v>
      </c>
      <c r="B116" s="81">
        <v>0</v>
      </c>
      <c r="C116" s="81">
        <v>0</v>
      </c>
      <c r="D116" s="81">
        <v>0</v>
      </c>
      <c r="E116" s="81">
        <v>0</v>
      </c>
      <c r="F116" s="81">
        <v>0</v>
      </c>
      <c r="G116" s="81">
        <v>0</v>
      </c>
      <c r="H116" s="81">
        <v>0</v>
      </c>
    </row>
    <row r="117" spans="1:8" x14ac:dyDescent="0.25">
      <c r="A117" t="s">
        <v>452</v>
      </c>
      <c r="B117" s="81">
        <v>0</v>
      </c>
      <c r="C117" s="81">
        <v>0</v>
      </c>
      <c r="D117" s="81">
        <v>0</v>
      </c>
      <c r="E117" s="81">
        <v>0</v>
      </c>
      <c r="F117" s="81">
        <v>0</v>
      </c>
      <c r="G117" s="81">
        <v>0</v>
      </c>
      <c r="H117" s="81">
        <v>0</v>
      </c>
    </row>
    <row r="118" spans="1:8" x14ac:dyDescent="0.25">
      <c r="A118" t="s">
        <v>453</v>
      </c>
      <c r="B118" s="81">
        <v>0</v>
      </c>
      <c r="C118" s="81">
        <v>0</v>
      </c>
      <c r="D118" s="81">
        <v>0</v>
      </c>
      <c r="E118" s="81">
        <v>0</v>
      </c>
      <c r="F118" s="81">
        <v>0</v>
      </c>
      <c r="G118" s="81">
        <v>0</v>
      </c>
      <c r="H118" s="81">
        <v>0</v>
      </c>
    </row>
    <row r="119" spans="1:8" x14ac:dyDescent="0.25">
      <c r="A119" t="s">
        <v>454</v>
      </c>
      <c r="B119" s="81">
        <v>0</v>
      </c>
      <c r="C119" s="81">
        <v>0</v>
      </c>
      <c r="D119" s="81">
        <v>0</v>
      </c>
      <c r="E119" s="81">
        <v>0</v>
      </c>
      <c r="F119" s="81">
        <v>0</v>
      </c>
      <c r="G119" s="81">
        <v>0</v>
      </c>
      <c r="H119" s="81">
        <v>0</v>
      </c>
    </row>
    <row r="120" spans="1:8" x14ac:dyDescent="0.25">
      <c r="A120" t="s">
        <v>455</v>
      </c>
      <c r="B120" s="81">
        <v>0</v>
      </c>
      <c r="C120" s="81">
        <v>0</v>
      </c>
      <c r="D120" s="81">
        <v>0</v>
      </c>
      <c r="E120" s="81">
        <v>0</v>
      </c>
      <c r="F120" s="81">
        <v>0</v>
      </c>
      <c r="G120" s="81">
        <v>0</v>
      </c>
      <c r="H120" s="81">
        <v>0</v>
      </c>
    </row>
    <row r="121" spans="1:8" x14ac:dyDescent="0.25">
      <c r="A121" t="s">
        <v>173</v>
      </c>
      <c r="B121" s="81">
        <v>0</v>
      </c>
      <c r="C121" s="81">
        <v>0</v>
      </c>
      <c r="D121" s="81">
        <v>0</v>
      </c>
      <c r="E121" s="81">
        <v>0</v>
      </c>
      <c r="F121" s="81">
        <v>0</v>
      </c>
      <c r="G121" s="81">
        <v>0</v>
      </c>
      <c r="H121" s="81">
        <v>0</v>
      </c>
    </row>
    <row r="122" spans="1:8" x14ac:dyDescent="0.25">
      <c r="A122" t="s">
        <v>174</v>
      </c>
      <c r="B122" s="81">
        <v>0</v>
      </c>
      <c r="C122" s="81">
        <v>0</v>
      </c>
      <c r="D122" s="81">
        <v>0</v>
      </c>
      <c r="E122" s="81">
        <v>0</v>
      </c>
      <c r="F122" s="81">
        <v>0</v>
      </c>
      <c r="G122" s="81">
        <v>0</v>
      </c>
      <c r="H122" s="81">
        <v>0</v>
      </c>
    </row>
    <row r="123" spans="1:8" x14ac:dyDescent="0.25">
      <c r="A123" t="s">
        <v>175</v>
      </c>
      <c r="B123" s="81">
        <v>0</v>
      </c>
      <c r="C123" s="81">
        <v>0</v>
      </c>
      <c r="D123" s="81">
        <v>0</v>
      </c>
      <c r="E123" s="81">
        <v>0</v>
      </c>
      <c r="F123" s="81">
        <v>0</v>
      </c>
      <c r="G123" s="81">
        <v>0</v>
      </c>
      <c r="H123" s="81">
        <v>0</v>
      </c>
    </row>
    <row r="124" spans="1:8" x14ac:dyDescent="0.25">
      <c r="A124" t="s">
        <v>176</v>
      </c>
      <c r="B124" s="81">
        <v>0</v>
      </c>
      <c r="C124" s="81">
        <v>0</v>
      </c>
      <c r="D124" s="81">
        <v>0</v>
      </c>
      <c r="E124" s="81">
        <v>0</v>
      </c>
      <c r="F124" s="81">
        <v>0</v>
      </c>
      <c r="G124" s="81">
        <v>0</v>
      </c>
      <c r="H124" s="81">
        <v>0</v>
      </c>
    </row>
    <row r="125" spans="1:8" x14ac:dyDescent="0.25">
      <c r="A125" t="s">
        <v>456</v>
      </c>
      <c r="B125" s="81">
        <v>0</v>
      </c>
      <c r="C125" s="81">
        <v>0</v>
      </c>
      <c r="D125" s="81">
        <v>0</v>
      </c>
      <c r="E125" s="81">
        <v>0</v>
      </c>
      <c r="F125" s="81">
        <v>0</v>
      </c>
      <c r="G125" s="81">
        <v>0</v>
      </c>
      <c r="H125" s="81">
        <v>0</v>
      </c>
    </row>
    <row r="126" spans="1:8" x14ac:dyDescent="0.25">
      <c r="A126" t="s">
        <v>457</v>
      </c>
      <c r="B126" s="81">
        <v>0</v>
      </c>
      <c r="C126" s="81">
        <v>0</v>
      </c>
      <c r="D126" s="81">
        <v>0</v>
      </c>
      <c r="E126" s="81">
        <v>0</v>
      </c>
      <c r="F126" s="81">
        <v>0</v>
      </c>
      <c r="G126" s="81">
        <v>0</v>
      </c>
      <c r="H126" s="81">
        <v>0</v>
      </c>
    </row>
    <row r="127" spans="1:8" x14ac:dyDescent="0.25">
      <c r="A127" t="s">
        <v>458</v>
      </c>
      <c r="B127" s="81">
        <v>0</v>
      </c>
      <c r="C127" s="81">
        <v>0</v>
      </c>
      <c r="D127" s="81">
        <v>0</v>
      </c>
      <c r="E127" s="81">
        <v>0</v>
      </c>
      <c r="F127" s="81">
        <v>0</v>
      </c>
      <c r="G127" s="81">
        <v>0</v>
      </c>
      <c r="H127" s="81">
        <v>0</v>
      </c>
    </row>
    <row r="128" spans="1:8" x14ac:dyDescent="0.25">
      <c r="A128" t="s">
        <v>459</v>
      </c>
      <c r="B128" s="81">
        <v>0</v>
      </c>
      <c r="C128" s="81">
        <v>0</v>
      </c>
      <c r="D128" s="81">
        <v>0</v>
      </c>
      <c r="E128" s="81">
        <v>0</v>
      </c>
      <c r="F128" s="81">
        <v>0</v>
      </c>
      <c r="G128" s="81">
        <v>0</v>
      </c>
      <c r="H128" s="81">
        <v>0</v>
      </c>
    </row>
    <row r="129" spans="1:8" x14ac:dyDescent="0.25">
      <c r="A129" t="s">
        <v>464</v>
      </c>
      <c r="B129" s="81">
        <v>0</v>
      </c>
      <c r="C129" s="81">
        <v>0</v>
      </c>
      <c r="D129" s="81">
        <v>0</v>
      </c>
      <c r="E129" s="81">
        <v>0</v>
      </c>
      <c r="F129" s="81">
        <v>0</v>
      </c>
      <c r="G129" s="81">
        <v>0</v>
      </c>
      <c r="H129" s="81">
        <v>0</v>
      </c>
    </row>
    <row r="130" spans="1:8" x14ac:dyDescent="0.25">
      <c r="A130" t="s">
        <v>465</v>
      </c>
      <c r="B130" s="81">
        <v>0</v>
      </c>
      <c r="C130" s="81">
        <v>0</v>
      </c>
      <c r="D130" s="81">
        <v>0</v>
      </c>
      <c r="E130" s="81">
        <v>0</v>
      </c>
      <c r="F130" s="81">
        <v>0</v>
      </c>
      <c r="G130" s="81">
        <v>0</v>
      </c>
      <c r="H130" s="81">
        <v>0</v>
      </c>
    </row>
    <row r="131" spans="1:8" x14ac:dyDescent="0.25">
      <c r="A131" t="s">
        <v>466</v>
      </c>
      <c r="B131" s="81">
        <v>0</v>
      </c>
      <c r="C131" s="81">
        <v>0</v>
      </c>
      <c r="D131" s="81">
        <v>0</v>
      </c>
      <c r="E131" s="81">
        <v>0</v>
      </c>
      <c r="F131" s="81">
        <v>0</v>
      </c>
      <c r="G131" s="81">
        <v>0</v>
      </c>
      <c r="H131" s="81">
        <v>0</v>
      </c>
    </row>
    <row r="132" spans="1:8" x14ac:dyDescent="0.25">
      <c r="A132" t="s">
        <v>467</v>
      </c>
      <c r="B132" s="81">
        <v>0</v>
      </c>
      <c r="C132" s="81">
        <v>0</v>
      </c>
      <c r="D132" s="81">
        <v>0</v>
      </c>
      <c r="E132" s="81">
        <v>0</v>
      </c>
      <c r="F132" s="81">
        <v>0</v>
      </c>
      <c r="G132" s="81">
        <v>0</v>
      </c>
      <c r="H132" s="81">
        <v>0</v>
      </c>
    </row>
    <row r="133" spans="1:8" x14ac:dyDescent="0.25">
      <c r="A133" t="s">
        <v>484</v>
      </c>
      <c r="B133" s="81">
        <v>0</v>
      </c>
      <c r="C133" s="81">
        <v>0</v>
      </c>
      <c r="D133" s="81">
        <v>0</v>
      </c>
      <c r="E133" s="81">
        <v>0</v>
      </c>
      <c r="F133" s="81">
        <v>0</v>
      </c>
      <c r="G133" s="81">
        <v>0</v>
      </c>
      <c r="H133" s="81">
        <v>0</v>
      </c>
    </row>
    <row r="134" spans="1:8" x14ac:dyDescent="0.25">
      <c r="A134" t="s">
        <v>485</v>
      </c>
      <c r="B134" s="81">
        <v>0</v>
      </c>
      <c r="C134" s="81">
        <v>0</v>
      </c>
      <c r="D134" s="81">
        <v>0</v>
      </c>
      <c r="E134" s="81">
        <v>0</v>
      </c>
      <c r="F134" s="81">
        <v>0</v>
      </c>
      <c r="G134" s="81">
        <v>0</v>
      </c>
      <c r="H134" s="81">
        <v>0</v>
      </c>
    </row>
    <row r="135" spans="1:8" x14ac:dyDescent="0.25">
      <c r="A135" t="s">
        <v>486</v>
      </c>
      <c r="B135" s="81">
        <v>0</v>
      </c>
      <c r="C135" s="81">
        <v>0</v>
      </c>
      <c r="D135" s="81">
        <v>0</v>
      </c>
      <c r="E135" s="81">
        <v>0</v>
      </c>
      <c r="F135" s="81">
        <v>0</v>
      </c>
      <c r="G135" s="81">
        <v>0</v>
      </c>
      <c r="H135" s="81">
        <v>0</v>
      </c>
    </row>
    <row r="136" spans="1:8" x14ac:dyDescent="0.25">
      <c r="A136" t="s">
        <v>487</v>
      </c>
      <c r="B136" s="81">
        <v>0</v>
      </c>
      <c r="C136" s="81">
        <v>0</v>
      </c>
      <c r="D136" s="81">
        <v>0</v>
      </c>
      <c r="E136" s="81">
        <v>0</v>
      </c>
      <c r="F136" s="81">
        <v>0</v>
      </c>
      <c r="G136" s="81">
        <v>0</v>
      </c>
      <c r="H136" s="81">
        <v>0</v>
      </c>
    </row>
    <row r="137" spans="1:8" x14ac:dyDescent="0.25">
      <c r="A137" t="s">
        <v>177</v>
      </c>
      <c r="B137" s="81">
        <v>0</v>
      </c>
      <c r="C137" s="81">
        <v>0</v>
      </c>
      <c r="D137" s="81">
        <v>0</v>
      </c>
      <c r="E137" s="81">
        <v>0</v>
      </c>
      <c r="F137" s="81">
        <v>0</v>
      </c>
      <c r="G137" s="81">
        <v>0</v>
      </c>
      <c r="H137" s="81">
        <v>0</v>
      </c>
    </row>
    <row r="138" spans="1:8" x14ac:dyDescent="0.25">
      <c r="A138" t="s">
        <v>178</v>
      </c>
      <c r="B138" s="81">
        <v>0</v>
      </c>
      <c r="C138" s="81">
        <v>0</v>
      </c>
      <c r="D138" s="81">
        <v>0</v>
      </c>
      <c r="E138" s="81">
        <v>0</v>
      </c>
      <c r="F138" s="81">
        <v>0</v>
      </c>
      <c r="G138" s="81">
        <v>0</v>
      </c>
      <c r="H138" s="81">
        <v>0</v>
      </c>
    </row>
    <row r="139" spans="1:8" x14ac:dyDescent="0.25">
      <c r="A139" t="s">
        <v>179</v>
      </c>
      <c r="B139" s="81">
        <v>0</v>
      </c>
      <c r="C139" s="81">
        <v>0</v>
      </c>
      <c r="D139" s="81">
        <v>0</v>
      </c>
      <c r="E139" s="81">
        <v>0</v>
      </c>
      <c r="F139" s="81">
        <v>0</v>
      </c>
      <c r="G139" s="81">
        <v>0</v>
      </c>
      <c r="H139" s="81">
        <v>0</v>
      </c>
    </row>
    <row r="140" spans="1:8" x14ac:dyDescent="0.25">
      <c r="A140" t="s">
        <v>180</v>
      </c>
      <c r="B140" s="81">
        <v>0</v>
      </c>
      <c r="C140" s="81">
        <v>0</v>
      </c>
      <c r="D140" s="81">
        <v>0</v>
      </c>
      <c r="E140" s="81">
        <v>0</v>
      </c>
      <c r="F140" s="81">
        <v>0</v>
      </c>
      <c r="G140" s="81">
        <v>0</v>
      </c>
      <c r="H140" s="81">
        <v>0</v>
      </c>
    </row>
    <row r="141" spans="1:8" x14ac:dyDescent="0.25">
      <c r="A141" t="s">
        <v>181</v>
      </c>
      <c r="B141" s="81">
        <v>0</v>
      </c>
      <c r="C141" s="81">
        <v>0</v>
      </c>
      <c r="D141" s="81">
        <v>0</v>
      </c>
      <c r="E141" s="81">
        <v>0</v>
      </c>
      <c r="F141" s="81">
        <v>0</v>
      </c>
      <c r="G141" s="81">
        <v>0</v>
      </c>
      <c r="H141" s="81">
        <v>0</v>
      </c>
    </row>
    <row r="142" spans="1:8" x14ac:dyDescent="0.25">
      <c r="A142" t="s">
        <v>182</v>
      </c>
      <c r="B142" s="81">
        <v>0</v>
      </c>
      <c r="C142" s="81">
        <v>0</v>
      </c>
      <c r="D142" s="81">
        <v>0</v>
      </c>
      <c r="E142" s="81">
        <v>0</v>
      </c>
      <c r="F142" s="81">
        <v>0</v>
      </c>
      <c r="G142" s="81">
        <v>0</v>
      </c>
      <c r="H142" s="81">
        <v>0</v>
      </c>
    </row>
    <row r="143" spans="1:8" x14ac:dyDescent="0.25">
      <c r="A143" t="s">
        <v>183</v>
      </c>
      <c r="B143" s="81">
        <v>0</v>
      </c>
      <c r="C143" s="81">
        <v>0</v>
      </c>
      <c r="D143" s="81">
        <v>0</v>
      </c>
      <c r="E143" s="81">
        <v>0</v>
      </c>
      <c r="F143" s="81">
        <v>0</v>
      </c>
      <c r="G143" s="81">
        <v>0</v>
      </c>
      <c r="H143" s="81">
        <v>0</v>
      </c>
    </row>
    <row r="144" spans="1:8" x14ac:dyDescent="0.25">
      <c r="A144" t="s">
        <v>184</v>
      </c>
      <c r="B144" s="81">
        <v>0</v>
      </c>
      <c r="C144" s="81">
        <v>0</v>
      </c>
      <c r="D144" s="81">
        <v>0</v>
      </c>
      <c r="E144" s="81">
        <v>0</v>
      </c>
      <c r="F144" s="81">
        <v>0</v>
      </c>
      <c r="G144" s="81">
        <v>0</v>
      </c>
      <c r="H144" s="81">
        <v>0</v>
      </c>
    </row>
    <row r="145" spans="1:8" x14ac:dyDescent="0.25">
      <c r="A145" t="s">
        <v>185</v>
      </c>
      <c r="B145" s="81">
        <v>0</v>
      </c>
      <c r="C145" s="81">
        <v>0</v>
      </c>
      <c r="D145" s="81">
        <v>0</v>
      </c>
      <c r="E145" s="81">
        <v>0</v>
      </c>
      <c r="F145" s="81">
        <v>0</v>
      </c>
      <c r="G145" s="81">
        <v>0</v>
      </c>
      <c r="H145" s="81">
        <v>0</v>
      </c>
    </row>
    <row r="146" spans="1:8" x14ac:dyDescent="0.25">
      <c r="A146" t="s">
        <v>186</v>
      </c>
      <c r="B146" s="81">
        <v>0</v>
      </c>
      <c r="C146" s="81">
        <v>0</v>
      </c>
      <c r="D146" s="81">
        <v>0</v>
      </c>
      <c r="E146" s="81">
        <v>0</v>
      </c>
      <c r="F146" s="81">
        <v>0</v>
      </c>
      <c r="G146" s="81">
        <v>0</v>
      </c>
      <c r="H146" s="81">
        <v>0</v>
      </c>
    </row>
    <row r="147" spans="1:8" x14ac:dyDescent="0.25">
      <c r="A147" t="s">
        <v>187</v>
      </c>
      <c r="B147" s="81">
        <v>0</v>
      </c>
      <c r="C147" s="81">
        <v>0</v>
      </c>
      <c r="D147" s="81">
        <v>0</v>
      </c>
      <c r="E147" s="81">
        <v>0</v>
      </c>
      <c r="F147" s="81">
        <v>0</v>
      </c>
      <c r="G147" s="81">
        <v>0</v>
      </c>
      <c r="H147" s="81">
        <v>0</v>
      </c>
    </row>
    <row r="148" spans="1:8" x14ac:dyDescent="0.25">
      <c r="A148" t="s">
        <v>188</v>
      </c>
      <c r="B148" s="81">
        <v>0</v>
      </c>
      <c r="C148" s="81">
        <v>0</v>
      </c>
      <c r="D148" s="81">
        <v>0</v>
      </c>
      <c r="E148" s="81">
        <v>0</v>
      </c>
      <c r="F148" s="81">
        <v>0</v>
      </c>
      <c r="G148" s="81">
        <v>0</v>
      </c>
      <c r="H148" s="81">
        <v>0</v>
      </c>
    </row>
    <row r="149" spans="1:8" x14ac:dyDescent="0.25">
      <c r="A149" t="s">
        <v>189</v>
      </c>
      <c r="B149" s="81">
        <v>0</v>
      </c>
      <c r="C149" s="81">
        <v>0</v>
      </c>
      <c r="D149" s="81">
        <v>0</v>
      </c>
      <c r="E149" s="81">
        <v>0</v>
      </c>
      <c r="F149" s="81">
        <v>0</v>
      </c>
      <c r="G149" s="81">
        <v>0</v>
      </c>
      <c r="H149" s="81">
        <v>0</v>
      </c>
    </row>
    <row r="150" spans="1:8" x14ac:dyDescent="0.25">
      <c r="A150" t="s">
        <v>190</v>
      </c>
      <c r="B150" s="81">
        <v>0</v>
      </c>
      <c r="C150" s="81">
        <v>0</v>
      </c>
      <c r="D150" s="81">
        <v>0</v>
      </c>
      <c r="E150" s="81">
        <v>0</v>
      </c>
      <c r="F150" s="81">
        <v>0</v>
      </c>
      <c r="G150" s="81">
        <v>0</v>
      </c>
      <c r="H150" s="81">
        <v>0</v>
      </c>
    </row>
    <row r="151" spans="1:8" x14ac:dyDescent="0.25">
      <c r="A151" t="s">
        <v>191</v>
      </c>
      <c r="B151" s="81">
        <v>0</v>
      </c>
      <c r="C151" s="81">
        <v>0</v>
      </c>
      <c r="D151" s="81">
        <v>0</v>
      </c>
      <c r="E151" s="81">
        <v>0</v>
      </c>
      <c r="F151" s="81">
        <v>0</v>
      </c>
      <c r="G151" s="81">
        <v>0</v>
      </c>
      <c r="H151" s="81">
        <v>0</v>
      </c>
    </row>
    <row r="152" spans="1:8" x14ac:dyDescent="0.25">
      <c r="A152" t="s">
        <v>192</v>
      </c>
      <c r="B152" s="81">
        <v>0</v>
      </c>
      <c r="C152" s="81">
        <v>0</v>
      </c>
      <c r="D152" s="81">
        <v>0</v>
      </c>
      <c r="E152" s="81">
        <v>0</v>
      </c>
      <c r="F152" s="81">
        <v>0</v>
      </c>
      <c r="G152" s="81">
        <v>0</v>
      </c>
      <c r="H152" s="81">
        <v>0</v>
      </c>
    </row>
    <row r="153" spans="1:8" x14ac:dyDescent="0.25">
      <c r="A153" t="s">
        <v>193</v>
      </c>
      <c r="B153" s="81">
        <v>0</v>
      </c>
      <c r="C153" s="81">
        <v>0</v>
      </c>
      <c r="D153" s="81">
        <v>0</v>
      </c>
      <c r="E153" s="81">
        <v>0</v>
      </c>
      <c r="F153" s="81">
        <v>0</v>
      </c>
      <c r="G153" s="81">
        <v>0</v>
      </c>
      <c r="H153" s="81">
        <v>0</v>
      </c>
    </row>
    <row r="154" spans="1:8" x14ac:dyDescent="0.25">
      <c r="A154" t="s">
        <v>194</v>
      </c>
      <c r="B154" s="81">
        <v>0</v>
      </c>
      <c r="C154" s="81">
        <v>0</v>
      </c>
      <c r="D154" s="81">
        <v>0</v>
      </c>
      <c r="E154" s="81">
        <v>0</v>
      </c>
      <c r="F154" s="81">
        <v>0</v>
      </c>
      <c r="G154" s="81">
        <v>0</v>
      </c>
      <c r="H154" s="81">
        <v>0</v>
      </c>
    </row>
    <row r="155" spans="1:8" x14ac:dyDescent="0.25">
      <c r="A155" t="s">
        <v>195</v>
      </c>
      <c r="B155" s="81">
        <v>0</v>
      </c>
      <c r="C155" s="81">
        <v>0</v>
      </c>
      <c r="D155" s="81">
        <v>0</v>
      </c>
      <c r="E155" s="81">
        <v>0</v>
      </c>
      <c r="F155" s="81">
        <v>0</v>
      </c>
      <c r="G155" s="81">
        <v>0</v>
      </c>
      <c r="H155" s="81">
        <v>0</v>
      </c>
    </row>
    <row r="156" spans="1:8" x14ac:dyDescent="0.25">
      <c r="A156" t="s">
        <v>196</v>
      </c>
      <c r="B156" s="81">
        <v>0</v>
      </c>
      <c r="C156" s="81">
        <v>0</v>
      </c>
      <c r="D156" s="81">
        <v>0</v>
      </c>
      <c r="E156" s="81">
        <v>0</v>
      </c>
      <c r="F156" s="81">
        <v>0</v>
      </c>
      <c r="G156" s="81">
        <v>0</v>
      </c>
      <c r="H156" s="81">
        <v>0</v>
      </c>
    </row>
    <row r="157" spans="1:8" x14ac:dyDescent="0.25">
      <c r="A157" t="s">
        <v>197</v>
      </c>
      <c r="B157" s="81">
        <v>0</v>
      </c>
      <c r="C157" s="81">
        <v>0</v>
      </c>
      <c r="D157" s="81">
        <v>0</v>
      </c>
      <c r="E157" s="81">
        <v>0</v>
      </c>
      <c r="F157" s="81">
        <v>0</v>
      </c>
      <c r="G157" s="81">
        <v>0</v>
      </c>
      <c r="H157" s="81">
        <v>0</v>
      </c>
    </row>
    <row r="158" spans="1:8" x14ac:dyDescent="0.25">
      <c r="A158" t="s">
        <v>198</v>
      </c>
      <c r="B158" s="81">
        <v>0</v>
      </c>
      <c r="C158" s="81">
        <v>0</v>
      </c>
      <c r="D158" s="81">
        <v>0</v>
      </c>
      <c r="E158" s="81">
        <v>0</v>
      </c>
      <c r="F158" s="81">
        <v>0</v>
      </c>
      <c r="G158" s="81">
        <v>0</v>
      </c>
      <c r="H158" s="81">
        <v>0</v>
      </c>
    </row>
    <row r="159" spans="1:8" x14ac:dyDescent="0.25">
      <c r="A159" t="s">
        <v>199</v>
      </c>
      <c r="B159" s="81">
        <v>0</v>
      </c>
      <c r="C159" s="81">
        <v>0</v>
      </c>
      <c r="D159" s="81">
        <v>0</v>
      </c>
      <c r="E159" s="81">
        <v>0</v>
      </c>
      <c r="F159" s="81">
        <v>0</v>
      </c>
      <c r="G159" s="81">
        <v>0</v>
      </c>
      <c r="H159" s="81">
        <v>0</v>
      </c>
    </row>
    <row r="160" spans="1:8" x14ac:dyDescent="0.25">
      <c r="A160" t="s">
        <v>200</v>
      </c>
      <c r="B160" s="81">
        <v>0</v>
      </c>
      <c r="C160" s="81">
        <v>0</v>
      </c>
      <c r="D160" s="81">
        <v>0</v>
      </c>
      <c r="E160" s="81">
        <v>0</v>
      </c>
      <c r="F160" s="81">
        <v>0</v>
      </c>
      <c r="G160" s="81">
        <v>0</v>
      </c>
      <c r="H160" s="81">
        <v>0</v>
      </c>
    </row>
    <row r="161" spans="1:8" x14ac:dyDescent="0.25">
      <c r="A161" t="s">
        <v>201</v>
      </c>
      <c r="B161" s="81">
        <v>0</v>
      </c>
      <c r="C161" s="81">
        <v>0</v>
      </c>
      <c r="D161" s="81">
        <v>0</v>
      </c>
      <c r="E161" s="81">
        <v>0</v>
      </c>
      <c r="F161" s="81">
        <v>0</v>
      </c>
      <c r="G161" s="81">
        <v>0</v>
      </c>
      <c r="H161" s="81">
        <v>0</v>
      </c>
    </row>
    <row r="162" spans="1:8" x14ac:dyDescent="0.25">
      <c r="A162" t="s">
        <v>202</v>
      </c>
      <c r="B162" s="81">
        <v>0</v>
      </c>
      <c r="C162" s="81">
        <v>0</v>
      </c>
      <c r="D162" s="81">
        <v>0</v>
      </c>
      <c r="E162" s="81">
        <v>0</v>
      </c>
      <c r="F162" s="81">
        <v>0</v>
      </c>
      <c r="G162" s="81">
        <v>0</v>
      </c>
      <c r="H162" s="81">
        <v>0</v>
      </c>
    </row>
    <row r="163" spans="1:8" x14ac:dyDescent="0.25">
      <c r="A163" t="s">
        <v>203</v>
      </c>
      <c r="B163" s="81">
        <v>0</v>
      </c>
      <c r="C163" s="81">
        <v>0</v>
      </c>
      <c r="D163" s="81">
        <v>0</v>
      </c>
      <c r="E163" s="81">
        <v>0</v>
      </c>
      <c r="F163" s="81">
        <v>0</v>
      </c>
      <c r="G163" s="81">
        <v>0</v>
      </c>
      <c r="H163" s="81">
        <v>0</v>
      </c>
    </row>
    <row r="164" spans="1:8" x14ac:dyDescent="0.25">
      <c r="A164" t="s">
        <v>204</v>
      </c>
      <c r="B164" s="81">
        <v>0</v>
      </c>
      <c r="C164" s="81">
        <v>0</v>
      </c>
      <c r="D164" s="81">
        <v>0</v>
      </c>
      <c r="E164" s="81">
        <v>0</v>
      </c>
      <c r="F164" s="81">
        <v>0</v>
      </c>
      <c r="G164" s="81">
        <v>0</v>
      </c>
      <c r="H164" s="81">
        <v>0</v>
      </c>
    </row>
    <row r="165" spans="1:8" x14ac:dyDescent="0.25">
      <c r="A165" t="s">
        <v>205</v>
      </c>
      <c r="B165" s="81">
        <v>0</v>
      </c>
      <c r="C165" s="81">
        <v>0</v>
      </c>
      <c r="D165" s="81">
        <v>0</v>
      </c>
      <c r="E165" s="81">
        <v>0</v>
      </c>
      <c r="F165" s="81">
        <v>0</v>
      </c>
      <c r="G165" s="81">
        <v>0</v>
      </c>
      <c r="H165" s="81">
        <v>0</v>
      </c>
    </row>
    <row r="166" spans="1:8" x14ac:dyDescent="0.25">
      <c r="A166" t="s">
        <v>206</v>
      </c>
      <c r="B166" s="81">
        <v>0</v>
      </c>
      <c r="C166" s="81">
        <v>0</v>
      </c>
      <c r="D166" s="81">
        <v>0</v>
      </c>
      <c r="E166" s="81">
        <v>0</v>
      </c>
      <c r="F166" s="81">
        <v>0</v>
      </c>
      <c r="G166" s="81">
        <v>0</v>
      </c>
      <c r="H166" s="81">
        <v>0</v>
      </c>
    </row>
    <row r="167" spans="1:8" x14ac:dyDescent="0.25">
      <c r="A167" t="s">
        <v>207</v>
      </c>
      <c r="B167" s="81">
        <v>0</v>
      </c>
      <c r="C167" s="81">
        <v>0</v>
      </c>
      <c r="D167" s="81">
        <v>0</v>
      </c>
      <c r="E167" s="81">
        <v>0</v>
      </c>
      <c r="F167" s="81">
        <v>0</v>
      </c>
      <c r="G167" s="81">
        <v>0</v>
      </c>
      <c r="H167" s="81">
        <v>0</v>
      </c>
    </row>
    <row r="168" spans="1:8" x14ac:dyDescent="0.25">
      <c r="A168" t="s">
        <v>208</v>
      </c>
      <c r="B168" s="81">
        <v>0</v>
      </c>
      <c r="C168" s="81">
        <v>0</v>
      </c>
      <c r="D168" s="81">
        <v>0</v>
      </c>
      <c r="E168" s="81">
        <v>0</v>
      </c>
      <c r="F168" s="81">
        <v>0</v>
      </c>
      <c r="G168" s="81">
        <v>0</v>
      </c>
      <c r="H168" s="81">
        <v>0</v>
      </c>
    </row>
    <row r="169" spans="1:8" x14ac:dyDescent="0.25">
      <c r="A169" t="s">
        <v>209</v>
      </c>
      <c r="B169" s="81">
        <v>0</v>
      </c>
      <c r="C169" s="81">
        <v>0</v>
      </c>
      <c r="D169" s="81">
        <v>0</v>
      </c>
      <c r="E169" s="81">
        <v>0</v>
      </c>
      <c r="F169" s="81">
        <v>0</v>
      </c>
      <c r="G169" s="81">
        <v>0</v>
      </c>
      <c r="H169" s="81">
        <v>0</v>
      </c>
    </row>
    <row r="170" spans="1:8" x14ac:dyDescent="0.25">
      <c r="A170" t="s">
        <v>210</v>
      </c>
      <c r="B170" s="81">
        <v>0</v>
      </c>
      <c r="C170" s="81">
        <v>0</v>
      </c>
      <c r="D170" s="81">
        <v>0</v>
      </c>
      <c r="E170" s="81">
        <v>0</v>
      </c>
      <c r="F170" s="81">
        <v>0</v>
      </c>
      <c r="G170" s="81">
        <v>0</v>
      </c>
      <c r="H170" s="81">
        <v>0</v>
      </c>
    </row>
    <row r="171" spans="1:8" x14ac:dyDescent="0.25">
      <c r="A171" t="s">
        <v>211</v>
      </c>
      <c r="B171" s="81">
        <v>0</v>
      </c>
      <c r="C171" s="81">
        <v>0</v>
      </c>
      <c r="D171" s="81">
        <v>0</v>
      </c>
      <c r="E171" s="81">
        <v>0</v>
      </c>
      <c r="F171" s="81">
        <v>0</v>
      </c>
      <c r="G171" s="81">
        <v>0</v>
      </c>
      <c r="H171" s="81">
        <v>0</v>
      </c>
    </row>
    <row r="172" spans="1:8" x14ac:dyDescent="0.25">
      <c r="A172" t="s">
        <v>212</v>
      </c>
      <c r="B172" s="81">
        <v>0</v>
      </c>
      <c r="C172" s="81">
        <v>0</v>
      </c>
      <c r="D172" s="81">
        <v>0</v>
      </c>
      <c r="E172" s="81">
        <v>0</v>
      </c>
      <c r="F172" s="81">
        <v>0</v>
      </c>
      <c r="G172" s="81">
        <v>0</v>
      </c>
      <c r="H172" s="81">
        <v>0</v>
      </c>
    </row>
    <row r="173" spans="1:8" x14ac:dyDescent="0.25">
      <c r="A173" t="s">
        <v>213</v>
      </c>
      <c r="B173" s="81">
        <v>0</v>
      </c>
      <c r="C173" s="81">
        <v>0</v>
      </c>
      <c r="D173" s="81">
        <v>0</v>
      </c>
      <c r="E173" s="81">
        <v>0</v>
      </c>
      <c r="F173" s="81">
        <v>0</v>
      </c>
      <c r="G173" s="81">
        <v>0</v>
      </c>
      <c r="H173" s="81">
        <v>0</v>
      </c>
    </row>
    <row r="174" spans="1:8" x14ac:dyDescent="0.25">
      <c r="A174" t="s">
        <v>214</v>
      </c>
      <c r="B174" s="81">
        <v>0</v>
      </c>
      <c r="C174" s="81">
        <v>0</v>
      </c>
      <c r="D174" s="81">
        <v>0</v>
      </c>
      <c r="E174" s="81">
        <v>0</v>
      </c>
      <c r="F174" s="81">
        <v>0</v>
      </c>
      <c r="G174" s="81">
        <v>0</v>
      </c>
      <c r="H174" s="81">
        <v>0</v>
      </c>
    </row>
    <row r="175" spans="1:8" x14ac:dyDescent="0.25">
      <c r="A175" t="s">
        <v>215</v>
      </c>
      <c r="B175" s="81">
        <v>0</v>
      </c>
      <c r="C175" s="81">
        <v>0</v>
      </c>
      <c r="D175" s="81">
        <v>0</v>
      </c>
      <c r="E175" s="81">
        <v>0</v>
      </c>
      <c r="F175" s="81">
        <v>0</v>
      </c>
      <c r="G175" s="81">
        <v>0</v>
      </c>
      <c r="H175" s="81">
        <v>0</v>
      </c>
    </row>
    <row r="176" spans="1:8" x14ac:dyDescent="0.25">
      <c r="A176" t="s">
        <v>216</v>
      </c>
      <c r="B176" s="81">
        <v>0</v>
      </c>
      <c r="C176" s="81">
        <v>0</v>
      </c>
      <c r="D176" s="81">
        <v>0</v>
      </c>
      <c r="E176" s="81">
        <v>0</v>
      </c>
      <c r="F176" s="81">
        <v>0</v>
      </c>
      <c r="G176" s="81">
        <v>0</v>
      </c>
      <c r="H176" s="81">
        <v>0</v>
      </c>
    </row>
    <row r="177" spans="1:8" x14ac:dyDescent="0.25">
      <c r="A177" t="s">
        <v>217</v>
      </c>
      <c r="B177" s="81">
        <v>0</v>
      </c>
      <c r="C177" s="81">
        <v>0</v>
      </c>
      <c r="D177" s="81">
        <v>0</v>
      </c>
      <c r="E177" s="81">
        <v>0</v>
      </c>
      <c r="F177" s="81">
        <v>0</v>
      </c>
      <c r="G177" s="81">
        <v>0</v>
      </c>
      <c r="H177" s="81">
        <v>0</v>
      </c>
    </row>
    <row r="178" spans="1:8" x14ac:dyDescent="0.25">
      <c r="A178" t="s">
        <v>218</v>
      </c>
      <c r="B178" s="81">
        <v>0</v>
      </c>
      <c r="C178" s="81">
        <v>0</v>
      </c>
      <c r="D178" s="81">
        <v>0</v>
      </c>
      <c r="E178" s="81">
        <v>0</v>
      </c>
      <c r="F178" s="81">
        <v>0</v>
      </c>
      <c r="G178" s="81">
        <v>0</v>
      </c>
      <c r="H178" s="81">
        <v>0</v>
      </c>
    </row>
    <row r="179" spans="1:8" x14ac:dyDescent="0.25">
      <c r="A179" t="s">
        <v>219</v>
      </c>
      <c r="B179" s="81">
        <v>0</v>
      </c>
      <c r="C179" s="81">
        <v>0</v>
      </c>
      <c r="D179" s="81">
        <v>0</v>
      </c>
      <c r="E179" s="81">
        <v>0</v>
      </c>
      <c r="F179" s="81">
        <v>0</v>
      </c>
      <c r="G179" s="81">
        <v>0</v>
      </c>
      <c r="H179" s="81">
        <v>0</v>
      </c>
    </row>
    <row r="180" spans="1:8" x14ac:dyDescent="0.25">
      <c r="A180" t="s">
        <v>220</v>
      </c>
      <c r="B180" s="81">
        <v>0</v>
      </c>
      <c r="C180" s="81">
        <v>0</v>
      </c>
      <c r="D180" s="81">
        <v>0</v>
      </c>
      <c r="E180" s="81">
        <v>0</v>
      </c>
      <c r="F180" s="81">
        <v>0</v>
      </c>
      <c r="G180" s="81">
        <v>0</v>
      </c>
      <c r="H180" s="81">
        <v>0</v>
      </c>
    </row>
    <row r="181" spans="1:8" x14ac:dyDescent="0.25">
      <c r="A181" t="s">
        <v>221</v>
      </c>
      <c r="B181" s="81">
        <v>0</v>
      </c>
      <c r="C181" s="81">
        <v>0</v>
      </c>
      <c r="D181" s="81">
        <v>0</v>
      </c>
      <c r="E181" s="81">
        <v>0</v>
      </c>
      <c r="F181" s="81">
        <v>0</v>
      </c>
      <c r="G181" s="81">
        <v>0</v>
      </c>
      <c r="H181" s="81">
        <v>0</v>
      </c>
    </row>
    <row r="182" spans="1:8" x14ac:dyDescent="0.25">
      <c r="A182" t="s">
        <v>222</v>
      </c>
      <c r="B182" s="81">
        <v>0</v>
      </c>
      <c r="C182" s="81">
        <v>0</v>
      </c>
      <c r="D182" s="81">
        <v>0</v>
      </c>
      <c r="E182" s="81">
        <v>0</v>
      </c>
      <c r="F182" s="81">
        <v>0</v>
      </c>
      <c r="G182" s="81">
        <v>0</v>
      </c>
      <c r="H182" s="81">
        <v>0</v>
      </c>
    </row>
    <row r="183" spans="1:8" x14ac:dyDescent="0.25">
      <c r="A183" t="s">
        <v>223</v>
      </c>
      <c r="B183" s="81">
        <v>0</v>
      </c>
      <c r="C183" s="81">
        <v>0</v>
      </c>
      <c r="D183" s="81">
        <v>0</v>
      </c>
      <c r="E183" s="81">
        <v>0</v>
      </c>
      <c r="F183" s="81">
        <v>0</v>
      </c>
      <c r="G183" s="81">
        <v>0</v>
      </c>
      <c r="H183" s="81">
        <v>0</v>
      </c>
    </row>
    <row r="184" spans="1:8" x14ac:dyDescent="0.25">
      <c r="A184" t="s">
        <v>224</v>
      </c>
      <c r="B184" s="81">
        <v>0</v>
      </c>
      <c r="C184" s="81">
        <v>0</v>
      </c>
      <c r="D184" s="81">
        <v>0</v>
      </c>
      <c r="E184" s="81">
        <v>0</v>
      </c>
      <c r="F184" s="81">
        <v>0</v>
      </c>
      <c r="G184" s="81">
        <v>0</v>
      </c>
      <c r="H184" s="81">
        <v>0</v>
      </c>
    </row>
    <row r="185" spans="1:8" x14ac:dyDescent="0.25">
      <c r="A185" t="s">
        <v>225</v>
      </c>
      <c r="B185" s="81">
        <v>0</v>
      </c>
      <c r="C185" s="81">
        <v>0</v>
      </c>
      <c r="D185" s="81">
        <v>0</v>
      </c>
      <c r="E185" s="81">
        <v>0</v>
      </c>
      <c r="F185" s="81">
        <v>0</v>
      </c>
      <c r="G185" s="81">
        <v>0</v>
      </c>
      <c r="H185" s="81">
        <v>0</v>
      </c>
    </row>
    <row r="186" spans="1:8" x14ac:dyDescent="0.25">
      <c r="A186" t="s">
        <v>226</v>
      </c>
      <c r="B186" s="81">
        <v>0</v>
      </c>
      <c r="C186" s="81">
        <v>0</v>
      </c>
      <c r="D186" s="81">
        <v>0</v>
      </c>
      <c r="E186" s="81">
        <v>0</v>
      </c>
      <c r="F186" s="81">
        <v>0</v>
      </c>
      <c r="G186" s="81">
        <v>0</v>
      </c>
      <c r="H186" s="81">
        <v>0</v>
      </c>
    </row>
    <row r="187" spans="1:8" x14ac:dyDescent="0.25">
      <c r="A187" t="s">
        <v>227</v>
      </c>
      <c r="B187" s="81">
        <v>0</v>
      </c>
      <c r="C187" s="81">
        <v>0</v>
      </c>
      <c r="D187" s="81">
        <v>0</v>
      </c>
      <c r="E187" s="81">
        <v>0</v>
      </c>
      <c r="F187" s="81">
        <v>0</v>
      </c>
      <c r="G187" s="81">
        <v>0</v>
      </c>
      <c r="H187" s="81">
        <v>0</v>
      </c>
    </row>
    <row r="188" spans="1:8" x14ac:dyDescent="0.25">
      <c r="A188" t="s">
        <v>228</v>
      </c>
      <c r="B188" s="81">
        <v>0</v>
      </c>
      <c r="C188" s="81">
        <v>0</v>
      </c>
      <c r="D188" s="81">
        <v>0</v>
      </c>
      <c r="E188" s="81">
        <v>0</v>
      </c>
      <c r="F188" s="81">
        <v>0</v>
      </c>
      <c r="G188" s="81">
        <v>0</v>
      </c>
      <c r="H188" s="81">
        <v>0</v>
      </c>
    </row>
    <row r="189" spans="1:8" x14ac:dyDescent="0.25">
      <c r="A189" t="s">
        <v>229</v>
      </c>
      <c r="B189" s="81">
        <v>0</v>
      </c>
      <c r="C189" s="81">
        <v>0</v>
      </c>
      <c r="D189" s="81">
        <v>0</v>
      </c>
      <c r="E189" s="81">
        <v>0</v>
      </c>
      <c r="F189" s="81">
        <v>0</v>
      </c>
      <c r="G189" s="81">
        <v>0</v>
      </c>
      <c r="H189" s="81">
        <v>0</v>
      </c>
    </row>
    <row r="190" spans="1:8" x14ac:dyDescent="0.25">
      <c r="A190" t="s">
        <v>230</v>
      </c>
      <c r="B190" s="81">
        <v>0</v>
      </c>
      <c r="C190" s="81">
        <v>0</v>
      </c>
      <c r="D190" s="81">
        <v>0</v>
      </c>
      <c r="E190" s="81">
        <v>0</v>
      </c>
      <c r="F190" s="81">
        <v>0</v>
      </c>
      <c r="G190" s="81">
        <v>0</v>
      </c>
      <c r="H190" s="81">
        <v>0</v>
      </c>
    </row>
    <row r="191" spans="1:8" x14ac:dyDescent="0.25">
      <c r="A191" t="s">
        <v>231</v>
      </c>
      <c r="B191" s="81">
        <v>0</v>
      </c>
      <c r="C191" s="81">
        <v>0</v>
      </c>
      <c r="D191" s="81">
        <v>0</v>
      </c>
      <c r="E191" s="81">
        <v>0</v>
      </c>
      <c r="F191" s="81">
        <v>0</v>
      </c>
      <c r="G191" s="81">
        <v>0</v>
      </c>
      <c r="H191" s="81">
        <v>0</v>
      </c>
    </row>
    <row r="192" spans="1:8" x14ac:dyDescent="0.25">
      <c r="A192" t="s">
        <v>232</v>
      </c>
      <c r="B192" s="81">
        <v>0</v>
      </c>
      <c r="C192" s="81">
        <v>0</v>
      </c>
      <c r="D192" s="81">
        <v>0</v>
      </c>
      <c r="E192" s="81">
        <v>0</v>
      </c>
      <c r="F192" s="81">
        <v>0</v>
      </c>
      <c r="G192" s="81">
        <v>0</v>
      </c>
      <c r="H192" s="81">
        <v>0</v>
      </c>
    </row>
    <row r="193" spans="1:8" x14ac:dyDescent="0.25">
      <c r="A193" t="s">
        <v>233</v>
      </c>
      <c r="B193" s="81">
        <v>0</v>
      </c>
      <c r="C193" s="81">
        <v>0</v>
      </c>
      <c r="D193" s="81">
        <v>0</v>
      </c>
      <c r="E193" s="81">
        <v>0</v>
      </c>
      <c r="F193" s="81">
        <v>0</v>
      </c>
      <c r="G193" s="81">
        <v>0</v>
      </c>
      <c r="H193" s="81">
        <v>0</v>
      </c>
    </row>
    <row r="194" spans="1:8" x14ac:dyDescent="0.25">
      <c r="A194" t="s">
        <v>234</v>
      </c>
      <c r="B194" s="81">
        <v>0</v>
      </c>
      <c r="C194" s="81">
        <v>0</v>
      </c>
      <c r="D194" s="81">
        <v>0</v>
      </c>
      <c r="E194" s="81">
        <v>0</v>
      </c>
      <c r="F194" s="81">
        <v>0</v>
      </c>
      <c r="G194" s="81">
        <v>0</v>
      </c>
      <c r="H194" s="81">
        <v>0</v>
      </c>
    </row>
    <row r="195" spans="1:8" x14ac:dyDescent="0.25">
      <c r="A195" t="s">
        <v>235</v>
      </c>
      <c r="B195" s="81">
        <v>0</v>
      </c>
      <c r="C195" s="81">
        <v>0</v>
      </c>
      <c r="D195" s="81">
        <v>0</v>
      </c>
      <c r="E195" s="81">
        <v>0</v>
      </c>
      <c r="F195" s="81">
        <v>0</v>
      </c>
      <c r="G195" s="81">
        <v>0</v>
      </c>
      <c r="H195" s="81">
        <v>0</v>
      </c>
    </row>
    <row r="196" spans="1:8" x14ac:dyDescent="0.25">
      <c r="A196" t="s">
        <v>236</v>
      </c>
      <c r="B196" s="81">
        <v>0</v>
      </c>
      <c r="C196" s="81">
        <v>0</v>
      </c>
      <c r="D196" s="81">
        <v>0</v>
      </c>
      <c r="E196" s="81">
        <v>0</v>
      </c>
      <c r="F196" s="81">
        <v>0</v>
      </c>
      <c r="G196" s="81">
        <v>0</v>
      </c>
      <c r="H196" s="81">
        <v>0</v>
      </c>
    </row>
    <row r="197" spans="1:8" x14ac:dyDescent="0.25">
      <c r="A197" t="s">
        <v>237</v>
      </c>
      <c r="B197" s="81">
        <v>0</v>
      </c>
      <c r="C197" s="81">
        <v>0</v>
      </c>
      <c r="D197" s="81">
        <v>0</v>
      </c>
      <c r="E197" s="81">
        <v>0</v>
      </c>
      <c r="F197" s="81">
        <v>0</v>
      </c>
      <c r="G197" s="81">
        <v>0</v>
      </c>
      <c r="H197" s="81">
        <v>0</v>
      </c>
    </row>
    <row r="198" spans="1:8" x14ac:dyDescent="0.25">
      <c r="A198" t="s">
        <v>238</v>
      </c>
      <c r="B198" s="81">
        <v>0</v>
      </c>
      <c r="C198" s="81">
        <v>0</v>
      </c>
      <c r="D198" s="81">
        <v>0</v>
      </c>
      <c r="E198" s="81">
        <v>0</v>
      </c>
      <c r="F198" s="81">
        <v>0</v>
      </c>
      <c r="G198" s="81">
        <v>0</v>
      </c>
      <c r="H198" s="81">
        <v>0</v>
      </c>
    </row>
    <row r="199" spans="1:8" x14ac:dyDescent="0.25">
      <c r="A199" t="s">
        <v>239</v>
      </c>
      <c r="B199" s="81">
        <v>0</v>
      </c>
      <c r="C199" s="81">
        <v>0</v>
      </c>
      <c r="D199" s="81">
        <v>0</v>
      </c>
      <c r="E199" s="81">
        <v>0</v>
      </c>
      <c r="F199" s="81">
        <v>0</v>
      </c>
      <c r="G199" s="81">
        <v>0</v>
      </c>
      <c r="H199" s="81">
        <v>0</v>
      </c>
    </row>
    <row r="200" spans="1:8" x14ac:dyDescent="0.25">
      <c r="A200" t="s">
        <v>240</v>
      </c>
      <c r="B200" s="81">
        <v>0</v>
      </c>
      <c r="C200" s="81">
        <v>0</v>
      </c>
      <c r="D200" s="81">
        <v>0</v>
      </c>
      <c r="E200" s="81">
        <v>0</v>
      </c>
      <c r="F200" s="81">
        <v>0</v>
      </c>
      <c r="G200" s="81">
        <v>0</v>
      </c>
      <c r="H200" s="81">
        <v>0</v>
      </c>
    </row>
    <row r="201" spans="1:8" x14ac:dyDescent="0.25">
      <c r="A201" t="s">
        <v>241</v>
      </c>
      <c r="B201" s="81">
        <v>0</v>
      </c>
      <c r="C201" s="81">
        <v>0</v>
      </c>
      <c r="D201" s="81">
        <v>0</v>
      </c>
      <c r="E201" s="81">
        <v>0</v>
      </c>
      <c r="F201" s="81">
        <v>0</v>
      </c>
      <c r="G201" s="81">
        <v>0</v>
      </c>
      <c r="H201" s="81">
        <v>0</v>
      </c>
    </row>
    <row r="202" spans="1:8" x14ac:dyDescent="0.25">
      <c r="A202" t="s">
        <v>242</v>
      </c>
      <c r="B202" s="81">
        <v>0</v>
      </c>
      <c r="C202" s="81">
        <v>0</v>
      </c>
      <c r="D202" s="81">
        <v>0</v>
      </c>
      <c r="E202" s="81">
        <v>0</v>
      </c>
      <c r="F202" s="81">
        <v>0</v>
      </c>
      <c r="G202" s="81">
        <v>0</v>
      </c>
      <c r="H202" s="81">
        <v>0</v>
      </c>
    </row>
    <row r="203" spans="1:8" x14ac:dyDescent="0.25">
      <c r="A203" t="s">
        <v>243</v>
      </c>
      <c r="B203" s="81">
        <v>0</v>
      </c>
      <c r="C203" s="81">
        <v>0</v>
      </c>
      <c r="D203" s="81">
        <v>0</v>
      </c>
      <c r="E203" s="81">
        <v>0</v>
      </c>
      <c r="F203" s="81">
        <v>0</v>
      </c>
      <c r="G203" s="81">
        <v>0</v>
      </c>
      <c r="H203" s="81">
        <v>0</v>
      </c>
    </row>
    <row r="204" spans="1:8" x14ac:dyDescent="0.25">
      <c r="A204" t="s">
        <v>244</v>
      </c>
      <c r="B204" s="81">
        <v>0</v>
      </c>
      <c r="C204" s="81">
        <v>0</v>
      </c>
      <c r="D204" s="81">
        <v>0</v>
      </c>
      <c r="E204" s="81">
        <v>0</v>
      </c>
      <c r="F204" s="81">
        <v>0</v>
      </c>
      <c r="G204" s="81">
        <v>0</v>
      </c>
      <c r="H204" s="81">
        <v>0</v>
      </c>
    </row>
    <row r="205" spans="1:8" x14ac:dyDescent="0.25">
      <c r="A205" t="s">
        <v>245</v>
      </c>
      <c r="B205" s="81">
        <v>0</v>
      </c>
      <c r="C205" s="81">
        <v>0</v>
      </c>
      <c r="D205" s="81">
        <v>0</v>
      </c>
      <c r="E205" s="81">
        <v>0</v>
      </c>
      <c r="F205" s="81">
        <v>0</v>
      </c>
      <c r="G205" s="81">
        <v>0</v>
      </c>
      <c r="H205" s="81">
        <v>0</v>
      </c>
    </row>
    <row r="206" spans="1:8" x14ac:dyDescent="0.25">
      <c r="A206" t="s">
        <v>246</v>
      </c>
      <c r="B206" s="81">
        <v>0</v>
      </c>
      <c r="C206" s="81">
        <v>0</v>
      </c>
      <c r="D206" s="81">
        <v>0</v>
      </c>
      <c r="E206" s="81">
        <v>0</v>
      </c>
      <c r="F206" s="81">
        <v>0</v>
      </c>
      <c r="G206" s="81">
        <v>0</v>
      </c>
      <c r="H206" s="81">
        <v>0</v>
      </c>
    </row>
    <row r="207" spans="1:8" x14ac:dyDescent="0.25">
      <c r="A207" t="s">
        <v>247</v>
      </c>
      <c r="B207" s="81">
        <v>0</v>
      </c>
      <c r="C207" s="81">
        <v>0</v>
      </c>
      <c r="D207" s="81">
        <v>0</v>
      </c>
      <c r="E207" s="81">
        <v>0</v>
      </c>
      <c r="F207" s="81">
        <v>0</v>
      </c>
      <c r="G207" s="81">
        <v>0</v>
      </c>
      <c r="H207" s="81">
        <v>0</v>
      </c>
    </row>
    <row r="208" spans="1:8" x14ac:dyDescent="0.25">
      <c r="A208" t="s">
        <v>248</v>
      </c>
      <c r="B208" s="81">
        <v>0</v>
      </c>
      <c r="C208" s="81">
        <v>0</v>
      </c>
      <c r="D208" s="81">
        <v>0</v>
      </c>
      <c r="E208" s="81">
        <v>0</v>
      </c>
      <c r="F208" s="81">
        <v>0</v>
      </c>
      <c r="G208" s="81">
        <v>0</v>
      </c>
      <c r="H208" s="81">
        <v>0</v>
      </c>
    </row>
    <row r="209" spans="1:8" x14ac:dyDescent="0.25">
      <c r="A209" t="s">
        <v>249</v>
      </c>
      <c r="B209" s="81">
        <v>0</v>
      </c>
      <c r="C209" s="81">
        <v>0</v>
      </c>
      <c r="D209" s="81">
        <v>0</v>
      </c>
      <c r="E209" s="81">
        <v>0</v>
      </c>
      <c r="F209" s="81">
        <v>0</v>
      </c>
      <c r="G209" s="81">
        <v>0</v>
      </c>
      <c r="H209" s="81">
        <v>0</v>
      </c>
    </row>
    <row r="210" spans="1:8" x14ac:dyDescent="0.25">
      <c r="A210" t="s">
        <v>250</v>
      </c>
      <c r="B210" s="81">
        <v>0</v>
      </c>
      <c r="C210" s="81">
        <v>0</v>
      </c>
      <c r="D210" s="81">
        <v>0</v>
      </c>
      <c r="E210" s="81">
        <v>0</v>
      </c>
      <c r="F210" s="81">
        <v>0</v>
      </c>
      <c r="G210" s="81">
        <v>0</v>
      </c>
      <c r="H210" s="81">
        <v>0</v>
      </c>
    </row>
    <row r="211" spans="1:8" x14ac:dyDescent="0.25">
      <c r="A211" t="s">
        <v>251</v>
      </c>
      <c r="B211" s="81">
        <v>0</v>
      </c>
      <c r="C211" s="81">
        <v>0</v>
      </c>
      <c r="D211" s="81">
        <v>0</v>
      </c>
      <c r="E211" s="81">
        <v>0</v>
      </c>
      <c r="F211" s="81">
        <v>0</v>
      </c>
      <c r="G211" s="81">
        <v>0</v>
      </c>
      <c r="H211" s="81">
        <v>0</v>
      </c>
    </row>
    <row r="212" spans="1:8" x14ac:dyDescent="0.25">
      <c r="A212" t="s">
        <v>252</v>
      </c>
      <c r="B212" s="81">
        <v>0</v>
      </c>
      <c r="C212" s="81">
        <v>0</v>
      </c>
      <c r="D212" s="81">
        <v>0</v>
      </c>
      <c r="E212" s="81">
        <v>0</v>
      </c>
      <c r="F212" s="81">
        <v>0</v>
      </c>
      <c r="G212" s="81">
        <v>0</v>
      </c>
      <c r="H212" s="81">
        <v>0</v>
      </c>
    </row>
    <row r="213" spans="1:8" x14ac:dyDescent="0.25">
      <c r="A213" t="s">
        <v>448</v>
      </c>
      <c r="B213" s="81">
        <v>0</v>
      </c>
      <c r="C213" s="81">
        <v>0</v>
      </c>
      <c r="D213" s="81">
        <v>0</v>
      </c>
      <c r="E213" s="81">
        <v>0</v>
      </c>
      <c r="F213" s="81">
        <v>0</v>
      </c>
      <c r="G213" s="81">
        <v>0</v>
      </c>
      <c r="H213" s="81">
        <v>0</v>
      </c>
    </row>
    <row r="214" spans="1:8" x14ac:dyDescent="0.25">
      <c r="A214" t="s">
        <v>449</v>
      </c>
      <c r="B214" s="81">
        <v>0</v>
      </c>
      <c r="C214" s="81">
        <v>0</v>
      </c>
      <c r="D214" s="81">
        <v>0</v>
      </c>
      <c r="E214" s="81">
        <v>0</v>
      </c>
      <c r="F214" s="81">
        <v>0</v>
      </c>
      <c r="G214" s="81">
        <v>0</v>
      </c>
      <c r="H214" s="81">
        <v>0</v>
      </c>
    </row>
    <row r="215" spans="1:8" x14ac:dyDescent="0.25">
      <c r="A215" t="s">
        <v>450</v>
      </c>
      <c r="B215" s="81">
        <v>0</v>
      </c>
      <c r="C215" s="81">
        <v>0</v>
      </c>
      <c r="D215" s="81">
        <v>0</v>
      </c>
      <c r="E215" s="81">
        <v>0</v>
      </c>
      <c r="F215" s="81">
        <v>0</v>
      </c>
      <c r="G215" s="81">
        <v>0</v>
      </c>
      <c r="H215" s="81">
        <v>0</v>
      </c>
    </row>
    <row r="216" spans="1:8" x14ac:dyDescent="0.25">
      <c r="A216" t="s">
        <v>451</v>
      </c>
      <c r="B216" s="81">
        <v>0</v>
      </c>
      <c r="C216" s="81">
        <v>0</v>
      </c>
      <c r="D216" s="81">
        <v>0</v>
      </c>
      <c r="E216" s="81">
        <v>0</v>
      </c>
      <c r="F216" s="81">
        <v>0</v>
      </c>
      <c r="G216" s="81">
        <v>0</v>
      </c>
      <c r="H216" s="81">
        <v>0</v>
      </c>
    </row>
    <row r="217" spans="1:8" x14ac:dyDescent="0.25">
      <c r="A217" t="s">
        <v>253</v>
      </c>
      <c r="B217" s="81">
        <v>0</v>
      </c>
      <c r="C217" s="81">
        <v>0</v>
      </c>
      <c r="D217" s="81">
        <v>0</v>
      </c>
      <c r="E217" s="81">
        <v>0</v>
      </c>
      <c r="F217" s="81">
        <v>0</v>
      </c>
      <c r="G217" s="81">
        <v>0</v>
      </c>
      <c r="H217" s="81">
        <v>0</v>
      </c>
    </row>
    <row r="218" spans="1:8" x14ac:dyDescent="0.25">
      <c r="A218" t="s">
        <v>254</v>
      </c>
      <c r="B218" s="81">
        <v>0</v>
      </c>
      <c r="C218" s="81">
        <v>0</v>
      </c>
      <c r="D218" s="81">
        <v>0</v>
      </c>
      <c r="E218" s="81">
        <v>0</v>
      </c>
      <c r="F218" s="81">
        <v>0</v>
      </c>
      <c r="G218" s="81">
        <v>0</v>
      </c>
      <c r="H218" s="81">
        <v>0</v>
      </c>
    </row>
    <row r="219" spans="1:8" x14ac:dyDescent="0.25">
      <c r="A219" t="s">
        <v>255</v>
      </c>
      <c r="B219" s="81">
        <v>0</v>
      </c>
      <c r="C219" s="81">
        <v>0</v>
      </c>
      <c r="D219" s="81">
        <v>0</v>
      </c>
      <c r="E219" s="81">
        <v>0</v>
      </c>
      <c r="F219" s="81">
        <v>0</v>
      </c>
      <c r="G219" s="81">
        <v>0</v>
      </c>
      <c r="H219" s="81">
        <v>0</v>
      </c>
    </row>
    <row r="220" spans="1:8" x14ac:dyDescent="0.25">
      <c r="A220" t="s">
        <v>256</v>
      </c>
      <c r="B220" s="81">
        <v>0</v>
      </c>
      <c r="C220" s="81">
        <v>0</v>
      </c>
      <c r="D220" s="81">
        <v>0</v>
      </c>
      <c r="E220" s="81">
        <v>0</v>
      </c>
      <c r="F220" s="81">
        <v>0</v>
      </c>
      <c r="G220" s="81">
        <v>0</v>
      </c>
      <c r="H220" s="81">
        <v>0</v>
      </c>
    </row>
    <row r="221" spans="1:8" x14ac:dyDescent="0.25">
      <c r="A221" t="s">
        <v>476</v>
      </c>
      <c r="B221" s="81">
        <v>0</v>
      </c>
      <c r="C221" s="81">
        <v>0</v>
      </c>
      <c r="D221" s="81">
        <v>0</v>
      </c>
      <c r="E221" s="81">
        <v>0</v>
      </c>
      <c r="F221" s="81">
        <v>0</v>
      </c>
      <c r="G221" s="81">
        <v>0</v>
      </c>
      <c r="H221" s="81">
        <v>0</v>
      </c>
    </row>
    <row r="222" spans="1:8" x14ac:dyDescent="0.25">
      <c r="A222" t="s">
        <v>477</v>
      </c>
      <c r="B222" s="81">
        <v>0</v>
      </c>
      <c r="C222" s="81">
        <v>0</v>
      </c>
      <c r="D222" s="81">
        <v>0</v>
      </c>
      <c r="E222" s="81">
        <v>0</v>
      </c>
      <c r="F222" s="81">
        <v>0</v>
      </c>
      <c r="G222" s="81">
        <v>0</v>
      </c>
      <c r="H222" s="81">
        <v>0</v>
      </c>
    </row>
    <row r="223" spans="1:8" x14ac:dyDescent="0.25">
      <c r="A223" t="s">
        <v>478</v>
      </c>
      <c r="B223" s="81">
        <v>0</v>
      </c>
      <c r="C223" s="81">
        <v>0</v>
      </c>
      <c r="D223" s="81">
        <v>0</v>
      </c>
      <c r="E223" s="81">
        <v>0</v>
      </c>
      <c r="F223" s="81">
        <v>0</v>
      </c>
      <c r="G223" s="81">
        <v>0</v>
      </c>
      <c r="H223" s="81">
        <v>0</v>
      </c>
    </row>
    <row r="224" spans="1:8" x14ac:dyDescent="0.25">
      <c r="A224" t="s">
        <v>479</v>
      </c>
      <c r="B224" s="81">
        <v>0</v>
      </c>
      <c r="C224" s="81">
        <v>0</v>
      </c>
      <c r="D224" s="81">
        <v>0</v>
      </c>
      <c r="E224" s="81">
        <v>0</v>
      </c>
      <c r="F224" s="81">
        <v>0</v>
      </c>
      <c r="G224" s="81">
        <v>0</v>
      </c>
      <c r="H224" s="81">
        <v>0</v>
      </c>
    </row>
    <row r="225" spans="1:8" x14ac:dyDescent="0.25">
      <c r="A225" t="s">
        <v>257</v>
      </c>
      <c r="B225" s="81">
        <v>0</v>
      </c>
      <c r="C225" s="81">
        <v>0</v>
      </c>
      <c r="D225" s="81">
        <v>0</v>
      </c>
      <c r="E225" s="81">
        <v>0</v>
      </c>
      <c r="F225" s="81">
        <v>0</v>
      </c>
      <c r="G225" s="81">
        <v>0</v>
      </c>
      <c r="H225" s="81">
        <v>0</v>
      </c>
    </row>
    <row r="226" spans="1:8" x14ac:dyDescent="0.25">
      <c r="A226" t="s">
        <v>258</v>
      </c>
      <c r="B226" s="81">
        <v>0</v>
      </c>
      <c r="C226" s="81">
        <v>0</v>
      </c>
      <c r="D226" s="81">
        <v>0</v>
      </c>
      <c r="E226" s="81">
        <v>0</v>
      </c>
      <c r="F226" s="81">
        <v>0</v>
      </c>
      <c r="G226" s="81">
        <v>0</v>
      </c>
      <c r="H226" s="81">
        <v>0</v>
      </c>
    </row>
    <row r="227" spans="1:8" x14ac:dyDescent="0.25">
      <c r="A227" t="s">
        <v>259</v>
      </c>
      <c r="B227" s="81">
        <v>0</v>
      </c>
      <c r="C227" s="81">
        <v>0</v>
      </c>
      <c r="D227" s="81">
        <v>0</v>
      </c>
      <c r="E227" s="81">
        <v>0</v>
      </c>
      <c r="F227" s="81">
        <v>0</v>
      </c>
      <c r="G227" s="81">
        <v>0</v>
      </c>
      <c r="H227" s="81">
        <v>0</v>
      </c>
    </row>
    <row r="228" spans="1:8" x14ac:dyDescent="0.25">
      <c r="A228" t="s">
        <v>260</v>
      </c>
      <c r="B228" s="81">
        <v>0</v>
      </c>
      <c r="C228" s="81">
        <v>0</v>
      </c>
      <c r="D228" s="81">
        <v>0</v>
      </c>
      <c r="E228" s="81">
        <v>0</v>
      </c>
      <c r="F228" s="81">
        <v>0</v>
      </c>
      <c r="G228" s="81">
        <v>0</v>
      </c>
      <c r="H228" s="81">
        <v>0</v>
      </c>
    </row>
    <row r="229" spans="1:8" x14ac:dyDescent="0.25">
      <c r="A229" t="s">
        <v>480</v>
      </c>
      <c r="B229" s="81">
        <v>0</v>
      </c>
      <c r="C229" s="81">
        <v>0</v>
      </c>
      <c r="D229" s="81">
        <v>0</v>
      </c>
      <c r="E229" s="81">
        <v>0</v>
      </c>
      <c r="F229" s="81">
        <v>0</v>
      </c>
      <c r="G229" s="81">
        <v>0</v>
      </c>
      <c r="H229" s="81">
        <v>0</v>
      </c>
    </row>
    <row r="230" spans="1:8" x14ac:dyDescent="0.25">
      <c r="A230" t="s">
        <v>481</v>
      </c>
      <c r="B230" s="81">
        <v>0</v>
      </c>
      <c r="C230" s="81">
        <v>0</v>
      </c>
      <c r="D230" s="81">
        <v>0</v>
      </c>
      <c r="E230" s="81">
        <v>0</v>
      </c>
      <c r="F230" s="81">
        <v>0</v>
      </c>
      <c r="G230" s="81">
        <v>0</v>
      </c>
      <c r="H230" s="81">
        <v>0</v>
      </c>
    </row>
    <row r="231" spans="1:8" x14ac:dyDescent="0.25">
      <c r="A231" t="s">
        <v>482</v>
      </c>
      <c r="B231" s="81">
        <v>0</v>
      </c>
      <c r="C231" s="81">
        <v>0</v>
      </c>
      <c r="D231" s="81">
        <v>0</v>
      </c>
      <c r="E231" s="81">
        <v>0</v>
      </c>
      <c r="F231" s="81">
        <v>0</v>
      </c>
      <c r="G231" s="81">
        <v>0</v>
      </c>
      <c r="H231" s="81">
        <v>0</v>
      </c>
    </row>
    <row r="232" spans="1:8" x14ac:dyDescent="0.25">
      <c r="A232" t="s">
        <v>483</v>
      </c>
      <c r="B232" s="81">
        <v>0</v>
      </c>
      <c r="C232" s="81">
        <v>0</v>
      </c>
      <c r="D232" s="81">
        <v>0</v>
      </c>
      <c r="E232" s="81">
        <v>0</v>
      </c>
      <c r="F232" s="81">
        <v>0</v>
      </c>
      <c r="G232" s="81">
        <v>0</v>
      </c>
      <c r="H232" s="81">
        <v>0</v>
      </c>
    </row>
    <row r="233" spans="1:8" x14ac:dyDescent="0.25">
      <c r="A233" t="s">
        <v>468</v>
      </c>
      <c r="B233" s="81">
        <v>0</v>
      </c>
      <c r="C233" s="81">
        <v>0</v>
      </c>
      <c r="D233" s="81">
        <v>0</v>
      </c>
      <c r="E233" s="81">
        <v>0</v>
      </c>
      <c r="F233" s="81">
        <v>0</v>
      </c>
      <c r="G233" s="81">
        <v>0</v>
      </c>
      <c r="H233" s="81">
        <v>0</v>
      </c>
    </row>
    <row r="234" spans="1:8" x14ac:dyDescent="0.25">
      <c r="A234" t="s">
        <v>469</v>
      </c>
      <c r="B234" s="81">
        <v>0</v>
      </c>
      <c r="C234" s="81">
        <v>0</v>
      </c>
      <c r="D234" s="81">
        <v>0</v>
      </c>
      <c r="E234" s="81">
        <v>0</v>
      </c>
      <c r="F234" s="81">
        <v>0</v>
      </c>
      <c r="G234" s="81">
        <v>0</v>
      </c>
      <c r="H234" s="81">
        <v>0</v>
      </c>
    </row>
    <row r="235" spans="1:8" x14ac:dyDescent="0.25">
      <c r="A235" t="s">
        <v>470</v>
      </c>
      <c r="B235" s="81">
        <v>0</v>
      </c>
      <c r="C235" s="81">
        <v>0</v>
      </c>
      <c r="D235" s="81">
        <v>0</v>
      </c>
      <c r="E235" s="81">
        <v>0</v>
      </c>
      <c r="F235" s="81">
        <v>0</v>
      </c>
      <c r="G235" s="81">
        <v>0</v>
      </c>
      <c r="H235" s="81">
        <v>0</v>
      </c>
    </row>
    <row r="236" spans="1:8" x14ac:dyDescent="0.25">
      <c r="A236" t="s">
        <v>471</v>
      </c>
      <c r="B236" s="81">
        <v>0</v>
      </c>
      <c r="C236" s="81">
        <v>0</v>
      </c>
      <c r="D236" s="81">
        <v>0</v>
      </c>
      <c r="E236" s="81">
        <v>0</v>
      </c>
      <c r="F236" s="81">
        <v>0</v>
      </c>
      <c r="G236" s="81">
        <v>0</v>
      </c>
      <c r="H236" s="81">
        <v>0</v>
      </c>
    </row>
    <row r="237" spans="1:8" x14ac:dyDescent="0.25">
      <c r="A237" t="s">
        <v>488</v>
      </c>
      <c r="B237" s="81">
        <v>0</v>
      </c>
      <c r="C237" s="81">
        <v>0</v>
      </c>
      <c r="D237" s="81">
        <v>0</v>
      </c>
      <c r="E237" s="81">
        <v>0</v>
      </c>
      <c r="F237" s="81">
        <v>0</v>
      </c>
      <c r="G237" s="81">
        <v>0</v>
      </c>
      <c r="H237" s="81">
        <v>0</v>
      </c>
    </row>
    <row r="238" spans="1:8" x14ac:dyDescent="0.25">
      <c r="A238" t="s">
        <v>489</v>
      </c>
      <c r="B238" s="81">
        <v>0</v>
      </c>
      <c r="C238" s="81">
        <v>0</v>
      </c>
      <c r="D238" s="81">
        <v>0</v>
      </c>
      <c r="E238" s="81">
        <v>0</v>
      </c>
      <c r="F238" s="81">
        <v>0</v>
      </c>
      <c r="G238" s="81">
        <v>0</v>
      </c>
      <c r="H238" s="81">
        <v>0</v>
      </c>
    </row>
    <row r="239" spans="1:8" x14ac:dyDescent="0.25">
      <c r="A239" t="s">
        <v>490</v>
      </c>
      <c r="B239" s="81">
        <v>0</v>
      </c>
      <c r="C239" s="81">
        <v>0</v>
      </c>
      <c r="D239" s="81">
        <v>0</v>
      </c>
      <c r="E239" s="81">
        <v>0</v>
      </c>
      <c r="F239" s="81">
        <v>0</v>
      </c>
      <c r="G239" s="81">
        <v>0</v>
      </c>
      <c r="H239" s="81">
        <v>0</v>
      </c>
    </row>
    <row r="240" spans="1:8" x14ac:dyDescent="0.25">
      <c r="A240" t="s">
        <v>491</v>
      </c>
      <c r="B240" s="81">
        <v>0</v>
      </c>
      <c r="C240" s="81">
        <v>0</v>
      </c>
      <c r="D240" s="81">
        <v>0</v>
      </c>
      <c r="E240" s="81">
        <v>0</v>
      </c>
      <c r="F240" s="81">
        <v>0</v>
      </c>
      <c r="G240" s="81">
        <v>0</v>
      </c>
      <c r="H240" s="81">
        <v>0</v>
      </c>
    </row>
    <row r="241" spans="1:8" x14ac:dyDescent="0.25">
      <c r="A241" t="s">
        <v>261</v>
      </c>
      <c r="B241" s="81">
        <v>0</v>
      </c>
      <c r="C241" s="81">
        <v>0</v>
      </c>
      <c r="D241" s="81">
        <v>0</v>
      </c>
      <c r="E241" s="81">
        <v>0</v>
      </c>
      <c r="F241" s="81">
        <v>0</v>
      </c>
      <c r="G241" s="81">
        <v>0</v>
      </c>
      <c r="H241" s="81">
        <v>0</v>
      </c>
    </row>
    <row r="242" spans="1:8" x14ac:dyDescent="0.25">
      <c r="A242" t="s">
        <v>262</v>
      </c>
      <c r="B242" s="81">
        <v>0</v>
      </c>
      <c r="C242" s="81">
        <v>0</v>
      </c>
      <c r="D242" s="81">
        <v>0</v>
      </c>
      <c r="E242" s="81">
        <v>0</v>
      </c>
      <c r="F242" s="81">
        <v>0</v>
      </c>
      <c r="G242" s="81">
        <v>0</v>
      </c>
      <c r="H242" s="81">
        <v>0</v>
      </c>
    </row>
    <row r="243" spans="1:8" x14ac:dyDescent="0.25">
      <c r="A243" t="s">
        <v>263</v>
      </c>
      <c r="B243" s="81">
        <v>0</v>
      </c>
      <c r="C243" s="81">
        <v>0</v>
      </c>
      <c r="D243" s="81">
        <v>0</v>
      </c>
      <c r="E243" s="81">
        <v>0</v>
      </c>
      <c r="F243" s="81">
        <v>0</v>
      </c>
      <c r="G243" s="81">
        <v>0</v>
      </c>
      <c r="H243" s="81">
        <v>0</v>
      </c>
    </row>
    <row r="244" spans="1:8" x14ac:dyDescent="0.25">
      <c r="A244" t="s">
        <v>264</v>
      </c>
      <c r="B244" s="81">
        <v>0</v>
      </c>
      <c r="C244" s="81">
        <v>0</v>
      </c>
      <c r="D244" s="81">
        <v>0</v>
      </c>
      <c r="E244" s="81">
        <v>0</v>
      </c>
      <c r="F244" s="81">
        <v>0</v>
      </c>
      <c r="G244" s="81">
        <v>0</v>
      </c>
      <c r="H244" s="81">
        <v>0</v>
      </c>
    </row>
    <row r="245" spans="1:8" x14ac:dyDescent="0.25">
      <c r="A245" t="s">
        <v>265</v>
      </c>
      <c r="B245" s="81">
        <v>0</v>
      </c>
      <c r="C245" s="81">
        <v>0</v>
      </c>
      <c r="D245" s="81">
        <v>0</v>
      </c>
      <c r="E245" s="81">
        <v>0</v>
      </c>
      <c r="F245" s="81">
        <v>0</v>
      </c>
      <c r="G245" s="81">
        <v>0</v>
      </c>
      <c r="H245" s="81">
        <v>0</v>
      </c>
    </row>
    <row r="246" spans="1:8" x14ac:dyDescent="0.25">
      <c r="A246" t="s">
        <v>266</v>
      </c>
      <c r="B246" s="81">
        <v>0</v>
      </c>
      <c r="C246" s="81">
        <v>0</v>
      </c>
      <c r="D246" s="81">
        <v>0</v>
      </c>
      <c r="E246" s="81">
        <v>0</v>
      </c>
      <c r="F246" s="81">
        <v>0</v>
      </c>
      <c r="G246" s="81">
        <v>0</v>
      </c>
      <c r="H246" s="81">
        <v>0</v>
      </c>
    </row>
    <row r="247" spans="1:8" x14ac:dyDescent="0.25">
      <c r="A247" t="s">
        <v>267</v>
      </c>
      <c r="B247" s="81">
        <v>0</v>
      </c>
      <c r="C247" s="81">
        <v>0</v>
      </c>
      <c r="D247" s="81">
        <v>0</v>
      </c>
      <c r="E247" s="81">
        <v>0</v>
      </c>
      <c r="F247" s="81">
        <v>0</v>
      </c>
      <c r="G247" s="81">
        <v>0</v>
      </c>
      <c r="H247" s="81">
        <v>0</v>
      </c>
    </row>
    <row r="248" spans="1:8" x14ac:dyDescent="0.25">
      <c r="A248" t="s">
        <v>268</v>
      </c>
      <c r="B248" s="81">
        <v>0</v>
      </c>
      <c r="C248" s="81">
        <v>0</v>
      </c>
      <c r="D248" s="81">
        <v>0</v>
      </c>
      <c r="E248" s="81">
        <v>0</v>
      </c>
      <c r="F248" s="81">
        <v>0</v>
      </c>
      <c r="G248" s="81">
        <v>0</v>
      </c>
      <c r="H248" s="81">
        <v>0</v>
      </c>
    </row>
    <row r="249" spans="1:8" x14ac:dyDescent="0.25">
      <c r="A249" t="s">
        <v>269</v>
      </c>
      <c r="B249" s="81">
        <v>0</v>
      </c>
      <c r="C249" s="81">
        <v>0</v>
      </c>
      <c r="D249" s="81">
        <v>0</v>
      </c>
      <c r="E249" s="81">
        <v>0</v>
      </c>
      <c r="F249" s="81">
        <v>0</v>
      </c>
      <c r="G249" s="81">
        <v>0</v>
      </c>
      <c r="H249" s="81">
        <v>0</v>
      </c>
    </row>
    <row r="250" spans="1:8" x14ac:dyDescent="0.25">
      <c r="A250" t="s">
        <v>270</v>
      </c>
      <c r="B250" s="81">
        <v>0</v>
      </c>
      <c r="C250" s="81">
        <v>0</v>
      </c>
      <c r="D250" s="81">
        <v>0</v>
      </c>
      <c r="E250" s="81">
        <v>0</v>
      </c>
      <c r="F250" s="81">
        <v>0</v>
      </c>
      <c r="G250" s="81">
        <v>0</v>
      </c>
      <c r="H250" s="81">
        <v>0</v>
      </c>
    </row>
    <row r="251" spans="1:8" x14ac:dyDescent="0.25">
      <c r="A251" t="s">
        <v>271</v>
      </c>
      <c r="B251" s="81">
        <v>0</v>
      </c>
      <c r="C251" s="81">
        <v>0</v>
      </c>
      <c r="D251" s="81">
        <v>0</v>
      </c>
      <c r="E251" s="81">
        <v>0</v>
      </c>
      <c r="F251" s="81">
        <v>0</v>
      </c>
      <c r="G251" s="81">
        <v>0</v>
      </c>
      <c r="H251" s="81">
        <v>0</v>
      </c>
    </row>
    <row r="252" spans="1:8" x14ac:dyDescent="0.25">
      <c r="A252" t="s">
        <v>272</v>
      </c>
      <c r="B252" s="81">
        <v>0</v>
      </c>
      <c r="C252" s="81">
        <v>0</v>
      </c>
      <c r="D252" s="81">
        <v>0</v>
      </c>
      <c r="E252" s="81">
        <v>0</v>
      </c>
      <c r="F252" s="81">
        <v>0</v>
      </c>
      <c r="G252" s="81">
        <v>0</v>
      </c>
      <c r="H252" s="81">
        <v>0</v>
      </c>
    </row>
    <row r="253" spans="1:8" x14ac:dyDescent="0.25">
      <c r="A253" t="s">
        <v>273</v>
      </c>
      <c r="B253" s="81">
        <v>0</v>
      </c>
      <c r="C253" s="81">
        <v>0</v>
      </c>
      <c r="D253" s="81">
        <v>0</v>
      </c>
      <c r="E253" s="81">
        <v>0</v>
      </c>
      <c r="F253" s="81">
        <v>0</v>
      </c>
      <c r="G253" s="81">
        <v>0</v>
      </c>
      <c r="H253" s="81">
        <v>0</v>
      </c>
    </row>
    <row r="254" spans="1:8" x14ac:dyDescent="0.25">
      <c r="A254" t="s">
        <v>274</v>
      </c>
      <c r="B254" s="81">
        <v>0</v>
      </c>
      <c r="C254" s="81">
        <v>0</v>
      </c>
      <c r="D254" s="81">
        <v>0</v>
      </c>
      <c r="E254" s="81">
        <v>0</v>
      </c>
      <c r="F254" s="81">
        <v>0</v>
      </c>
      <c r="G254" s="81">
        <v>0</v>
      </c>
      <c r="H254" s="81">
        <v>0</v>
      </c>
    </row>
    <row r="255" spans="1:8" x14ac:dyDescent="0.25">
      <c r="A255" t="s">
        <v>275</v>
      </c>
      <c r="B255" s="81">
        <v>0</v>
      </c>
      <c r="C255" s="81">
        <v>0</v>
      </c>
      <c r="D255" s="81">
        <v>0</v>
      </c>
      <c r="E255" s="81">
        <v>0</v>
      </c>
      <c r="F255" s="81">
        <v>0</v>
      </c>
      <c r="G255" s="81">
        <v>0</v>
      </c>
      <c r="H255" s="81">
        <v>0</v>
      </c>
    </row>
    <row r="256" spans="1:8" x14ac:dyDescent="0.25">
      <c r="A256" t="s">
        <v>276</v>
      </c>
      <c r="B256" s="81">
        <v>0</v>
      </c>
      <c r="C256" s="81">
        <v>0</v>
      </c>
      <c r="D256" s="81">
        <v>0</v>
      </c>
      <c r="E256" s="81">
        <v>0</v>
      </c>
      <c r="F256" s="81">
        <v>0</v>
      </c>
      <c r="G256" s="81">
        <v>0</v>
      </c>
      <c r="H256" s="81">
        <v>0</v>
      </c>
    </row>
    <row r="257" spans="1:8" x14ac:dyDescent="0.25">
      <c r="A257" t="s">
        <v>277</v>
      </c>
      <c r="B257" s="81">
        <v>0</v>
      </c>
      <c r="C257" s="81">
        <v>0</v>
      </c>
      <c r="D257" s="81">
        <v>0</v>
      </c>
      <c r="E257" s="81">
        <v>0</v>
      </c>
      <c r="F257" s="81">
        <v>0</v>
      </c>
      <c r="G257" s="81">
        <v>0</v>
      </c>
      <c r="H257" s="81">
        <v>0</v>
      </c>
    </row>
    <row r="258" spans="1:8" x14ac:dyDescent="0.25">
      <c r="A258" t="s">
        <v>278</v>
      </c>
      <c r="B258" s="81">
        <v>0</v>
      </c>
      <c r="C258" s="81">
        <v>0</v>
      </c>
      <c r="D258" s="81">
        <v>0</v>
      </c>
      <c r="E258" s="81">
        <v>0</v>
      </c>
      <c r="F258" s="81">
        <v>0</v>
      </c>
      <c r="G258" s="81">
        <v>0</v>
      </c>
      <c r="H258" s="81">
        <v>0</v>
      </c>
    </row>
    <row r="259" spans="1:8" x14ac:dyDescent="0.25">
      <c r="A259" t="s">
        <v>279</v>
      </c>
      <c r="B259" s="81">
        <v>0</v>
      </c>
      <c r="C259" s="81">
        <v>0</v>
      </c>
      <c r="D259" s="81">
        <v>0</v>
      </c>
      <c r="E259" s="81">
        <v>0</v>
      </c>
      <c r="F259" s="81">
        <v>0</v>
      </c>
      <c r="G259" s="81">
        <v>0</v>
      </c>
      <c r="H259" s="81">
        <v>0</v>
      </c>
    </row>
    <row r="260" spans="1:8" x14ac:dyDescent="0.25">
      <c r="A260" t="s">
        <v>280</v>
      </c>
      <c r="B260" s="81">
        <v>0</v>
      </c>
      <c r="C260" s="81">
        <v>0</v>
      </c>
      <c r="D260" s="81">
        <v>0</v>
      </c>
      <c r="E260" s="81">
        <v>0</v>
      </c>
      <c r="F260" s="81">
        <v>0</v>
      </c>
      <c r="G260" s="81">
        <v>0</v>
      </c>
      <c r="H260" s="81">
        <v>0</v>
      </c>
    </row>
    <row r="261" spans="1:8" x14ac:dyDescent="0.25">
      <c r="A261" t="s">
        <v>281</v>
      </c>
      <c r="B261" s="81">
        <v>0</v>
      </c>
      <c r="C261" s="81">
        <v>0</v>
      </c>
      <c r="D261" s="81">
        <v>0</v>
      </c>
      <c r="E261" s="81">
        <v>0</v>
      </c>
      <c r="F261" s="81">
        <v>0</v>
      </c>
      <c r="G261" s="81">
        <v>0</v>
      </c>
      <c r="H261" s="81">
        <v>0</v>
      </c>
    </row>
    <row r="262" spans="1:8" x14ac:dyDescent="0.25">
      <c r="A262" t="s">
        <v>282</v>
      </c>
      <c r="B262" s="81">
        <v>0</v>
      </c>
      <c r="C262" s="81">
        <v>0</v>
      </c>
      <c r="D262" s="81">
        <v>0</v>
      </c>
      <c r="E262" s="81">
        <v>0</v>
      </c>
      <c r="F262" s="81">
        <v>0</v>
      </c>
      <c r="G262" s="81">
        <v>0</v>
      </c>
      <c r="H262" s="81">
        <v>0</v>
      </c>
    </row>
    <row r="263" spans="1:8" x14ac:dyDescent="0.25">
      <c r="A263" t="s">
        <v>283</v>
      </c>
      <c r="B263" s="81">
        <v>0</v>
      </c>
      <c r="C263" s="81">
        <v>0</v>
      </c>
      <c r="D263" s="81">
        <v>0</v>
      </c>
      <c r="E263" s="81">
        <v>0</v>
      </c>
      <c r="F263" s="81">
        <v>0</v>
      </c>
      <c r="G263" s="81">
        <v>0</v>
      </c>
      <c r="H263" s="81">
        <v>0</v>
      </c>
    </row>
    <row r="264" spans="1:8" x14ac:dyDescent="0.25">
      <c r="A264" t="s">
        <v>284</v>
      </c>
      <c r="B264" s="81">
        <v>0</v>
      </c>
      <c r="C264" s="81">
        <v>0</v>
      </c>
      <c r="D264" s="81">
        <v>0</v>
      </c>
      <c r="E264" s="81">
        <v>0</v>
      </c>
      <c r="F264" s="81">
        <v>0</v>
      </c>
      <c r="G264" s="81">
        <v>0</v>
      </c>
      <c r="H264" s="81">
        <v>0</v>
      </c>
    </row>
    <row r="265" spans="1:8" x14ac:dyDescent="0.25">
      <c r="A265" t="s">
        <v>285</v>
      </c>
      <c r="B265" s="81">
        <v>0</v>
      </c>
      <c r="C265" s="81">
        <v>0</v>
      </c>
      <c r="D265" s="81">
        <v>0</v>
      </c>
      <c r="E265" s="81">
        <v>0</v>
      </c>
      <c r="F265" s="81">
        <v>0</v>
      </c>
      <c r="G265" s="81">
        <v>0</v>
      </c>
      <c r="H265" s="81">
        <v>0</v>
      </c>
    </row>
    <row r="266" spans="1:8" x14ac:dyDescent="0.25">
      <c r="A266" t="s">
        <v>286</v>
      </c>
      <c r="B266" s="81">
        <v>0</v>
      </c>
      <c r="C266" s="81">
        <v>0</v>
      </c>
      <c r="D266" s="81">
        <v>0</v>
      </c>
      <c r="E266" s="81">
        <v>0</v>
      </c>
      <c r="F266" s="81">
        <v>0</v>
      </c>
      <c r="G266" s="81">
        <v>0</v>
      </c>
      <c r="H266" s="81">
        <v>0</v>
      </c>
    </row>
    <row r="267" spans="1:8" x14ac:dyDescent="0.25">
      <c r="A267" t="s">
        <v>287</v>
      </c>
      <c r="B267" s="81">
        <v>0</v>
      </c>
      <c r="C267" s="81">
        <v>0</v>
      </c>
      <c r="D267" s="81">
        <v>0</v>
      </c>
      <c r="E267" s="81">
        <v>0</v>
      </c>
      <c r="F267" s="81">
        <v>0</v>
      </c>
      <c r="G267" s="81">
        <v>0</v>
      </c>
      <c r="H267" s="81">
        <v>0</v>
      </c>
    </row>
    <row r="268" spans="1:8" x14ac:dyDescent="0.25">
      <c r="A268" t="s">
        <v>288</v>
      </c>
      <c r="B268" s="81">
        <v>0</v>
      </c>
      <c r="C268" s="81">
        <v>0</v>
      </c>
      <c r="D268" s="81">
        <v>0</v>
      </c>
      <c r="E268" s="81">
        <v>0</v>
      </c>
      <c r="F268" s="81">
        <v>0</v>
      </c>
      <c r="G268" s="81">
        <v>0</v>
      </c>
      <c r="H268" s="81">
        <v>0</v>
      </c>
    </row>
    <row r="269" spans="1:8" x14ac:dyDescent="0.25">
      <c r="A269" t="s">
        <v>289</v>
      </c>
      <c r="B269" s="81">
        <v>0</v>
      </c>
      <c r="C269" s="81">
        <v>0</v>
      </c>
      <c r="D269" s="81">
        <v>0</v>
      </c>
      <c r="E269" s="81">
        <v>0</v>
      </c>
      <c r="F269" s="81">
        <v>0</v>
      </c>
      <c r="G269" s="81">
        <v>0</v>
      </c>
      <c r="H269" s="81">
        <v>0</v>
      </c>
    </row>
    <row r="270" spans="1:8" x14ac:dyDescent="0.25">
      <c r="A270" t="s">
        <v>290</v>
      </c>
      <c r="B270" s="81">
        <v>0</v>
      </c>
      <c r="C270" s="81">
        <v>0</v>
      </c>
      <c r="D270" s="81">
        <v>0</v>
      </c>
      <c r="E270" s="81">
        <v>0</v>
      </c>
      <c r="F270" s="81">
        <v>0</v>
      </c>
      <c r="G270" s="81">
        <v>0</v>
      </c>
      <c r="H270" s="81">
        <v>0</v>
      </c>
    </row>
    <row r="271" spans="1:8" x14ac:dyDescent="0.25">
      <c r="A271" t="s">
        <v>291</v>
      </c>
      <c r="B271" s="81">
        <v>0</v>
      </c>
      <c r="C271" s="81">
        <v>0</v>
      </c>
      <c r="D271" s="81">
        <v>0</v>
      </c>
      <c r="E271" s="81">
        <v>0</v>
      </c>
      <c r="F271" s="81">
        <v>0</v>
      </c>
      <c r="G271" s="81">
        <v>0</v>
      </c>
      <c r="H271" s="81">
        <v>0</v>
      </c>
    </row>
    <row r="272" spans="1:8" x14ac:dyDescent="0.25">
      <c r="A272" t="s">
        <v>292</v>
      </c>
      <c r="B272" s="81">
        <v>0</v>
      </c>
      <c r="C272" s="81">
        <v>0</v>
      </c>
      <c r="D272" s="81">
        <v>0</v>
      </c>
      <c r="E272" s="81">
        <v>0</v>
      </c>
      <c r="F272" s="81">
        <v>0</v>
      </c>
      <c r="G272" s="81">
        <v>0</v>
      </c>
      <c r="H272" s="81">
        <v>0</v>
      </c>
    </row>
    <row r="273" spans="1:8" x14ac:dyDescent="0.25">
      <c r="A273" t="s">
        <v>293</v>
      </c>
      <c r="B273" s="81">
        <v>0</v>
      </c>
      <c r="C273" s="81">
        <v>0</v>
      </c>
      <c r="D273" s="81">
        <v>0</v>
      </c>
      <c r="E273" s="81">
        <v>0</v>
      </c>
      <c r="F273" s="81">
        <v>0</v>
      </c>
      <c r="G273" s="81">
        <v>0</v>
      </c>
      <c r="H273" s="81">
        <v>0</v>
      </c>
    </row>
    <row r="274" spans="1:8" x14ac:dyDescent="0.25">
      <c r="A274" t="s">
        <v>294</v>
      </c>
      <c r="B274" s="81">
        <v>0</v>
      </c>
      <c r="C274" s="81">
        <v>0</v>
      </c>
      <c r="D274" s="81">
        <v>0</v>
      </c>
      <c r="E274" s="81">
        <v>0</v>
      </c>
      <c r="F274" s="81">
        <v>0</v>
      </c>
      <c r="G274" s="81">
        <v>0</v>
      </c>
      <c r="H274" s="81">
        <v>0</v>
      </c>
    </row>
    <row r="275" spans="1:8" x14ac:dyDescent="0.25">
      <c r="A275" t="s">
        <v>295</v>
      </c>
      <c r="B275" s="81">
        <v>0</v>
      </c>
      <c r="C275" s="81">
        <v>0</v>
      </c>
      <c r="D275" s="81">
        <v>0</v>
      </c>
      <c r="E275" s="81">
        <v>0</v>
      </c>
      <c r="F275" s="81">
        <v>0</v>
      </c>
      <c r="G275" s="81">
        <v>0</v>
      </c>
      <c r="H275" s="81">
        <v>0</v>
      </c>
    </row>
    <row r="276" spans="1:8" x14ac:dyDescent="0.25">
      <c r="A276" t="s">
        <v>296</v>
      </c>
      <c r="B276" s="81">
        <v>0</v>
      </c>
      <c r="C276" s="81">
        <v>0</v>
      </c>
      <c r="D276" s="81">
        <v>0</v>
      </c>
      <c r="E276" s="81">
        <v>0</v>
      </c>
      <c r="F276" s="81">
        <v>0</v>
      </c>
      <c r="G276" s="81">
        <v>0</v>
      </c>
      <c r="H276" s="81">
        <v>0</v>
      </c>
    </row>
    <row r="277" spans="1:8" x14ac:dyDescent="0.25">
      <c r="A277" t="s">
        <v>297</v>
      </c>
      <c r="B277" s="81">
        <v>0</v>
      </c>
      <c r="C277" s="81">
        <v>0</v>
      </c>
      <c r="D277" s="81">
        <v>0</v>
      </c>
      <c r="E277" s="81">
        <v>0</v>
      </c>
      <c r="F277" s="81">
        <v>0</v>
      </c>
      <c r="G277" s="81">
        <v>0</v>
      </c>
      <c r="H277" s="81">
        <v>0</v>
      </c>
    </row>
    <row r="278" spans="1:8" x14ac:dyDescent="0.25">
      <c r="A278" t="s">
        <v>298</v>
      </c>
      <c r="B278" s="81">
        <v>0</v>
      </c>
      <c r="C278" s="81">
        <v>0</v>
      </c>
      <c r="D278" s="81">
        <v>0</v>
      </c>
      <c r="E278" s="81">
        <v>0</v>
      </c>
      <c r="F278" s="81">
        <v>0</v>
      </c>
      <c r="G278" s="81">
        <v>0</v>
      </c>
      <c r="H278" s="81">
        <v>0</v>
      </c>
    </row>
    <row r="279" spans="1:8" x14ac:dyDescent="0.25">
      <c r="A279" t="s">
        <v>299</v>
      </c>
      <c r="B279" s="81">
        <v>0</v>
      </c>
      <c r="C279" s="81">
        <v>0</v>
      </c>
      <c r="D279" s="81">
        <v>0</v>
      </c>
      <c r="E279" s="81">
        <v>0</v>
      </c>
      <c r="F279" s="81">
        <v>0</v>
      </c>
      <c r="G279" s="81">
        <v>0</v>
      </c>
      <c r="H279" s="81">
        <v>0</v>
      </c>
    </row>
    <row r="280" spans="1:8" x14ac:dyDescent="0.25">
      <c r="A280" t="s">
        <v>300</v>
      </c>
      <c r="B280" s="81">
        <v>0</v>
      </c>
      <c r="C280" s="81">
        <v>0</v>
      </c>
      <c r="D280" s="81">
        <v>0</v>
      </c>
      <c r="E280" s="81">
        <v>0</v>
      </c>
      <c r="F280" s="81">
        <v>0</v>
      </c>
      <c r="G280" s="81">
        <v>0</v>
      </c>
      <c r="H280" s="81">
        <v>0</v>
      </c>
    </row>
    <row r="281" spans="1:8" x14ac:dyDescent="0.25">
      <c r="A281" t="s">
        <v>301</v>
      </c>
      <c r="B281" s="81">
        <v>0</v>
      </c>
      <c r="C281" s="81">
        <v>0</v>
      </c>
      <c r="D281" s="81">
        <v>0</v>
      </c>
      <c r="E281" s="81">
        <v>0</v>
      </c>
      <c r="F281" s="81">
        <v>0</v>
      </c>
      <c r="G281" s="81">
        <v>0</v>
      </c>
      <c r="H281" s="81">
        <v>0</v>
      </c>
    </row>
    <row r="282" spans="1:8" x14ac:dyDescent="0.25">
      <c r="A282" t="s">
        <v>302</v>
      </c>
      <c r="B282" s="81">
        <v>0</v>
      </c>
      <c r="C282" s="81">
        <v>0</v>
      </c>
      <c r="D282" s="81">
        <v>0</v>
      </c>
      <c r="E282" s="81">
        <v>0</v>
      </c>
      <c r="F282" s="81">
        <v>0</v>
      </c>
      <c r="G282" s="81">
        <v>0</v>
      </c>
      <c r="H282" s="81">
        <v>0</v>
      </c>
    </row>
    <row r="283" spans="1:8" x14ac:dyDescent="0.25">
      <c r="A283" t="s">
        <v>303</v>
      </c>
      <c r="B283" s="81">
        <v>0</v>
      </c>
      <c r="C283" s="81">
        <v>0</v>
      </c>
      <c r="D283" s="81">
        <v>0</v>
      </c>
      <c r="E283" s="81">
        <v>0</v>
      </c>
      <c r="F283" s="81">
        <v>0</v>
      </c>
      <c r="G283" s="81">
        <v>0</v>
      </c>
      <c r="H283" s="81">
        <v>0</v>
      </c>
    </row>
    <row r="284" spans="1:8" x14ac:dyDescent="0.25">
      <c r="A284" t="s">
        <v>304</v>
      </c>
      <c r="B284" s="81">
        <v>0</v>
      </c>
      <c r="C284" s="81">
        <v>0</v>
      </c>
      <c r="D284" s="81">
        <v>0</v>
      </c>
      <c r="E284" s="81">
        <v>0</v>
      </c>
      <c r="F284" s="81">
        <v>0</v>
      </c>
      <c r="G284" s="81">
        <v>0</v>
      </c>
      <c r="H284" s="81">
        <v>0</v>
      </c>
    </row>
    <row r="285" spans="1:8" x14ac:dyDescent="0.25">
      <c r="A285" t="s">
        <v>305</v>
      </c>
      <c r="B285" s="81">
        <v>0</v>
      </c>
      <c r="C285" s="81">
        <v>0</v>
      </c>
      <c r="D285" s="81">
        <v>0</v>
      </c>
      <c r="E285" s="81">
        <v>0</v>
      </c>
      <c r="F285" s="81">
        <v>0</v>
      </c>
      <c r="G285" s="81">
        <v>0</v>
      </c>
      <c r="H285" s="81">
        <v>0</v>
      </c>
    </row>
    <row r="286" spans="1:8" x14ac:dyDescent="0.25">
      <c r="A286" t="s">
        <v>306</v>
      </c>
      <c r="B286" s="81">
        <v>0</v>
      </c>
      <c r="C286" s="81">
        <v>0</v>
      </c>
      <c r="D286" s="81">
        <v>0</v>
      </c>
      <c r="E286" s="81">
        <v>0</v>
      </c>
      <c r="F286" s="81">
        <v>0</v>
      </c>
      <c r="G286" s="81">
        <v>0</v>
      </c>
      <c r="H286" s="81">
        <v>0</v>
      </c>
    </row>
    <row r="287" spans="1:8" x14ac:dyDescent="0.25">
      <c r="A287" t="s">
        <v>307</v>
      </c>
      <c r="B287" s="81">
        <v>0</v>
      </c>
      <c r="C287" s="81">
        <v>0</v>
      </c>
      <c r="D287" s="81">
        <v>0</v>
      </c>
      <c r="E287" s="81">
        <v>0</v>
      </c>
      <c r="F287" s="81">
        <v>0</v>
      </c>
      <c r="G287" s="81">
        <v>0</v>
      </c>
      <c r="H287" s="81">
        <v>0</v>
      </c>
    </row>
    <row r="288" spans="1:8" x14ac:dyDescent="0.25">
      <c r="A288" t="s">
        <v>308</v>
      </c>
      <c r="B288" s="81">
        <v>0</v>
      </c>
      <c r="C288" s="81">
        <v>0</v>
      </c>
      <c r="D288" s="81">
        <v>0</v>
      </c>
      <c r="E288" s="81">
        <v>0</v>
      </c>
      <c r="F288" s="81">
        <v>0</v>
      </c>
      <c r="G288" s="81">
        <v>0</v>
      </c>
      <c r="H288" s="81">
        <v>0</v>
      </c>
    </row>
    <row r="289" spans="1:8" x14ac:dyDescent="0.25">
      <c r="A289" t="s">
        <v>309</v>
      </c>
      <c r="B289" s="81">
        <v>0</v>
      </c>
      <c r="C289" s="81">
        <v>0</v>
      </c>
      <c r="D289" s="81">
        <v>0</v>
      </c>
      <c r="E289" s="81">
        <v>0</v>
      </c>
      <c r="F289" s="81">
        <v>0</v>
      </c>
      <c r="G289" s="81">
        <v>0</v>
      </c>
      <c r="H289" s="81">
        <v>0</v>
      </c>
    </row>
    <row r="290" spans="1:8" x14ac:dyDescent="0.25">
      <c r="A290" t="s">
        <v>310</v>
      </c>
      <c r="B290" s="81">
        <v>0</v>
      </c>
      <c r="C290" s="81">
        <v>0</v>
      </c>
      <c r="D290" s="81">
        <v>0</v>
      </c>
      <c r="E290" s="81">
        <v>0</v>
      </c>
      <c r="F290" s="81">
        <v>0</v>
      </c>
      <c r="G290" s="81">
        <v>0</v>
      </c>
      <c r="H290" s="81">
        <v>0</v>
      </c>
    </row>
    <row r="291" spans="1:8" x14ac:dyDescent="0.25">
      <c r="A291" t="s">
        <v>311</v>
      </c>
      <c r="B291" s="81">
        <v>0</v>
      </c>
      <c r="C291" s="81">
        <v>0</v>
      </c>
      <c r="D291" s="81">
        <v>0</v>
      </c>
      <c r="E291" s="81">
        <v>0</v>
      </c>
      <c r="F291" s="81">
        <v>0</v>
      </c>
      <c r="G291" s="81">
        <v>0</v>
      </c>
      <c r="H291" s="81">
        <v>0</v>
      </c>
    </row>
    <row r="292" spans="1:8" x14ac:dyDescent="0.25">
      <c r="A292" t="s">
        <v>312</v>
      </c>
      <c r="B292" s="81">
        <v>0</v>
      </c>
      <c r="C292" s="81">
        <v>0</v>
      </c>
      <c r="D292" s="81">
        <v>0</v>
      </c>
      <c r="E292" s="81">
        <v>0</v>
      </c>
      <c r="F292" s="81">
        <v>0</v>
      </c>
      <c r="G292" s="81">
        <v>0</v>
      </c>
      <c r="H292" s="81">
        <v>0</v>
      </c>
    </row>
    <row r="293" spans="1:8" x14ac:dyDescent="0.25">
      <c r="A293" t="s">
        <v>313</v>
      </c>
      <c r="B293" s="81">
        <v>0</v>
      </c>
      <c r="C293" s="81">
        <v>0</v>
      </c>
      <c r="D293" s="81">
        <v>0</v>
      </c>
      <c r="E293" s="81">
        <v>0</v>
      </c>
      <c r="F293" s="81">
        <v>0</v>
      </c>
      <c r="G293" s="81">
        <v>0</v>
      </c>
      <c r="H293" s="81">
        <v>0</v>
      </c>
    </row>
    <row r="294" spans="1:8" x14ac:dyDescent="0.25">
      <c r="A294" t="s">
        <v>314</v>
      </c>
      <c r="B294" s="81">
        <v>0</v>
      </c>
      <c r="C294" s="81">
        <v>0</v>
      </c>
      <c r="D294" s="81">
        <v>0</v>
      </c>
      <c r="E294" s="81">
        <v>0</v>
      </c>
      <c r="F294" s="81">
        <v>0</v>
      </c>
      <c r="G294" s="81">
        <v>0</v>
      </c>
      <c r="H294" s="81">
        <v>0</v>
      </c>
    </row>
    <row r="295" spans="1:8" x14ac:dyDescent="0.25">
      <c r="A295" t="s">
        <v>315</v>
      </c>
      <c r="B295" s="81">
        <v>0</v>
      </c>
      <c r="C295" s="81">
        <v>0</v>
      </c>
      <c r="D295" s="81">
        <v>0</v>
      </c>
      <c r="E295" s="81">
        <v>0</v>
      </c>
      <c r="F295" s="81">
        <v>0</v>
      </c>
      <c r="G295" s="81">
        <v>0</v>
      </c>
      <c r="H295" s="81">
        <v>0</v>
      </c>
    </row>
    <row r="296" spans="1:8" x14ac:dyDescent="0.25">
      <c r="A296" t="s">
        <v>316</v>
      </c>
      <c r="B296" s="81">
        <v>0</v>
      </c>
      <c r="C296" s="81">
        <v>0</v>
      </c>
      <c r="D296" s="81">
        <v>0</v>
      </c>
      <c r="E296" s="81">
        <v>0</v>
      </c>
      <c r="F296" s="81">
        <v>0</v>
      </c>
      <c r="G296" s="81">
        <v>0</v>
      </c>
      <c r="H296" s="81">
        <v>0</v>
      </c>
    </row>
    <row r="297" spans="1:8" x14ac:dyDescent="0.25">
      <c r="A297" t="s">
        <v>317</v>
      </c>
      <c r="B297" s="81">
        <v>0</v>
      </c>
      <c r="C297" s="81">
        <v>0</v>
      </c>
      <c r="D297" s="81">
        <v>0</v>
      </c>
      <c r="E297" s="81">
        <v>0</v>
      </c>
      <c r="F297" s="81">
        <v>0</v>
      </c>
      <c r="G297" s="81">
        <v>0</v>
      </c>
      <c r="H297" s="81">
        <v>0</v>
      </c>
    </row>
    <row r="298" spans="1:8" x14ac:dyDescent="0.25">
      <c r="A298" t="s">
        <v>318</v>
      </c>
      <c r="B298" s="81">
        <v>0</v>
      </c>
      <c r="C298" s="81">
        <v>0</v>
      </c>
      <c r="D298" s="81">
        <v>0</v>
      </c>
      <c r="E298" s="81">
        <v>0</v>
      </c>
      <c r="F298" s="81">
        <v>0</v>
      </c>
      <c r="G298" s="81">
        <v>0</v>
      </c>
      <c r="H298" s="81">
        <v>0</v>
      </c>
    </row>
    <row r="299" spans="1:8" x14ac:dyDescent="0.25">
      <c r="A299" t="s">
        <v>319</v>
      </c>
      <c r="B299" s="81">
        <v>0</v>
      </c>
      <c r="C299" s="81">
        <v>0</v>
      </c>
      <c r="D299" s="81">
        <v>0</v>
      </c>
      <c r="E299" s="81">
        <v>0</v>
      </c>
      <c r="F299" s="81">
        <v>0</v>
      </c>
      <c r="G299" s="81">
        <v>0</v>
      </c>
      <c r="H299" s="81">
        <v>0</v>
      </c>
    </row>
    <row r="300" spans="1:8" x14ac:dyDescent="0.25">
      <c r="A300" t="s">
        <v>320</v>
      </c>
      <c r="B300" s="81">
        <v>0</v>
      </c>
      <c r="C300" s="81">
        <v>0</v>
      </c>
      <c r="D300" s="81">
        <v>0</v>
      </c>
      <c r="E300" s="81">
        <v>0</v>
      </c>
      <c r="F300" s="81">
        <v>0</v>
      </c>
      <c r="G300" s="81">
        <v>0</v>
      </c>
      <c r="H300" s="81">
        <v>0</v>
      </c>
    </row>
    <row r="301" spans="1:8" x14ac:dyDescent="0.25">
      <c r="A301" t="s">
        <v>321</v>
      </c>
      <c r="B301" s="81">
        <v>0</v>
      </c>
      <c r="C301" s="81">
        <v>0</v>
      </c>
      <c r="D301" s="81">
        <v>0</v>
      </c>
      <c r="E301" s="81">
        <v>0</v>
      </c>
      <c r="F301" s="81">
        <v>0</v>
      </c>
      <c r="G301" s="81">
        <v>0</v>
      </c>
      <c r="H301" s="81">
        <v>0</v>
      </c>
    </row>
    <row r="302" spans="1:8" x14ac:dyDescent="0.25">
      <c r="A302" t="s">
        <v>322</v>
      </c>
      <c r="B302" s="81">
        <v>0</v>
      </c>
      <c r="C302" s="81">
        <v>0</v>
      </c>
      <c r="D302" s="81">
        <v>0</v>
      </c>
      <c r="E302" s="81">
        <v>0</v>
      </c>
      <c r="F302" s="81">
        <v>0</v>
      </c>
      <c r="G302" s="81">
        <v>0</v>
      </c>
      <c r="H302" s="81">
        <v>0</v>
      </c>
    </row>
    <row r="303" spans="1:8" x14ac:dyDescent="0.25">
      <c r="A303" t="s">
        <v>323</v>
      </c>
      <c r="B303" s="81">
        <v>0</v>
      </c>
      <c r="C303" s="81">
        <v>0</v>
      </c>
      <c r="D303" s="81">
        <v>0</v>
      </c>
      <c r="E303" s="81">
        <v>0</v>
      </c>
      <c r="F303" s="81">
        <v>0</v>
      </c>
      <c r="G303" s="81">
        <v>0</v>
      </c>
      <c r="H303" s="81">
        <v>0</v>
      </c>
    </row>
    <row r="304" spans="1:8" x14ac:dyDescent="0.25">
      <c r="A304" t="s">
        <v>324</v>
      </c>
      <c r="B304" s="81">
        <v>0</v>
      </c>
      <c r="C304" s="81">
        <v>0</v>
      </c>
      <c r="D304" s="81">
        <v>0</v>
      </c>
      <c r="E304" s="81">
        <v>0</v>
      </c>
      <c r="F304" s="81">
        <v>0</v>
      </c>
      <c r="G304" s="81">
        <v>0</v>
      </c>
      <c r="H304" s="81">
        <v>0</v>
      </c>
    </row>
    <row r="305" spans="1:8" x14ac:dyDescent="0.25">
      <c r="A305" t="s">
        <v>325</v>
      </c>
      <c r="B305" s="81">
        <v>0</v>
      </c>
      <c r="C305" s="81">
        <v>0</v>
      </c>
      <c r="D305" s="81">
        <v>0</v>
      </c>
      <c r="E305" s="81">
        <v>0</v>
      </c>
      <c r="F305" s="81">
        <v>0</v>
      </c>
      <c r="G305" s="81">
        <v>0</v>
      </c>
      <c r="H305" s="81">
        <v>0</v>
      </c>
    </row>
    <row r="306" spans="1:8" x14ac:dyDescent="0.25">
      <c r="A306" t="s">
        <v>326</v>
      </c>
      <c r="B306" s="81">
        <v>0</v>
      </c>
      <c r="C306" s="81">
        <v>0</v>
      </c>
      <c r="D306" s="81">
        <v>0</v>
      </c>
      <c r="E306" s="81">
        <v>0</v>
      </c>
      <c r="F306" s="81">
        <v>0</v>
      </c>
      <c r="G306" s="81">
        <v>0</v>
      </c>
      <c r="H306" s="81">
        <v>0</v>
      </c>
    </row>
    <row r="307" spans="1:8" x14ac:dyDescent="0.25">
      <c r="A307" t="s">
        <v>327</v>
      </c>
      <c r="B307" s="81">
        <v>0</v>
      </c>
      <c r="C307" s="81">
        <v>0</v>
      </c>
      <c r="D307" s="81">
        <v>0</v>
      </c>
      <c r="E307" s="81">
        <v>0</v>
      </c>
      <c r="F307" s="81">
        <v>0</v>
      </c>
      <c r="G307" s="81">
        <v>0</v>
      </c>
      <c r="H307" s="81">
        <v>0</v>
      </c>
    </row>
    <row r="308" spans="1:8" x14ac:dyDescent="0.25">
      <c r="A308" t="s">
        <v>328</v>
      </c>
      <c r="B308" s="81">
        <v>0</v>
      </c>
      <c r="C308" s="81">
        <v>0</v>
      </c>
      <c r="D308" s="81">
        <v>0</v>
      </c>
      <c r="E308" s="81">
        <v>0</v>
      </c>
      <c r="F308" s="81">
        <v>0</v>
      </c>
      <c r="G308" s="81">
        <v>0</v>
      </c>
      <c r="H308" s="81">
        <v>0</v>
      </c>
    </row>
    <row r="309" spans="1:8" x14ac:dyDescent="0.25">
      <c r="A309" t="s">
        <v>329</v>
      </c>
      <c r="B309" s="81">
        <v>0</v>
      </c>
      <c r="C309" s="81">
        <v>0</v>
      </c>
      <c r="D309" s="81">
        <v>0</v>
      </c>
      <c r="E309" s="81">
        <v>0</v>
      </c>
      <c r="F309" s="81">
        <v>0</v>
      </c>
      <c r="G309" s="81">
        <v>0</v>
      </c>
      <c r="H309" s="81">
        <v>0</v>
      </c>
    </row>
    <row r="310" spans="1:8" x14ac:dyDescent="0.25">
      <c r="A310" t="s">
        <v>330</v>
      </c>
      <c r="B310" s="81">
        <v>0</v>
      </c>
      <c r="C310" s="81">
        <v>0</v>
      </c>
      <c r="D310" s="81">
        <v>0</v>
      </c>
      <c r="E310" s="81">
        <v>0</v>
      </c>
      <c r="F310" s="81">
        <v>0</v>
      </c>
      <c r="G310" s="81">
        <v>0</v>
      </c>
      <c r="H310" s="81">
        <v>0</v>
      </c>
    </row>
    <row r="311" spans="1:8" x14ac:dyDescent="0.25">
      <c r="A311" t="s">
        <v>331</v>
      </c>
      <c r="B311" s="81">
        <v>0</v>
      </c>
      <c r="C311" s="81">
        <v>0</v>
      </c>
      <c r="D311" s="81">
        <v>0</v>
      </c>
      <c r="E311" s="81">
        <v>0</v>
      </c>
      <c r="F311" s="81">
        <v>0</v>
      </c>
      <c r="G311" s="81">
        <v>0</v>
      </c>
      <c r="H311" s="81">
        <v>0</v>
      </c>
    </row>
    <row r="312" spans="1:8" x14ac:dyDescent="0.25">
      <c r="A312" t="s">
        <v>332</v>
      </c>
      <c r="B312" s="81">
        <v>0</v>
      </c>
      <c r="C312" s="81">
        <v>0</v>
      </c>
      <c r="D312" s="81">
        <v>0</v>
      </c>
      <c r="E312" s="81">
        <v>0</v>
      </c>
      <c r="F312" s="81">
        <v>0</v>
      </c>
      <c r="G312" s="81">
        <v>0</v>
      </c>
      <c r="H312" s="81">
        <v>0</v>
      </c>
    </row>
    <row r="313" spans="1:8" x14ac:dyDescent="0.25">
      <c r="A313" t="s">
        <v>333</v>
      </c>
      <c r="B313" s="81">
        <v>0</v>
      </c>
      <c r="C313" s="81">
        <v>0</v>
      </c>
      <c r="D313" s="81">
        <v>0</v>
      </c>
      <c r="E313" s="81">
        <v>0</v>
      </c>
      <c r="F313" s="81">
        <v>0</v>
      </c>
      <c r="G313" s="81">
        <v>0</v>
      </c>
      <c r="H313" s="81">
        <v>0</v>
      </c>
    </row>
    <row r="314" spans="1:8" x14ac:dyDescent="0.25">
      <c r="A314" t="s">
        <v>334</v>
      </c>
      <c r="B314" s="81">
        <v>0</v>
      </c>
      <c r="C314" s="81">
        <v>0</v>
      </c>
      <c r="D314" s="81">
        <v>0</v>
      </c>
      <c r="E314" s="81">
        <v>0</v>
      </c>
      <c r="F314" s="81">
        <v>0</v>
      </c>
      <c r="G314" s="81">
        <v>0</v>
      </c>
      <c r="H314" s="81">
        <v>0</v>
      </c>
    </row>
    <row r="315" spans="1:8" x14ac:dyDescent="0.25">
      <c r="A315" t="s">
        <v>335</v>
      </c>
      <c r="B315" s="81">
        <v>0</v>
      </c>
      <c r="C315" s="81">
        <v>0</v>
      </c>
      <c r="D315" s="81">
        <v>0</v>
      </c>
      <c r="E315" s="81">
        <v>0</v>
      </c>
      <c r="F315" s="81">
        <v>0</v>
      </c>
      <c r="G315" s="81">
        <v>0</v>
      </c>
      <c r="H315" s="81">
        <v>0</v>
      </c>
    </row>
    <row r="316" spans="1:8" x14ac:dyDescent="0.25">
      <c r="A316" t="s">
        <v>336</v>
      </c>
      <c r="B316" s="81">
        <v>0</v>
      </c>
      <c r="C316" s="81">
        <v>0</v>
      </c>
      <c r="D316" s="81">
        <v>0</v>
      </c>
      <c r="E316" s="81">
        <v>0</v>
      </c>
      <c r="F316" s="81">
        <v>0</v>
      </c>
      <c r="G316" s="81">
        <v>0</v>
      </c>
      <c r="H316" s="81">
        <v>0</v>
      </c>
    </row>
    <row r="317" spans="1:8" x14ac:dyDescent="0.25">
      <c r="A317" t="s">
        <v>496</v>
      </c>
      <c r="B317" s="81">
        <v>0</v>
      </c>
      <c r="C317" s="81">
        <v>0</v>
      </c>
      <c r="D317" s="81">
        <v>0</v>
      </c>
      <c r="E317" s="81">
        <v>0</v>
      </c>
      <c r="F317" s="81">
        <v>0</v>
      </c>
      <c r="G317" s="81">
        <v>0</v>
      </c>
      <c r="H317" s="81">
        <v>0</v>
      </c>
    </row>
    <row r="318" spans="1:8" x14ac:dyDescent="0.25">
      <c r="A318" t="s">
        <v>497</v>
      </c>
      <c r="B318" s="81">
        <v>0</v>
      </c>
      <c r="C318" s="81">
        <v>0</v>
      </c>
      <c r="D318" s="81">
        <v>0</v>
      </c>
      <c r="E318" s="81">
        <v>0</v>
      </c>
      <c r="F318" s="81">
        <v>0</v>
      </c>
      <c r="G318" s="81">
        <v>0</v>
      </c>
      <c r="H318" s="81">
        <v>0</v>
      </c>
    </row>
    <row r="319" spans="1:8" x14ac:dyDescent="0.25">
      <c r="A319" t="s">
        <v>498</v>
      </c>
      <c r="B319" s="81">
        <v>0</v>
      </c>
      <c r="C319" s="81">
        <v>0</v>
      </c>
      <c r="D319" s="81">
        <v>0</v>
      </c>
      <c r="E319" s="81">
        <v>0</v>
      </c>
      <c r="F319" s="81">
        <v>0</v>
      </c>
      <c r="G319" s="81">
        <v>0</v>
      </c>
      <c r="H319" s="81">
        <v>0</v>
      </c>
    </row>
    <row r="320" spans="1:8" x14ac:dyDescent="0.25">
      <c r="A320" t="s">
        <v>499</v>
      </c>
      <c r="B320" s="81">
        <v>0</v>
      </c>
      <c r="C320" s="81">
        <v>0</v>
      </c>
      <c r="D320" s="81">
        <v>0</v>
      </c>
      <c r="E320" s="81">
        <v>0</v>
      </c>
      <c r="F320" s="81">
        <v>0</v>
      </c>
      <c r="G320" s="81">
        <v>0</v>
      </c>
      <c r="H320" s="81">
        <v>0</v>
      </c>
    </row>
    <row r="321" spans="1:8" x14ac:dyDescent="0.25">
      <c r="A321" t="s">
        <v>337</v>
      </c>
      <c r="B321" s="81">
        <v>0</v>
      </c>
      <c r="C321" s="81">
        <v>0</v>
      </c>
      <c r="D321" s="81">
        <v>0</v>
      </c>
      <c r="E321" s="81">
        <v>0</v>
      </c>
      <c r="F321" s="81">
        <v>0</v>
      </c>
      <c r="G321" s="81">
        <v>0</v>
      </c>
      <c r="H321" s="81">
        <v>0</v>
      </c>
    </row>
    <row r="322" spans="1:8" x14ac:dyDescent="0.25">
      <c r="A322" t="s">
        <v>338</v>
      </c>
      <c r="B322" s="81">
        <v>0</v>
      </c>
      <c r="C322" s="81">
        <v>0</v>
      </c>
      <c r="D322" s="81">
        <v>0</v>
      </c>
      <c r="E322" s="81">
        <v>0</v>
      </c>
      <c r="F322" s="81">
        <v>0</v>
      </c>
      <c r="G322" s="81">
        <v>0</v>
      </c>
      <c r="H322" s="81">
        <v>0</v>
      </c>
    </row>
    <row r="323" spans="1:8" x14ac:dyDescent="0.25">
      <c r="A323" t="s">
        <v>339</v>
      </c>
      <c r="B323" s="81">
        <v>0</v>
      </c>
      <c r="C323" s="81">
        <v>0</v>
      </c>
      <c r="D323" s="81">
        <v>0</v>
      </c>
      <c r="E323" s="81">
        <v>0</v>
      </c>
      <c r="F323" s="81">
        <v>0</v>
      </c>
      <c r="G323" s="81">
        <v>0</v>
      </c>
      <c r="H323" s="81">
        <v>0</v>
      </c>
    </row>
    <row r="324" spans="1:8" x14ac:dyDescent="0.25">
      <c r="A324" t="s">
        <v>340</v>
      </c>
      <c r="B324" s="81">
        <v>0</v>
      </c>
      <c r="C324" s="81">
        <v>0</v>
      </c>
      <c r="D324" s="81">
        <v>0</v>
      </c>
      <c r="E324" s="81">
        <v>0</v>
      </c>
      <c r="F324" s="81">
        <v>0</v>
      </c>
      <c r="G324" s="81">
        <v>0</v>
      </c>
      <c r="H324" s="81">
        <v>0</v>
      </c>
    </row>
    <row r="325" spans="1:8" x14ac:dyDescent="0.25">
      <c r="A325" t="s">
        <v>500</v>
      </c>
      <c r="B325" s="81">
        <v>0</v>
      </c>
      <c r="C325" s="81">
        <v>0</v>
      </c>
      <c r="D325" s="81">
        <v>0</v>
      </c>
      <c r="E325" s="81">
        <v>0</v>
      </c>
      <c r="F325" s="81">
        <v>0</v>
      </c>
      <c r="G325" s="81">
        <v>0</v>
      </c>
      <c r="H325" s="81">
        <v>0</v>
      </c>
    </row>
    <row r="326" spans="1:8" x14ac:dyDescent="0.25">
      <c r="A326" t="s">
        <v>501</v>
      </c>
      <c r="B326" s="81">
        <v>0</v>
      </c>
      <c r="C326" s="81">
        <v>0</v>
      </c>
      <c r="D326" s="81">
        <v>0</v>
      </c>
      <c r="E326" s="81">
        <v>0</v>
      </c>
      <c r="F326" s="81">
        <v>0</v>
      </c>
      <c r="G326" s="81">
        <v>0</v>
      </c>
      <c r="H326" s="81">
        <v>0</v>
      </c>
    </row>
    <row r="327" spans="1:8" x14ac:dyDescent="0.25">
      <c r="A327" t="s">
        <v>502</v>
      </c>
      <c r="B327" s="81">
        <v>0</v>
      </c>
      <c r="C327" s="81">
        <v>0</v>
      </c>
      <c r="D327" s="81">
        <v>0</v>
      </c>
      <c r="E327" s="81">
        <v>0</v>
      </c>
      <c r="F327" s="81">
        <v>0</v>
      </c>
      <c r="G327" s="81">
        <v>0</v>
      </c>
      <c r="H327" s="81">
        <v>0</v>
      </c>
    </row>
    <row r="328" spans="1:8" x14ac:dyDescent="0.25">
      <c r="A328" t="s">
        <v>503</v>
      </c>
      <c r="B328" s="81">
        <v>0</v>
      </c>
      <c r="C328" s="81">
        <v>0</v>
      </c>
      <c r="D328" s="81">
        <v>0</v>
      </c>
      <c r="E328" s="81">
        <v>0</v>
      </c>
      <c r="F328" s="81">
        <v>0</v>
      </c>
      <c r="G328" s="81">
        <v>0</v>
      </c>
      <c r="H328" s="81">
        <v>0</v>
      </c>
    </row>
    <row r="329" spans="1:8" x14ac:dyDescent="0.25">
      <c r="A329" t="s">
        <v>341</v>
      </c>
      <c r="B329" s="81">
        <v>0</v>
      </c>
      <c r="C329" s="81">
        <v>0</v>
      </c>
      <c r="D329" s="81">
        <v>0</v>
      </c>
      <c r="E329" s="81">
        <v>0</v>
      </c>
      <c r="F329" s="81">
        <v>0</v>
      </c>
      <c r="G329" s="81">
        <v>0</v>
      </c>
      <c r="H329" s="81">
        <v>0</v>
      </c>
    </row>
    <row r="330" spans="1:8" x14ac:dyDescent="0.25">
      <c r="A330" t="s">
        <v>342</v>
      </c>
      <c r="B330" s="81">
        <v>0</v>
      </c>
      <c r="C330" s="81">
        <v>0</v>
      </c>
      <c r="D330" s="81">
        <v>0</v>
      </c>
      <c r="E330" s="81">
        <v>0</v>
      </c>
      <c r="F330" s="81">
        <v>0</v>
      </c>
      <c r="G330" s="81">
        <v>0</v>
      </c>
      <c r="H330" s="81">
        <v>0</v>
      </c>
    </row>
    <row r="331" spans="1:8" x14ac:dyDescent="0.25">
      <c r="A331" t="s">
        <v>343</v>
      </c>
      <c r="B331" s="81">
        <v>0</v>
      </c>
      <c r="C331" s="81">
        <v>0</v>
      </c>
      <c r="D331" s="81">
        <v>0</v>
      </c>
      <c r="E331" s="81">
        <v>0</v>
      </c>
      <c r="F331" s="81">
        <v>0</v>
      </c>
      <c r="G331" s="81">
        <v>0</v>
      </c>
      <c r="H331" s="81">
        <v>0</v>
      </c>
    </row>
    <row r="332" spans="1:8" x14ac:dyDescent="0.25">
      <c r="A332" t="s">
        <v>344</v>
      </c>
      <c r="B332" s="81">
        <v>0</v>
      </c>
      <c r="C332" s="81">
        <v>0</v>
      </c>
      <c r="D332" s="81">
        <v>0</v>
      </c>
      <c r="E332" s="81">
        <v>0</v>
      </c>
      <c r="F332" s="81">
        <v>0</v>
      </c>
      <c r="G332" s="81">
        <v>0</v>
      </c>
      <c r="H332" s="81">
        <v>0</v>
      </c>
    </row>
    <row r="333" spans="1:8" x14ac:dyDescent="0.25">
      <c r="A333" t="s">
        <v>504</v>
      </c>
      <c r="B333" s="81">
        <v>0</v>
      </c>
      <c r="C333" s="81">
        <v>0</v>
      </c>
      <c r="D333" s="81">
        <v>0</v>
      </c>
      <c r="E333" s="81">
        <v>0</v>
      </c>
      <c r="F333" s="81">
        <v>0</v>
      </c>
      <c r="G333" s="81">
        <v>0</v>
      </c>
      <c r="H333" s="81">
        <v>0</v>
      </c>
    </row>
    <row r="334" spans="1:8" x14ac:dyDescent="0.25">
      <c r="A334" t="s">
        <v>505</v>
      </c>
      <c r="B334" s="81">
        <v>0</v>
      </c>
      <c r="C334" s="81">
        <v>0</v>
      </c>
      <c r="D334" s="81">
        <v>0</v>
      </c>
      <c r="E334" s="81">
        <v>0</v>
      </c>
      <c r="F334" s="81">
        <v>0</v>
      </c>
      <c r="G334" s="81">
        <v>0</v>
      </c>
      <c r="H334" s="81">
        <v>0</v>
      </c>
    </row>
    <row r="335" spans="1:8" x14ac:dyDescent="0.25">
      <c r="A335" t="s">
        <v>506</v>
      </c>
      <c r="B335" s="81">
        <v>0</v>
      </c>
      <c r="C335" s="81">
        <v>0</v>
      </c>
      <c r="D335" s="81">
        <v>0</v>
      </c>
      <c r="E335" s="81">
        <v>0</v>
      </c>
      <c r="F335" s="81">
        <v>0</v>
      </c>
      <c r="G335" s="81">
        <v>0</v>
      </c>
      <c r="H335" s="81">
        <v>0</v>
      </c>
    </row>
    <row r="336" spans="1:8" x14ac:dyDescent="0.25">
      <c r="A336" t="s">
        <v>344</v>
      </c>
      <c r="B336" s="81">
        <v>0</v>
      </c>
      <c r="C336" s="81">
        <v>0</v>
      </c>
      <c r="D336" s="81">
        <v>0</v>
      </c>
      <c r="E336" s="81">
        <v>0</v>
      </c>
      <c r="F336" s="81">
        <v>0</v>
      </c>
      <c r="G336" s="81">
        <v>0</v>
      </c>
      <c r="H336" s="81">
        <v>0</v>
      </c>
    </row>
    <row r="337" spans="1:8" x14ac:dyDescent="0.25">
      <c r="A337" t="s">
        <v>472</v>
      </c>
      <c r="B337" s="81">
        <v>0</v>
      </c>
      <c r="C337" s="81">
        <v>0</v>
      </c>
      <c r="D337" s="81">
        <v>0</v>
      </c>
      <c r="E337" s="81">
        <v>0</v>
      </c>
      <c r="F337" s="81">
        <v>0</v>
      </c>
      <c r="G337" s="81">
        <v>0</v>
      </c>
      <c r="H337" s="81">
        <v>0</v>
      </c>
    </row>
    <row r="338" spans="1:8" x14ac:dyDescent="0.25">
      <c r="A338" t="s">
        <v>473</v>
      </c>
      <c r="B338" s="81">
        <v>0</v>
      </c>
      <c r="C338" s="81">
        <v>0</v>
      </c>
      <c r="D338" s="81">
        <v>0</v>
      </c>
      <c r="E338" s="81">
        <v>0</v>
      </c>
      <c r="F338" s="81">
        <v>0</v>
      </c>
      <c r="G338" s="81">
        <v>0</v>
      </c>
      <c r="H338" s="81">
        <v>0</v>
      </c>
    </row>
    <row r="339" spans="1:8" x14ac:dyDescent="0.25">
      <c r="A339" t="s">
        <v>474</v>
      </c>
      <c r="B339" s="81">
        <v>0</v>
      </c>
      <c r="C339" s="81">
        <v>0</v>
      </c>
      <c r="D339" s="81">
        <v>0</v>
      </c>
      <c r="E339" s="81">
        <v>0</v>
      </c>
      <c r="F339" s="81">
        <v>0</v>
      </c>
      <c r="G339" s="81">
        <v>0</v>
      </c>
      <c r="H339" s="81">
        <v>0</v>
      </c>
    </row>
    <row r="340" spans="1:8" x14ac:dyDescent="0.25">
      <c r="A340" t="s">
        <v>475</v>
      </c>
      <c r="B340" s="81">
        <v>0</v>
      </c>
      <c r="C340" s="81">
        <v>0</v>
      </c>
      <c r="D340" s="81">
        <v>0</v>
      </c>
      <c r="E340" s="81">
        <v>0</v>
      </c>
      <c r="F340" s="81">
        <v>0</v>
      </c>
      <c r="G340" s="81">
        <v>0</v>
      </c>
      <c r="H340" s="81">
        <v>0</v>
      </c>
    </row>
    <row r="341" spans="1:8" x14ac:dyDescent="0.25">
      <c r="A341" t="s">
        <v>492</v>
      </c>
      <c r="B341" s="81">
        <v>0</v>
      </c>
      <c r="C341" s="81">
        <v>0</v>
      </c>
      <c r="D341" s="81">
        <v>0</v>
      </c>
      <c r="E341" s="81">
        <v>0</v>
      </c>
      <c r="F341" s="81">
        <v>0</v>
      </c>
      <c r="G341" s="81">
        <v>0</v>
      </c>
      <c r="H341" s="81">
        <v>0</v>
      </c>
    </row>
    <row r="342" spans="1:8" x14ac:dyDescent="0.25">
      <c r="A342" t="s">
        <v>493</v>
      </c>
      <c r="B342" s="81">
        <v>0</v>
      </c>
      <c r="C342" s="81">
        <v>0</v>
      </c>
      <c r="D342" s="81">
        <v>0</v>
      </c>
      <c r="E342" s="81">
        <v>0</v>
      </c>
      <c r="F342" s="81">
        <v>0</v>
      </c>
      <c r="G342" s="81">
        <v>0</v>
      </c>
      <c r="H342" s="81">
        <v>0</v>
      </c>
    </row>
    <row r="343" spans="1:8" x14ac:dyDescent="0.25">
      <c r="A343" t="s">
        <v>494</v>
      </c>
      <c r="B343" s="81">
        <v>0</v>
      </c>
      <c r="C343" s="81">
        <v>0</v>
      </c>
      <c r="D343" s="81">
        <v>0</v>
      </c>
      <c r="E343" s="81">
        <v>0</v>
      </c>
      <c r="F343" s="81">
        <v>0</v>
      </c>
      <c r="G343" s="81">
        <v>0</v>
      </c>
      <c r="H343" s="81">
        <v>0</v>
      </c>
    </row>
    <row r="344" spans="1:8" x14ac:dyDescent="0.25">
      <c r="A344" t="s">
        <v>495</v>
      </c>
      <c r="B344" s="81">
        <v>0</v>
      </c>
      <c r="C344" s="81">
        <v>0</v>
      </c>
      <c r="D344" s="81">
        <v>0</v>
      </c>
      <c r="E344" s="81">
        <v>0</v>
      </c>
      <c r="F344" s="81">
        <v>0</v>
      </c>
      <c r="G344" s="81">
        <v>0</v>
      </c>
      <c r="H344" s="81">
        <v>0</v>
      </c>
    </row>
    <row r="345" spans="1:8" x14ac:dyDescent="0.25">
      <c r="A345" t="s">
        <v>345</v>
      </c>
      <c r="B345" s="81">
        <v>0</v>
      </c>
      <c r="C345" s="81">
        <v>0</v>
      </c>
      <c r="D345" s="81">
        <v>0</v>
      </c>
      <c r="E345" s="81">
        <v>0</v>
      </c>
      <c r="F345" s="81">
        <v>0</v>
      </c>
      <c r="G345" s="81">
        <v>0</v>
      </c>
      <c r="H345" s="81">
        <v>0</v>
      </c>
    </row>
    <row r="346" spans="1:8" x14ac:dyDescent="0.25">
      <c r="A346" t="s">
        <v>346</v>
      </c>
      <c r="B346" s="81">
        <v>0</v>
      </c>
      <c r="C346" s="81">
        <v>0</v>
      </c>
      <c r="D346" s="81">
        <v>0</v>
      </c>
      <c r="E346" s="81">
        <v>0</v>
      </c>
      <c r="F346" s="81">
        <v>0</v>
      </c>
      <c r="G346" s="81">
        <v>0</v>
      </c>
      <c r="H346" s="81">
        <v>0</v>
      </c>
    </row>
    <row r="347" spans="1:8" x14ac:dyDescent="0.25">
      <c r="A347" t="s">
        <v>347</v>
      </c>
      <c r="B347" s="81">
        <v>0</v>
      </c>
      <c r="C347" s="81">
        <v>0</v>
      </c>
      <c r="D347" s="81">
        <v>0</v>
      </c>
      <c r="E347" s="81">
        <v>0</v>
      </c>
      <c r="F347" s="81">
        <v>0</v>
      </c>
      <c r="G347" s="81">
        <v>0</v>
      </c>
      <c r="H347" s="81">
        <v>0</v>
      </c>
    </row>
    <row r="348" spans="1:8" x14ac:dyDescent="0.25">
      <c r="A348" t="s">
        <v>348</v>
      </c>
      <c r="B348" s="81">
        <v>0</v>
      </c>
      <c r="C348" s="81">
        <v>0</v>
      </c>
      <c r="D348" s="81">
        <v>0</v>
      </c>
      <c r="E348" s="81">
        <v>0</v>
      </c>
      <c r="F348" s="81">
        <v>0</v>
      </c>
      <c r="G348" s="81">
        <v>0</v>
      </c>
      <c r="H348" s="81">
        <v>0</v>
      </c>
    </row>
    <row r="349" spans="1:8" x14ac:dyDescent="0.25">
      <c r="A349" t="s">
        <v>349</v>
      </c>
      <c r="B349" s="81">
        <v>0</v>
      </c>
      <c r="C349" s="81">
        <v>0</v>
      </c>
      <c r="D349" s="81">
        <v>0</v>
      </c>
      <c r="E349" s="81">
        <v>0</v>
      </c>
      <c r="F349" s="81">
        <v>0</v>
      </c>
      <c r="G349" s="81">
        <v>0</v>
      </c>
      <c r="H349" s="81">
        <v>0</v>
      </c>
    </row>
    <row r="350" spans="1:8" x14ac:dyDescent="0.25">
      <c r="A350" t="s">
        <v>350</v>
      </c>
      <c r="B350" s="81">
        <v>0</v>
      </c>
      <c r="C350" s="81">
        <v>0</v>
      </c>
      <c r="D350" s="81">
        <v>0</v>
      </c>
      <c r="E350" s="81">
        <v>0</v>
      </c>
      <c r="F350" s="81">
        <v>0</v>
      </c>
      <c r="G350" s="81">
        <v>0</v>
      </c>
      <c r="H350" s="81">
        <v>0</v>
      </c>
    </row>
    <row r="351" spans="1:8" x14ac:dyDescent="0.25">
      <c r="A351" t="s">
        <v>351</v>
      </c>
      <c r="B351" s="81">
        <v>0</v>
      </c>
      <c r="C351" s="81">
        <v>0</v>
      </c>
      <c r="D351" s="81">
        <v>0</v>
      </c>
      <c r="E351" s="81">
        <v>0</v>
      </c>
      <c r="F351" s="81">
        <v>0</v>
      </c>
      <c r="G351" s="81">
        <v>0</v>
      </c>
      <c r="H351" s="81">
        <v>0</v>
      </c>
    </row>
    <row r="352" spans="1:8" x14ac:dyDescent="0.25">
      <c r="A352" t="s">
        <v>352</v>
      </c>
      <c r="B352" s="81">
        <v>0</v>
      </c>
      <c r="C352" s="81">
        <v>0</v>
      </c>
      <c r="D352" s="81">
        <v>0</v>
      </c>
      <c r="E352" s="81">
        <v>0</v>
      </c>
      <c r="F352" s="81">
        <v>0</v>
      </c>
      <c r="G352" s="81">
        <v>0</v>
      </c>
      <c r="H352" s="81">
        <v>0</v>
      </c>
    </row>
    <row r="353" spans="1:8" x14ac:dyDescent="0.25">
      <c r="A353" t="s">
        <v>353</v>
      </c>
      <c r="B353" s="81">
        <v>0</v>
      </c>
      <c r="C353" s="81">
        <v>0</v>
      </c>
      <c r="D353" s="81">
        <v>0</v>
      </c>
      <c r="E353" s="81">
        <v>0</v>
      </c>
      <c r="F353" s="81">
        <v>0</v>
      </c>
      <c r="G353" s="81">
        <v>0</v>
      </c>
      <c r="H353" s="81">
        <v>0</v>
      </c>
    </row>
    <row r="354" spans="1:8" x14ac:dyDescent="0.25">
      <c r="A354" t="s">
        <v>354</v>
      </c>
      <c r="B354" s="81">
        <v>0</v>
      </c>
      <c r="C354" s="81">
        <v>0</v>
      </c>
      <c r="D354" s="81">
        <v>0</v>
      </c>
      <c r="E354" s="81">
        <v>0</v>
      </c>
      <c r="F354" s="81">
        <v>0</v>
      </c>
      <c r="G354" s="81">
        <v>0</v>
      </c>
      <c r="H354" s="81">
        <v>0</v>
      </c>
    </row>
    <row r="355" spans="1:8" x14ac:dyDescent="0.25">
      <c r="A355" t="s">
        <v>355</v>
      </c>
      <c r="B355" s="81">
        <v>0</v>
      </c>
      <c r="C355" s="81">
        <v>0</v>
      </c>
      <c r="D355" s="81">
        <v>0</v>
      </c>
      <c r="E355" s="81">
        <v>0</v>
      </c>
      <c r="F355" s="81">
        <v>0</v>
      </c>
      <c r="G355" s="81">
        <v>0</v>
      </c>
      <c r="H355" s="81">
        <v>0</v>
      </c>
    </row>
    <row r="356" spans="1:8" x14ac:dyDescent="0.25">
      <c r="A356" t="s">
        <v>356</v>
      </c>
      <c r="B356" s="81">
        <v>0</v>
      </c>
      <c r="C356" s="81">
        <v>0</v>
      </c>
      <c r="D356" s="81">
        <v>0</v>
      </c>
      <c r="E356" s="81">
        <v>0</v>
      </c>
      <c r="F356" s="81">
        <v>0</v>
      </c>
      <c r="G356" s="81">
        <v>0</v>
      </c>
      <c r="H356" s="81">
        <v>0</v>
      </c>
    </row>
    <row r="357" spans="1:8" x14ac:dyDescent="0.25">
      <c r="A357" t="s">
        <v>357</v>
      </c>
      <c r="B357" s="81">
        <v>0</v>
      </c>
      <c r="C357" s="81">
        <v>0</v>
      </c>
      <c r="D357" s="81">
        <v>0</v>
      </c>
      <c r="E357" s="81">
        <v>0</v>
      </c>
      <c r="F357" s="81">
        <v>0</v>
      </c>
      <c r="G357" s="81">
        <v>0</v>
      </c>
      <c r="H357" s="81">
        <v>0</v>
      </c>
    </row>
    <row r="358" spans="1:8" x14ac:dyDescent="0.25">
      <c r="A358" t="s">
        <v>358</v>
      </c>
      <c r="B358" s="81">
        <v>0</v>
      </c>
      <c r="C358" s="81">
        <v>0</v>
      </c>
      <c r="D358" s="81">
        <v>0</v>
      </c>
      <c r="E358" s="81">
        <v>0</v>
      </c>
      <c r="F358" s="81">
        <v>0</v>
      </c>
      <c r="G358" s="81">
        <v>0</v>
      </c>
      <c r="H358" s="81">
        <v>0</v>
      </c>
    </row>
    <row r="359" spans="1:8" x14ac:dyDescent="0.25">
      <c r="A359" t="s">
        <v>359</v>
      </c>
      <c r="B359" s="81">
        <v>0</v>
      </c>
      <c r="C359" s="81">
        <v>0</v>
      </c>
      <c r="D359" s="81">
        <v>0</v>
      </c>
      <c r="E359" s="81">
        <v>0</v>
      </c>
      <c r="F359" s="81">
        <v>0</v>
      </c>
      <c r="G359" s="81">
        <v>0</v>
      </c>
      <c r="H359" s="81">
        <v>0</v>
      </c>
    </row>
    <row r="360" spans="1:8" x14ac:dyDescent="0.25">
      <c r="A360" t="s">
        <v>360</v>
      </c>
      <c r="B360" s="81">
        <v>0</v>
      </c>
      <c r="C360" s="81">
        <v>0</v>
      </c>
      <c r="D360" s="81">
        <v>0</v>
      </c>
      <c r="E360" s="81">
        <v>0</v>
      </c>
      <c r="F360" s="81">
        <v>0</v>
      </c>
      <c r="G360" s="81">
        <v>0</v>
      </c>
      <c r="H360" s="81">
        <v>0</v>
      </c>
    </row>
    <row r="361" spans="1:8" x14ac:dyDescent="0.25">
      <c r="A361" t="s">
        <v>361</v>
      </c>
      <c r="B361" s="81">
        <v>0</v>
      </c>
      <c r="C361" s="81">
        <v>0</v>
      </c>
      <c r="D361" s="81">
        <v>0</v>
      </c>
      <c r="E361" s="81">
        <v>0</v>
      </c>
      <c r="F361" s="81">
        <v>0</v>
      </c>
      <c r="G361" s="81">
        <v>0</v>
      </c>
      <c r="H361" s="81">
        <v>0</v>
      </c>
    </row>
    <row r="362" spans="1:8" x14ac:dyDescent="0.25">
      <c r="A362" t="s">
        <v>362</v>
      </c>
      <c r="B362" s="81">
        <v>0</v>
      </c>
      <c r="C362" s="81">
        <v>0</v>
      </c>
      <c r="D362" s="81">
        <v>0</v>
      </c>
      <c r="E362" s="81">
        <v>0</v>
      </c>
      <c r="F362" s="81">
        <v>0</v>
      </c>
      <c r="G362" s="81">
        <v>0</v>
      </c>
      <c r="H362" s="81">
        <v>0</v>
      </c>
    </row>
    <row r="363" spans="1:8" x14ac:dyDescent="0.25">
      <c r="A363" t="s">
        <v>363</v>
      </c>
      <c r="B363" s="81">
        <v>0</v>
      </c>
      <c r="C363" s="81">
        <v>0</v>
      </c>
      <c r="D363" s="81">
        <v>0</v>
      </c>
      <c r="E363" s="81">
        <v>0</v>
      </c>
      <c r="F363" s="81">
        <v>0</v>
      </c>
      <c r="G363" s="81">
        <v>0</v>
      </c>
      <c r="H363" s="81">
        <v>0</v>
      </c>
    </row>
    <row r="364" spans="1:8" x14ac:dyDescent="0.25">
      <c r="A364" t="s">
        <v>364</v>
      </c>
      <c r="B364" s="81">
        <v>0</v>
      </c>
      <c r="C364" s="81">
        <v>0</v>
      </c>
      <c r="D364" s="81">
        <v>0</v>
      </c>
      <c r="E364" s="81">
        <v>0</v>
      </c>
      <c r="F364" s="81">
        <v>0</v>
      </c>
      <c r="G364" s="81">
        <v>0</v>
      </c>
      <c r="H364" s="81">
        <v>0</v>
      </c>
    </row>
    <row r="365" spans="1:8" x14ac:dyDescent="0.25">
      <c r="A365" t="s">
        <v>365</v>
      </c>
      <c r="B365" s="81">
        <v>0</v>
      </c>
      <c r="C365" s="81">
        <v>0</v>
      </c>
      <c r="D365" s="81">
        <v>0</v>
      </c>
      <c r="E365" s="81">
        <v>0</v>
      </c>
      <c r="F365" s="81">
        <v>0</v>
      </c>
      <c r="G365" s="81">
        <v>0</v>
      </c>
      <c r="H365" s="81">
        <v>0</v>
      </c>
    </row>
    <row r="366" spans="1:8" x14ac:dyDescent="0.25">
      <c r="A366" t="s">
        <v>366</v>
      </c>
      <c r="B366" s="81">
        <v>0</v>
      </c>
      <c r="C366" s="81">
        <v>0</v>
      </c>
      <c r="D366" s="81">
        <v>0</v>
      </c>
      <c r="E366" s="81">
        <v>0</v>
      </c>
      <c r="F366" s="81">
        <v>0</v>
      </c>
      <c r="G366" s="81">
        <v>0</v>
      </c>
      <c r="H366" s="81">
        <v>0</v>
      </c>
    </row>
    <row r="367" spans="1:8" x14ac:dyDescent="0.25">
      <c r="A367" t="s">
        <v>367</v>
      </c>
      <c r="B367" s="81">
        <v>0</v>
      </c>
      <c r="C367" s="81">
        <v>0</v>
      </c>
      <c r="D367" s="81">
        <v>0</v>
      </c>
      <c r="E367" s="81">
        <v>0</v>
      </c>
      <c r="F367" s="81">
        <v>0</v>
      </c>
      <c r="G367" s="81">
        <v>0</v>
      </c>
      <c r="H367" s="81">
        <v>0</v>
      </c>
    </row>
    <row r="368" spans="1:8" x14ac:dyDescent="0.25">
      <c r="A368" t="s">
        <v>368</v>
      </c>
      <c r="B368" s="81">
        <v>0</v>
      </c>
      <c r="C368" s="81">
        <v>0</v>
      </c>
      <c r="D368" s="81">
        <v>0</v>
      </c>
      <c r="E368" s="81">
        <v>0</v>
      </c>
      <c r="F368" s="81">
        <v>0</v>
      </c>
      <c r="G368" s="81">
        <v>0</v>
      </c>
      <c r="H368" s="81">
        <v>0</v>
      </c>
    </row>
    <row r="369" spans="1:8" x14ac:dyDescent="0.25">
      <c r="A369" t="s">
        <v>369</v>
      </c>
      <c r="B369" s="81">
        <v>0</v>
      </c>
      <c r="C369" s="81">
        <v>0</v>
      </c>
      <c r="D369" s="81">
        <v>0</v>
      </c>
      <c r="E369" s="81">
        <v>0</v>
      </c>
      <c r="F369" s="81">
        <v>0</v>
      </c>
      <c r="G369" s="81">
        <v>0</v>
      </c>
      <c r="H369" s="81">
        <v>0</v>
      </c>
    </row>
    <row r="370" spans="1:8" x14ac:dyDescent="0.25">
      <c r="A370" t="s">
        <v>370</v>
      </c>
      <c r="B370" s="81">
        <v>0</v>
      </c>
      <c r="C370" s="81">
        <v>0</v>
      </c>
      <c r="D370" s="81">
        <v>0</v>
      </c>
      <c r="E370" s="81">
        <v>0</v>
      </c>
      <c r="F370" s="81">
        <v>0</v>
      </c>
      <c r="G370" s="81">
        <v>0</v>
      </c>
      <c r="H370" s="81">
        <v>0</v>
      </c>
    </row>
    <row r="371" spans="1:8" x14ac:dyDescent="0.25">
      <c r="A371" t="s">
        <v>371</v>
      </c>
      <c r="B371" s="81">
        <v>0</v>
      </c>
      <c r="C371" s="81">
        <v>0</v>
      </c>
      <c r="D371" s="81">
        <v>0</v>
      </c>
      <c r="E371" s="81">
        <v>0</v>
      </c>
      <c r="F371" s="81">
        <v>0</v>
      </c>
      <c r="G371" s="81">
        <v>0</v>
      </c>
      <c r="H371" s="81">
        <v>0</v>
      </c>
    </row>
    <row r="372" spans="1:8" x14ac:dyDescent="0.25">
      <c r="A372" t="s">
        <v>372</v>
      </c>
      <c r="B372" s="81">
        <v>0</v>
      </c>
      <c r="C372" s="81">
        <v>0</v>
      </c>
      <c r="D372" s="81">
        <v>0</v>
      </c>
      <c r="E372" s="81">
        <v>0</v>
      </c>
      <c r="F372" s="81">
        <v>0</v>
      </c>
      <c r="G372" s="81">
        <v>0</v>
      </c>
      <c r="H372" s="81">
        <v>0</v>
      </c>
    </row>
    <row r="373" spans="1:8" x14ac:dyDescent="0.25">
      <c r="A373" t="s">
        <v>373</v>
      </c>
      <c r="B373" s="81">
        <v>0</v>
      </c>
      <c r="C373" s="81">
        <v>0</v>
      </c>
      <c r="D373" s="81">
        <v>0</v>
      </c>
      <c r="E373" s="81">
        <v>0</v>
      </c>
      <c r="F373" s="81">
        <v>0</v>
      </c>
      <c r="G373" s="81">
        <v>0</v>
      </c>
      <c r="H373" s="81">
        <v>0</v>
      </c>
    </row>
    <row r="374" spans="1:8" x14ac:dyDescent="0.25">
      <c r="A374" t="s">
        <v>374</v>
      </c>
      <c r="B374" s="81">
        <v>0</v>
      </c>
      <c r="C374" s="81">
        <v>0</v>
      </c>
      <c r="D374" s="81">
        <v>0</v>
      </c>
      <c r="E374" s="81">
        <v>0</v>
      </c>
      <c r="F374" s="81">
        <v>0</v>
      </c>
      <c r="G374" s="81">
        <v>0</v>
      </c>
      <c r="H374" s="81">
        <v>0</v>
      </c>
    </row>
    <row r="375" spans="1:8" x14ac:dyDescent="0.25">
      <c r="A375" t="s">
        <v>375</v>
      </c>
      <c r="B375" s="81">
        <v>0</v>
      </c>
      <c r="C375" s="81">
        <v>0</v>
      </c>
      <c r="D375" s="81">
        <v>0</v>
      </c>
      <c r="E375" s="81">
        <v>0</v>
      </c>
      <c r="F375" s="81">
        <v>0</v>
      </c>
      <c r="G375" s="81">
        <v>0</v>
      </c>
      <c r="H375" s="81">
        <v>0</v>
      </c>
    </row>
    <row r="376" spans="1:8" x14ac:dyDescent="0.25">
      <c r="A376" t="s">
        <v>376</v>
      </c>
      <c r="B376" s="81">
        <v>0</v>
      </c>
      <c r="C376" s="81">
        <v>0</v>
      </c>
      <c r="D376" s="81">
        <v>0</v>
      </c>
      <c r="E376" s="81">
        <v>0</v>
      </c>
      <c r="F376" s="81">
        <v>0</v>
      </c>
      <c r="G376" s="81">
        <v>0</v>
      </c>
      <c r="H376" s="81">
        <v>0</v>
      </c>
    </row>
    <row r="377" spans="1:8" x14ac:dyDescent="0.25">
      <c r="A377" t="s">
        <v>377</v>
      </c>
      <c r="B377" s="81">
        <v>0</v>
      </c>
      <c r="C377" s="81">
        <v>0</v>
      </c>
      <c r="D377" s="81">
        <v>0</v>
      </c>
      <c r="E377" s="81">
        <v>0</v>
      </c>
      <c r="F377" s="81">
        <v>0</v>
      </c>
      <c r="G377" s="81">
        <v>0</v>
      </c>
      <c r="H377" s="81">
        <v>0</v>
      </c>
    </row>
    <row r="378" spans="1:8" x14ac:dyDescent="0.25">
      <c r="A378" t="s">
        <v>378</v>
      </c>
      <c r="B378" s="81">
        <v>0</v>
      </c>
      <c r="C378" s="81">
        <v>0</v>
      </c>
      <c r="D378" s="81">
        <v>0</v>
      </c>
      <c r="E378" s="81">
        <v>0</v>
      </c>
      <c r="F378" s="81">
        <v>0</v>
      </c>
      <c r="G378" s="81">
        <v>0</v>
      </c>
      <c r="H378" s="81">
        <v>0</v>
      </c>
    </row>
    <row r="379" spans="1:8" x14ac:dyDescent="0.25">
      <c r="A379" t="s">
        <v>379</v>
      </c>
      <c r="B379" s="81">
        <v>0</v>
      </c>
      <c r="C379" s="81">
        <v>0</v>
      </c>
      <c r="D379" s="81">
        <v>0</v>
      </c>
      <c r="E379" s="81">
        <v>0</v>
      </c>
      <c r="F379" s="81">
        <v>0</v>
      </c>
      <c r="G379" s="81">
        <v>0</v>
      </c>
      <c r="H379" s="81">
        <v>0</v>
      </c>
    </row>
    <row r="380" spans="1:8" x14ac:dyDescent="0.25">
      <c r="A380" t="s">
        <v>380</v>
      </c>
      <c r="B380" s="81">
        <v>0</v>
      </c>
      <c r="C380" s="81">
        <v>0</v>
      </c>
      <c r="D380" s="81">
        <v>0</v>
      </c>
      <c r="E380" s="81">
        <v>0</v>
      </c>
      <c r="F380" s="81">
        <v>0</v>
      </c>
      <c r="G380" s="81">
        <v>0</v>
      </c>
      <c r="H380" s="81">
        <v>0</v>
      </c>
    </row>
    <row r="381" spans="1:8" x14ac:dyDescent="0.25">
      <c r="A381" t="s">
        <v>381</v>
      </c>
      <c r="B381" s="81">
        <v>0</v>
      </c>
      <c r="C381" s="81">
        <v>0</v>
      </c>
      <c r="D381" s="81">
        <v>0</v>
      </c>
      <c r="E381" s="81">
        <v>0</v>
      </c>
      <c r="F381" s="81">
        <v>0</v>
      </c>
      <c r="G381" s="81">
        <v>0</v>
      </c>
      <c r="H381" s="81">
        <v>0</v>
      </c>
    </row>
    <row r="382" spans="1:8" x14ac:dyDescent="0.25">
      <c r="A382" t="s">
        <v>382</v>
      </c>
      <c r="B382" s="81">
        <v>0</v>
      </c>
      <c r="C382" s="81">
        <v>0</v>
      </c>
      <c r="D382" s="81">
        <v>0</v>
      </c>
      <c r="E382" s="81">
        <v>0</v>
      </c>
      <c r="F382" s="81">
        <v>0</v>
      </c>
      <c r="G382" s="81">
        <v>0</v>
      </c>
      <c r="H382" s="81">
        <v>0</v>
      </c>
    </row>
    <row r="383" spans="1:8" x14ac:dyDescent="0.25">
      <c r="A383" t="s">
        <v>383</v>
      </c>
      <c r="B383" s="81">
        <v>0</v>
      </c>
      <c r="C383" s="81">
        <v>0</v>
      </c>
      <c r="D383" s="81">
        <v>0</v>
      </c>
      <c r="E383" s="81">
        <v>0</v>
      </c>
      <c r="F383" s="81">
        <v>0</v>
      </c>
      <c r="G383" s="81">
        <v>0</v>
      </c>
      <c r="H383" s="81">
        <v>0</v>
      </c>
    </row>
    <row r="384" spans="1:8" x14ac:dyDescent="0.25">
      <c r="A384" t="s">
        <v>384</v>
      </c>
      <c r="B384" s="81">
        <v>0</v>
      </c>
      <c r="C384" s="81">
        <v>0</v>
      </c>
      <c r="D384" s="81">
        <v>0</v>
      </c>
      <c r="E384" s="81">
        <v>0</v>
      </c>
      <c r="F384" s="81">
        <v>0</v>
      </c>
      <c r="G384" s="81">
        <v>0</v>
      </c>
      <c r="H384" s="81">
        <v>0</v>
      </c>
    </row>
    <row r="385" spans="1:8" x14ac:dyDescent="0.25">
      <c r="A385" t="s">
        <v>385</v>
      </c>
      <c r="B385" s="81">
        <v>0</v>
      </c>
      <c r="C385" s="81">
        <v>0</v>
      </c>
      <c r="D385" s="81">
        <v>0</v>
      </c>
      <c r="E385" s="81">
        <v>0</v>
      </c>
      <c r="F385" s="81">
        <v>0</v>
      </c>
      <c r="G385" s="81">
        <v>0</v>
      </c>
      <c r="H385" s="81">
        <v>0</v>
      </c>
    </row>
    <row r="386" spans="1:8" x14ac:dyDescent="0.25">
      <c r="A386" t="s">
        <v>386</v>
      </c>
      <c r="B386" s="81">
        <v>0</v>
      </c>
      <c r="C386" s="81">
        <v>0</v>
      </c>
      <c r="D386" s="81">
        <v>0</v>
      </c>
      <c r="E386" s="81">
        <v>0</v>
      </c>
      <c r="F386" s="81">
        <v>0</v>
      </c>
      <c r="G386" s="81">
        <v>0</v>
      </c>
      <c r="H386" s="81">
        <v>0</v>
      </c>
    </row>
    <row r="387" spans="1:8" x14ac:dyDescent="0.25">
      <c r="A387" t="s">
        <v>387</v>
      </c>
      <c r="B387" s="81">
        <v>0</v>
      </c>
      <c r="C387" s="81">
        <v>0</v>
      </c>
      <c r="D387" s="81">
        <v>0</v>
      </c>
      <c r="E387" s="81">
        <v>0</v>
      </c>
      <c r="F387" s="81">
        <v>0</v>
      </c>
      <c r="G387" s="81">
        <v>0</v>
      </c>
      <c r="H387" s="81">
        <v>0</v>
      </c>
    </row>
    <row r="388" spans="1:8" x14ac:dyDescent="0.25">
      <c r="A388" t="s">
        <v>388</v>
      </c>
      <c r="B388" s="81">
        <v>0</v>
      </c>
      <c r="C388" s="81">
        <v>0</v>
      </c>
      <c r="D388" s="81">
        <v>0</v>
      </c>
      <c r="E388" s="81">
        <v>0</v>
      </c>
      <c r="F388" s="81">
        <v>0</v>
      </c>
      <c r="G388" s="81">
        <v>0</v>
      </c>
      <c r="H388" s="81">
        <v>0</v>
      </c>
    </row>
    <row r="389" spans="1:8" x14ac:dyDescent="0.25">
      <c r="A389" t="s">
        <v>389</v>
      </c>
      <c r="B389" s="81">
        <v>0</v>
      </c>
      <c r="C389" s="81">
        <v>0</v>
      </c>
      <c r="D389" s="81">
        <v>0</v>
      </c>
      <c r="E389" s="81">
        <v>0</v>
      </c>
      <c r="F389" s="81">
        <v>0</v>
      </c>
      <c r="G389" s="81">
        <v>0</v>
      </c>
      <c r="H389" s="81">
        <v>0</v>
      </c>
    </row>
    <row r="390" spans="1:8" x14ac:dyDescent="0.25">
      <c r="A390" t="s">
        <v>390</v>
      </c>
      <c r="B390" s="81">
        <v>0</v>
      </c>
      <c r="C390" s="81">
        <v>0</v>
      </c>
      <c r="D390" s="81">
        <v>0</v>
      </c>
      <c r="E390" s="81">
        <v>0</v>
      </c>
      <c r="F390" s="81">
        <v>0</v>
      </c>
      <c r="G390" s="81">
        <v>0</v>
      </c>
      <c r="H390" s="81">
        <v>0</v>
      </c>
    </row>
    <row r="391" spans="1:8" x14ac:dyDescent="0.25">
      <c r="A391" t="s">
        <v>391</v>
      </c>
      <c r="B391" s="81">
        <v>0</v>
      </c>
      <c r="C391" s="81">
        <v>0</v>
      </c>
      <c r="D391" s="81">
        <v>0</v>
      </c>
      <c r="E391" s="81">
        <v>0</v>
      </c>
      <c r="F391" s="81">
        <v>0</v>
      </c>
      <c r="G391" s="81">
        <v>0</v>
      </c>
      <c r="H391" s="81">
        <v>0</v>
      </c>
    </row>
    <row r="392" spans="1:8" x14ac:dyDescent="0.25">
      <c r="A392" t="s">
        <v>392</v>
      </c>
      <c r="B392" s="81">
        <v>0</v>
      </c>
      <c r="C392" s="81">
        <v>0</v>
      </c>
      <c r="D392" s="81">
        <v>0</v>
      </c>
      <c r="E392" s="81">
        <v>0</v>
      </c>
      <c r="F392" s="81">
        <v>0</v>
      </c>
      <c r="G392" s="81">
        <v>0</v>
      </c>
      <c r="H392" s="81">
        <v>0</v>
      </c>
    </row>
    <row r="393" spans="1:8" x14ac:dyDescent="0.25">
      <c r="A393" t="s">
        <v>393</v>
      </c>
      <c r="B393" s="81">
        <v>0</v>
      </c>
      <c r="C393" s="81">
        <v>0</v>
      </c>
      <c r="D393" s="81">
        <v>0</v>
      </c>
      <c r="E393" s="81">
        <v>0</v>
      </c>
      <c r="F393" s="81">
        <v>0</v>
      </c>
      <c r="G393" s="81">
        <v>0</v>
      </c>
      <c r="H393" s="81">
        <v>0</v>
      </c>
    </row>
    <row r="394" spans="1:8" x14ac:dyDescent="0.25">
      <c r="A394" t="s">
        <v>394</v>
      </c>
      <c r="B394" s="81">
        <v>0</v>
      </c>
      <c r="C394" s="81">
        <v>0</v>
      </c>
      <c r="D394" s="81">
        <v>0</v>
      </c>
      <c r="E394" s="81">
        <v>0</v>
      </c>
      <c r="F394" s="81">
        <v>0</v>
      </c>
      <c r="G394" s="81">
        <v>0</v>
      </c>
      <c r="H394" s="81">
        <v>0</v>
      </c>
    </row>
    <row r="395" spans="1:8" x14ac:dyDescent="0.25">
      <c r="A395" t="s">
        <v>395</v>
      </c>
      <c r="B395" s="81">
        <v>0</v>
      </c>
      <c r="C395" s="81">
        <v>0</v>
      </c>
      <c r="D395" s="81">
        <v>0</v>
      </c>
      <c r="E395" s="81">
        <v>0</v>
      </c>
      <c r="F395" s="81">
        <v>0</v>
      </c>
      <c r="G395" s="81">
        <v>0</v>
      </c>
      <c r="H395" s="81">
        <v>0</v>
      </c>
    </row>
    <row r="396" spans="1:8" x14ac:dyDescent="0.25">
      <c r="A396" t="s">
        <v>396</v>
      </c>
      <c r="B396" s="81">
        <v>0</v>
      </c>
      <c r="C396" s="81">
        <v>0</v>
      </c>
      <c r="D396" s="81">
        <v>0</v>
      </c>
      <c r="E396" s="81">
        <v>0</v>
      </c>
      <c r="F396" s="81">
        <v>0</v>
      </c>
      <c r="G396" s="81">
        <v>0</v>
      </c>
      <c r="H396" s="81">
        <v>0</v>
      </c>
    </row>
    <row r="397" spans="1:8" x14ac:dyDescent="0.25">
      <c r="A397" t="s">
        <v>397</v>
      </c>
      <c r="B397" s="81">
        <v>0</v>
      </c>
      <c r="C397" s="81">
        <v>0</v>
      </c>
      <c r="D397" s="81">
        <v>0</v>
      </c>
      <c r="E397" s="81">
        <v>0</v>
      </c>
      <c r="F397" s="81">
        <v>0</v>
      </c>
      <c r="G397" s="81">
        <v>0</v>
      </c>
      <c r="H397" s="81">
        <v>0</v>
      </c>
    </row>
    <row r="398" spans="1:8" x14ac:dyDescent="0.25">
      <c r="A398" t="s">
        <v>398</v>
      </c>
      <c r="B398" s="81">
        <v>0</v>
      </c>
      <c r="C398" s="81">
        <v>0</v>
      </c>
      <c r="D398" s="81">
        <v>0</v>
      </c>
      <c r="E398" s="81">
        <v>0</v>
      </c>
      <c r="F398" s="81">
        <v>0</v>
      </c>
      <c r="G398" s="81">
        <v>0</v>
      </c>
      <c r="H398" s="81">
        <v>0</v>
      </c>
    </row>
    <row r="399" spans="1:8" x14ac:dyDescent="0.25">
      <c r="A399" t="s">
        <v>399</v>
      </c>
      <c r="B399" s="81">
        <v>0</v>
      </c>
      <c r="C399" s="81">
        <v>0</v>
      </c>
      <c r="D399" s="81">
        <v>0</v>
      </c>
      <c r="E399" s="81">
        <v>0</v>
      </c>
      <c r="F399" s="81">
        <v>0</v>
      </c>
      <c r="G399" s="81">
        <v>0</v>
      </c>
      <c r="H399" s="81">
        <v>0</v>
      </c>
    </row>
    <row r="400" spans="1:8" x14ac:dyDescent="0.25">
      <c r="A400" t="s">
        <v>400</v>
      </c>
      <c r="B400" s="81">
        <v>0</v>
      </c>
      <c r="C400" s="81">
        <v>0</v>
      </c>
      <c r="D400" s="81">
        <v>0</v>
      </c>
      <c r="E400" s="81">
        <v>0</v>
      </c>
      <c r="F400" s="81">
        <v>0</v>
      </c>
      <c r="G400" s="81">
        <v>0</v>
      </c>
      <c r="H400" s="81">
        <v>0</v>
      </c>
    </row>
    <row r="401" spans="1:8" x14ac:dyDescent="0.25">
      <c r="A401" t="s">
        <v>401</v>
      </c>
      <c r="B401" s="81">
        <v>0</v>
      </c>
      <c r="C401" s="81">
        <v>0</v>
      </c>
      <c r="D401" s="81">
        <v>0</v>
      </c>
      <c r="E401" s="81">
        <v>0</v>
      </c>
      <c r="F401" s="81">
        <v>0</v>
      </c>
      <c r="G401" s="81">
        <v>0</v>
      </c>
      <c r="H401" s="81">
        <v>0</v>
      </c>
    </row>
    <row r="402" spans="1:8" x14ac:dyDescent="0.25">
      <c r="A402" t="s">
        <v>402</v>
      </c>
      <c r="B402" s="81">
        <v>0</v>
      </c>
      <c r="C402" s="81">
        <v>0</v>
      </c>
      <c r="D402" s="81">
        <v>0</v>
      </c>
      <c r="E402" s="81">
        <v>0</v>
      </c>
      <c r="F402" s="81">
        <v>0</v>
      </c>
      <c r="G402" s="81">
        <v>0</v>
      </c>
      <c r="H402" s="81">
        <v>0</v>
      </c>
    </row>
    <row r="403" spans="1:8" x14ac:dyDescent="0.25">
      <c r="A403" t="s">
        <v>403</v>
      </c>
      <c r="B403" s="81">
        <v>0</v>
      </c>
      <c r="C403" s="81">
        <v>0</v>
      </c>
      <c r="D403" s="81">
        <v>0</v>
      </c>
      <c r="E403" s="81">
        <v>0</v>
      </c>
      <c r="F403" s="81">
        <v>0</v>
      </c>
      <c r="G403" s="81">
        <v>0</v>
      </c>
      <c r="H403" s="81">
        <v>0</v>
      </c>
    </row>
    <row r="404" spans="1:8" x14ac:dyDescent="0.25">
      <c r="A404" t="s">
        <v>404</v>
      </c>
      <c r="B404" s="81">
        <v>0</v>
      </c>
      <c r="C404" s="81">
        <v>0</v>
      </c>
      <c r="D404" s="81">
        <v>0</v>
      </c>
      <c r="E404" s="81">
        <v>0</v>
      </c>
      <c r="F404" s="81">
        <v>0</v>
      </c>
      <c r="G404" s="81">
        <v>0</v>
      </c>
      <c r="H404" s="81">
        <v>0</v>
      </c>
    </row>
    <row r="405" spans="1:8" x14ac:dyDescent="0.25">
      <c r="A405" t="s">
        <v>405</v>
      </c>
      <c r="B405" s="81">
        <v>0</v>
      </c>
      <c r="C405" s="81">
        <v>0</v>
      </c>
      <c r="D405" s="81">
        <v>0</v>
      </c>
      <c r="E405" s="81">
        <v>0</v>
      </c>
      <c r="F405" s="81">
        <v>0</v>
      </c>
      <c r="G405" s="81">
        <v>0</v>
      </c>
      <c r="H405" s="81">
        <v>0</v>
      </c>
    </row>
    <row r="406" spans="1:8" x14ac:dyDescent="0.25">
      <c r="A406" t="s">
        <v>406</v>
      </c>
      <c r="B406" s="81">
        <v>0</v>
      </c>
      <c r="C406" s="81">
        <v>0</v>
      </c>
      <c r="D406" s="81">
        <v>0</v>
      </c>
      <c r="E406" s="81">
        <v>0</v>
      </c>
      <c r="F406" s="81">
        <v>0</v>
      </c>
      <c r="G406" s="81">
        <v>0</v>
      </c>
      <c r="H406" s="81">
        <v>0</v>
      </c>
    </row>
    <row r="407" spans="1:8" x14ac:dyDescent="0.25">
      <c r="A407" t="s">
        <v>407</v>
      </c>
      <c r="B407" s="81">
        <v>0</v>
      </c>
      <c r="C407" s="81">
        <v>0</v>
      </c>
      <c r="D407" s="81">
        <v>0</v>
      </c>
      <c r="E407" s="81">
        <v>0</v>
      </c>
      <c r="F407" s="81">
        <v>0</v>
      </c>
      <c r="G407" s="81">
        <v>0</v>
      </c>
      <c r="H407" s="81">
        <v>0</v>
      </c>
    </row>
    <row r="408" spans="1:8" x14ac:dyDescent="0.25">
      <c r="A408" t="s">
        <v>408</v>
      </c>
      <c r="B408" s="81">
        <v>0</v>
      </c>
      <c r="C408" s="81">
        <v>0</v>
      </c>
      <c r="D408" s="81">
        <v>0</v>
      </c>
      <c r="E408" s="81">
        <v>0</v>
      </c>
      <c r="F408" s="81">
        <v>0</v>
      </c>
      <c r="G408" s="81">
        <v>0</v>
      </c>
      <c r="H408" s="81">
        <v>0</v>
      </c>
    </row>
    <row r="409" spans="1:8" x14ac:dyDescent="0.25">
      <c r="A409" t="s">
        <v>409</v>
      </c>
      <c r="B409" s="81">
        <v>0</v>
      </c>
      <c r="C409" s="81">
        <v>0</v>
      </c>
      <c r="D409" s="81">
        <v>0</v>
      </c>
      <c r="E409" s="81">
        <v>0</v>
      </c>
      <c r="F409" s="81">
        <v>0</v>
      </c>
      <c r="G409" s="81">
        <v>0</v>
      </c>
      <c r="H409" s="81">
        <v>0</v>
      </c>
    </row>
    <row r="410" spans="1:8" x14ac:dyDescent="0.25">
      <c r="A410" t="s">
        <v>410</v>
      </c>
      <c r="B410" s="81">
        <v>0</v>
      </c>
      <c r="C410" s="81">
        <v>0</v>
      </c>
      <c r="D410" s="81">
        <v>0</v>
      </c>
      <c r="E410" s="81">
        <v>0</v>
      </c>
      <c r="F410" s="81">
        <v>0</v>
      </c>
      <c r="G410" s="81">
        <v>0</v>
      </c>
      <c r="H410" s="81">
        <v>0</v>
      </c>
    </row>
    <row r="411" spans="1:8" x14ac:dyDescent="0.25">
      <c r="A411" t="s">
        <v>411</v>
      </c>
      <c r="B411" s="81">
        <v>0</v>
      </c>
      <c r="C411" s="81">
        <v>0</v>
      </c>
      <c r="D411" s="81">
        <v>0</v>
      </c>
      <c r="E411" s="81">
        <v>0</v>
      </c>
      <c r="F411" s="81">
        <v>0</v>
      </c>
      <c r="G411" s="81">
        <v>0</v>
      </c>
      <c r="H411" s="81">
        <v>0</v>
      </c>
    </row>
    <row r="412" spans="1:8" x14ac:dyDescent="0.25">
      <c r="A412" t="s">
        <v>412</v>
      </c>
      <c r="B412" s="81">
        <v>0</v>
      </c>
      <c r="C412" s="81">
        <v>0</v>
      </c>
      <c r="D412" s="81">
        <v>0</v>
      </c>
      <c r="E412" s="81">
        <v>0</v>
      </c>
      <c r="F412" s="81">
        <v>0</v>
      </c>
      <c r="G412" s="81">
        <v>0</v>
      </c>
      <c r="H412" s="81">
        <v>0</v>
      </c>
    </row>
    <row r="413" spans="1:8" x14ac:dyDescent="0.25">
      <c r="A413" t="s">
        <v>413</v>
      </c>
      <c r="B413" s="81">
        <v>0</v>
      </c>
      <c r="C413" s="81">
        <v>0</v>
      </c>
      <c r="D413" s="81">
        <v>0</v>
      </c>
      <c r="E413" s="81">
        <v>0</v>
      </c>
      <c r="F413" s="81">
        <v>0</v>
      </c>
      <c r="G413" s="81">
        <v>0</v>
      </c>
      <c r="H413" s="81">
        <v>0</v>
      </c>
    </row>
    <row r="414" spans="1:8" x14ac:dyDescent="0.25">
      <c r="A414" t="s">
        <v>414</v>
      </c>
      <c r="B414" s="81">
        <v>0</v>
      </c>
      <c r="C414" s="81">
        <v>0</v>
      </c>
      <c r="D414" s="81">
        <v>0</v>
      </c>
      <c r="E414" s="81">
        <v>0</v>
      </c>
      <c r="F414" s="81">
        <v>0</v>
      </c>
      <c r="G414" s="81">
        <v>0</v>
      </c>
      <c r="H414" s="81">
        <v>0</v>
      </c>
    </row>
    <row r="415" spans="1:8" x14ac:dyDescent="0.25">
      <c r="A415" t="s">
        <v>415</v>
      </c>
      <c r="B415" s="81">
        <v>0</v>
      </c>
      <c r="C415" s="81">
        <v>0</v>
      </c>
      <c r="D415" s="81">
        <v>0</v>
      </c>
      <c r="E415" s="81">
        <v>0</v>
      </c>
      <c r="F415" s="81">
        <v>0</v>
      </c>
      <c r="G415" s="81">
        <v>0</v>
      </c>
      <c r="H415" s="81">
        <v>0</v>
      </c>
    </row>
    <row r="416" spans="1:8" x14ac:dyDescent="0.25">
      <c r="A416" t="s">
        <v>416</v>
      </c>
      <c r="B416" s="81">
        <v>0</v>
      </c>
      <c r="C416" s="81">
        <v>0</v>
      </c>
      <c r="D416" s="81">
        <v>0</v>
      </c>
      <c r="E416" s="81">
        <v>0</v>
      </c>
      <c r="F416" s="81">
        <v>0</v>
      </c>
      <c r="G416" s="81">
        <v>0</v>
      </c>
      <c r="H416" s="81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6"/>
  <sheetViews>
    <sheetView workbookViewId="0"/>
  </sheetViews>
  <sheetFormatPr defaultColWidth="9" defaultRowHeight="15.75" x14ac:dyDescent="0.25"/>
  <cols>
    <col min="1" max="1" width="57.625" customWidth="1"/>
  </cols>
  <sheetData>
    <row r="1" spans="1:8" x14ac:dyDescent="0.25">
      <c r="A1" t="s">
        <v>81</v>
      </c>
      <c r="B1" s="81">
        <v>0</v>
      </c>
      <c r="C1" s="81">
        <v>0</v>
      </c>
      <c r="D1" s="81">
        <v>0</v>
      </c>
      <c r="E1" s="81">
        <v>0</v>
      </c>
      <c r="F1" s="81">
        <v>0</v>
      </c>
      <c r="G1" s="81">
        <v>0</v>
      </c>
      <c r="H1" s="81">
        <v>0</v>
      </c>
    </row>
    <row r="2" spans="1:8" x14ac:dyDescent="0.25">
      <c r="A2" t="s">
        <v>82</v>
      </c>
      <c r="B2" s="81">
        <v>0</v>
      </c>
      <c r="C2" s="81">
        <v>0</v>
      </c>
      <c r="D2" s="81">
        <v>0</v>
      </c>
      <c r="E2" s="81">
        <v>0</v>
      </c>
      <c r="F2" s="81">
        <v>0</v>
      </c>
      <c r="G2" s="81">
        <v>0</v>
      </c>
      <c r="H2" s="81">
        <v>0</v>
      </c>
    </row>
    <row r="3" spans="1:8" x14ac:dyDescent="0.25">
      <c r="A3" t="s">
        <v>83</v>
      </c>
      <c r="B3" s="81">
        <v>0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1">
        <v>0</v>
      </c>
    </row>
    <row r="4" spans="1:8" x14ac:dyDescent="0.25">
      <c r="A4" t="s">
        <v>84</v>
      </c>
      <c r="B4" s="81">
        <v>0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1">
        <v>0</v>
      </c>
    </row>
    <row r="5" spans="1:8" x14ac:dyDescent="0.25">
      <c r="A5" t="s">
        <v>428</v>
      </c>
      <c r="B5" s="81">
        <v>0</v>
      </c>
      <c r="C5" s="81">
        <v>0</v>
      </c>
      <c r="D5" s="81">
        <v>0</v>
      </c>
      <c r="E5" s="81">
        <v>0</v>
      </c>
      <c r="F5" s="81">
        <v>0</v>
      </c>
      <c r="G5" s="81">
        <v>0</v>
      </c>
      <c r="H5" s="81">
        <v>0</v>
      </c>
    </row>
    <row r="6" spans="1:8" x14ac:dyDescent="0.25">
      <c r="A6" t="s">
        <v>429</v>
      </c>
      <c r="B6" s="81">
        <v>0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</row>
    <row r="7" spans="1:8" x14ac:dyDescent="0.25">
      <c r="A7" t="s">
        <v>430</v>
      </c>
      <c r="B7" s="81">
        <v>0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</row>
    <row r="8" spans="1:8" x14ac:dyDescent="0.25">
      <c r="A8" t="s">
        <v>431</v>
      </c>
      <c r="B8" s="81">
        <v>0</v>
      </c>
      <c r="C8" s="81">
        <v>0</v>
      </c>
      <c r="D8" s="81">
        <v>0</v>
      </c>
      <c r="E8" s="81">
        <v>0</v>
      </c>
      <c r="F8" s="81">
        <v>0</v>
      </c>
      <c r="G8" s="81">
        <v>0</v>
      </c>
      <c r="H8" s="81">
        <v>0</v>
      </c>
    </row>
    <row r="9" spans="1:8" x14ac:dyDescent="0.25">
      <c r="A9" t="s">
        <v>85</v>
      </c>
      <c r="B9" s="81">
        <v>0</v>
      </c>
      <c r="C9" s="81">
        <v>0</v>
      </c>
      <c r="D9" s="81">
        <v>0</v>
      </c>
      <c r="E9" s="81">
        <v>0</v>
      </c>
      <c r="F9" s="81">
        <v>0</v>
      </c>
      <c r="G9" s="81">
        <v>0</v>
      </c>
      <c r="H9" s="81">
        <v>0</v>
      </c>
    </row>
    <row r="10" spans="1:8" x14ac:dyDescent="0.25">
      <c r="A10" t="s">
        <v>86</v>
      </c>
      <c r="B10" s="81">
        <v>0</v>
      </c>
      <c r="C10" s="81">
        <v>0</v>
      </c>
      <c r="D10" s="81">
        <v>0</v>
      </c>
      <c r="E10" s="81">
        <v>0</v>
      </c>
      <c r="F10" s="81">
        <v>0</v>
      </c>
      <c r="G10" s="81">
        <v>0</v>
      </c>
      <c r="H10" s="81">
        <v>0</v>
      </c>
    </row>
    <row r="11" spans="1:8" x14ac:dyDescent="0.25">
      <c r="A11" t="s">
        <v>87</v>
      </c>
      <c r="B11" s="81">
        <v>0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</row>
    <row r="12" spans="1:8" x14ac:dyDescent="0.25">
      <c r="A12" t="s">
        <v>88</v>
      </c>
      <c r="B12" s="81">
        <v>0</v>
      </c>
      <c r="C12" s="81">
        <v>0</v>
      </c>
      <c r="D12" s="81">
        <v>0</v>
      </c>
      <c r="E12" s="81">
        <v>0</v>
      </c>
      <c r="F12" s="81">
        <v>0</v>
      </c>
      <c r="G12" s="81">
        <v>0</v>
      </c>
      <c r="H12" s="81">
        <v>0</v>
      </c>
    </row>
    <row r="13" spans="1:8" x14ac:dyDescent="0.25">
      <c r="A13" t="s">
        <v>432</v>
      </c>
      <c r="B13" s="81">
        <v>0</v>
      </c>
      <c r="C13" s="81">
        <v>0</v>
      </c>
      <c r="D13" s="81">
        <v>0</v>
      </c>
      <c r="E13" s="81">
        <v>0</v>
      </c>
      <c r="F13" s="81">
        <v>0</v>
      </c>
      <c r="G13" s="81">
        <v>0</v>
      </c>
      <c r="H13" s="81">
        <v>0</v>
      </c>
    </row>
    <row r="14" spans="1:8" x14ac:dyDescent="0.25">
      <c r="A14" t="s">
        <v>433</v>
      </c>
      <c r="B14" s="81">
        <v>0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</row>
    <row r="15" spans="1:8" x14ac:dyDescent="0.25">
      <c r="A15" t="s">
        <v>434</v>
      </c>
      <c r="B15" s="81">
        <v>0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</row>
    <row r="16" spans="1:8" x14ac:dyDescent="0.25">
      <c r="A16" t="s">
        <v>435</v>
      </c>
      <c r="B16" s="81">
        <v>0</v>
      </c>
      <c r="C16" s="81">
        <v>0</v>
      </c>
      <c r="D16" s="81">
        <v>0</v>
      </c>
      <c r="E16" s="81">
        <v>0</v>
      </c>
      <c r="F16" s="81">
        <v>0</v>
      </c>
      <c r="G16" s="81">
        <v>0</v>
      </c>
      <c r="H16" s="81">
        <v>0</v>
      </c>
    </row>
    <row r="17" spans="1:8" x14ac:dyDescent="0.25">
      <c r="A17" t="s">
        <v>89</v>
      </c>
      <c r="B17" s="81">
        <v>0</v>
      </c>
      <c r="C17" s="81">
        <v>0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</row>
    <row r="18" spans="1:8" x14ac:dyDescent="0.25">
      <c r="A18" t="s">
        <v>90</v>
      </c>
      <c r="B18" s="81">
        <v>0</v>
      </c>
      <c r="C18" s="81">
        <v>0</v>
      </c>
      <c r="D18" s="81">
        <v>0</v>
      </c>
      <c r="E18" s="81">
        <v>0</v>
      </c>
      <c r="F18" s="81">
        <v>0</v>
      </c>
      <c r="G18" s="81">
        <v>0</v>
      </c>
      <c r="H18" s="81">
        <v>0</v>
      </c>
    </row>
    <row r="19" spans="1:8" x14ac:dyDescent="0.25">
      <c r="A19" t="s">
        <v>91</v>
      </c>
      <c r="B19" s="81">
        <v>0</v>
      </c>
      <c r="C19" s="81">
        <v>0</v>
      </c>
      <c r="D19" s="81">
        <v>0</v>
      </c>
      <c r="E19" s="81">
        <v>0</v>
      </c>
      <c r="F19" s="81">
        <v>0</v>
      </c>
      <c r="G19" s="81">
        <v>0</v>
      </c>
      <c r="H19" s="81">
        <v>0</v>
      </c>
    </row>
    <row r="20" spans="1:8" x14ac:dyDescent="0.25">
      <c r="A20" t="s">
        <v>92</v>
      </c>
      <c r="B20" s="81">
        <v>0</v>
      </c>
      <c r="C20" s="81">
        <v>0</v>
      </c>
      <c r="D20" s="81">
        <v>0</v>
      </c>
      <c r="E20" s="81">
        <v>0</v>
      </c>
      <c r="F20" s="81">
        <v>0</v>
      </c>
      <c r="G20" s="81">
        <v>0</v>
      </c>
      <c r="H20" s="81">
        <v>0</v>
      </c>
    </row>
    <row r="21" spans="1:8" x14ac:dyDescent="0.25">
      <c r="A21" t="s">
        <v>436</v>
      </c>
      <c r="B21" s="81">
        <v>0</v>
      </c>
      <c r="C21" s="81">
        <v>0</v>
      </c>
      <c r="D21" s="81">
        <v>0</v>
      </c>
      <c r="E21" s="81">
        <v>0</v>
      </c>
      <c r="F21" s="81">
        <v>0</v>
      </c>
      <c r="G21" s="81">
        <v>0</v>
      </c>
      <c r="H21" s="81">
        <v>0</v>
      </c>
    </row>
    <row r="22" spans="1:8" x14ac:dyDescent="0.25">
      <c r="A22" t="s">
        <v>437</v>
      </c>
      <c r="B22" s="81">
        <v>0</v>
      </c>
      <c r="C22" s="81">
        <v>0</v>
      </c>
      <c r="D22" s="81">
        <v>0</v>
      </c>
      <c r="E22" s="81">
        <v>0</v>
      </c>
      <c r="F22" s="81">
        <v>0</v>
      </c>
      <c r="G22" s="81">
        <v>0</v>
      </c>
      <c r="H22" s="81">
        <v>0</v>
      </c>
    </row>
    <row r="23" spans="1:8" x14ac:dyDescent="0.25">
      <c r="A23" t="s">
        <v>438</v>
      </c>
      <c r="B23" s="81">
        <v>0</v>
      </c>
      <c r="C23" s="81">
        <v>0</v>
      </c>
      <c r="D23" s="81">
        <v>0</v>
      </c>
      <c r="E23" s="81">
        <v>0</v>
      </c>
      <c r="F23" s="81">
        <v>0</v>
      </c>
      <c r="G23" s="81">
        <v>0</v>
      </c>
      <c r="H23" s="81">
        <v>0</v>
      </c>
    </row>
    <row r="24" spans="1:8" x14ac:dyDescent="0.25">
      <c r="A24" t="s">
        <v>439</v>
      </c>
      <c r="B24" s="81">
        <v>0</v>
      </c>
      <c r="C24" s="81">
        <v>0</v>
      </c>
      <c r="D24" s="81">
        <v>0</v>
      </c>
      <c r="E24" s="81">
        <v>0</v>
      </c>
      <c r="F24" s="81">
        <v>0</v>
      </c>
      <c r="G24" s="81">
        <v>0</v>
      </c>
      <c r="H24" s="81">
        <v>0</v>
      </c>
    </row>
    <row r="25" spans="1:8" x14ac:dyDescent="0.25">
      <c r="A25" t="s">
        <v>440</v>
      </c>
      <c r="B25" s="81">
        <v>0</v>
      </c>
      <c r="C25" s="81">
        <v>0</v>
      </c>
      <c r="D25" s="81">
        <v>0</v>
      </c>
      <c r="E25" s="81">
        <v>0</v>
      </c>
      <c r="F25" s="81">
        <v>0</v>
      </c>
      <c r="G25" s="81">
        <v>0</v>
      </c>
      <c r="H25" s="81">
        <v>0</v>
      </c>
    </row>
    <row r="26" spans="1:8" x14ac:dyDescent="0.25">
      <c r="A26" t="s">
        <v>441</v>
      </c>
      <c r="B26" s="81">
        <v>0</v>
      </c>
      <c r="C26" s="81">
        <v>0</v>
      </c>
      <c r="D26" s="81">
        <v>0</v>
      </c>
      <c r="E26" s="81">
        <v>0</v>
      </c>
      <c r="F26" s="81">
        <v>0</v>
      </c>
      <c r="G26" s="81">
        <v>0</v>
      </c>
      <c r="H26" s="81">
        <v>0</v>
      </c>
    </row>
    <row r="27" spans="1:8" x14ac:dyDescent="0.25">
      <c r="A27" t="s">
        <v>442</v>
      </c>
      <c r="B27" s="81">
        <v>0</v>
      </c>
      <c r="C27" s="81">
        <v>0</v>
      </c>
      <c r="D27" s="81">
        <v>0</v>
      </c>
      <c r="E27" s="81">
        <v>0</v>
      </c>
      <c r="F27" s="81">
        <v>0</v>
      </c>
      <c r="G27" s="81">
        <v>0</v>
      </c>
      <c r="H27" s="81">
        <v>0</v>
      </c>
    </row>
    <row r="28" spans="1:8" x14ac:dyDescent="0.25">
      <c r="A28" t="s">
        <v>443</v>
      </c>
      <c r="B28" s="81">
        <v>0</v>
      </c>
      <c r="C28" s="81">
        <v>0</v>
      </c>
      <c r="D28" s="81">
        <v>0</v>
      </c>
      <c r="E28" s="81">
        <v>0</v>
      </c>
      <c r="F28" s="81">
        <v>0</v>
      </c>
      <c r="G28" s="81">
        <v>0</v>
      </c>
      <c r="H28" s="81">
        <v>0</v>
      </c>
    </row>
    <row r="29" spans="1:8" x14ac:dyDescent="0.25">
      <c r="A29" t="s">
        <v>444</v>
      </c>
      <c r="B29" s="81">
        <v>0</v>
      </c>
      <c r="C29" s="81">
        <v>0</v>
      </c>
      <c r="D29" s="81">
        <v>0</v>
      </c>
      <c r="E29" s="81">
        <v>0</v>
      </c>
      <c r="F29" s="81">
        <v>0</v>
      </c>
      <c r="G29" s="81">
        <v>0</v>
      </c>
      <c r="H29" s="81">
        <v>0</v>
      </c>
    </row>
    <row r="30" spans="1:8" x14ac:dyDescent="0.25">
      <c r="A30" t="s">
        <v>445</v>
      </c>
      <c r="B30" s="81">
        <v>0</v>
      </c>
      <c r="C30" s="81">
        <v>0</v>
      </c>
      <c r="D30" s="81">
        <v>0</v>
      </c>
      <c r="E30" s="81">
        <v>0</v>
      </c>
      <c r="F30" s="81">
        <v>0</v>
      </c>
      <c r="G30" s="81">
        <v>0</v>
      </c>
      <c r="H30" s="81">
        <v>0</v>
      </c>
    </row>
    <row r="31" spans="1:8" x14ac:dyDescent="0.25">
      <c r="A31" t="s">
        <v>446</v>
      </c>
      <c r="B31" s="81">
        <v>0</v>
      </c>
      <c r="C31" s="81">
        <v>0</v>
      </c>
      <c r="D31" s="81">
        <v>0</v>
      </c>
      <c r="E31" s="81">
        <v>0</v>
      </c>
      <c r="F31" s="81">
        <v>0</v>
      </c>
      <c r="G31" s="81">
        <v>0</v>
      </c>
      <c r="H31" s="81">
        <v>0</v>
      </c>
    </row>
    <row r="32" spans="1:8" x14ac:dyDescent="0.25">
      <c r="A32" t="s">
        <v>447</v>
      </c>
      <c r="B32" s="81">
        <v>0</v>
      </c>
      <c r="C32" s="81">
        <v>0</v>
      </c>
      <c r="D32" s="81">
        <v>0</v>
      </c>
      <c r="E32" s="81">
        <v>0</v>
      </c>
      <c r="F32" s="81">
        <v>0</v>
      </c>
      <c r="G32" s="81">
        <v>0</v>
      </c>
      <c r="H32" s="81">
        <v>0</v>
      </c>
    </row>
    <row r="33" spans="1:8" x14ac:dyDescent="0.25">
      <c r="A33" t="s">
        <v>93</v>
      </c>
      <c r="B33" s="81">
        <v>0</v>
      </c>
      <c r="C33" s="81">
        <v>0</v>
      </c>
      <c r="D33" s="81">
        <v>0</v>
      </c>
      <c r="E33" s="81">
        <v>0</v>
      </c>
      <c r="F33" s="81">
        <v>0</v>
      </c>
      <c r="G33" s="81">
        <v>0</v>
      </c>
      <c r="H33" s="81">
        <v>0</v>
      </c>
    </row>
    <row r="34" spans="1:8" x14ac:dyDescent="0.25">
      <c r="A34" t="s">
        <v>94</v>
      </c>
      <c r="B34" s="81">
        <v>0</v>
      </c>
      <c r="C34" s="81">
        <v>0</v>
      </c>
      <c r="D34" s="81">
        <v>0</v>
      </c>
      <c r="E34" s="81">
        <v>0</v>
      </c>
      <c r="F34" s="81">
        <v>0</v>
      </c>
      <c r="G34" s="81">
        <v>0</v>
      </c>
      <c r="H34" s="81">
        <v>0</v>
      </c>
    </row>
    <row r="35" spans="1:8" x14ac:dyDescent="0.25">
      <c r="A35" t="s">
        <v>95</v>
      </c>
      <c r="B35" s="81">
        <v>0</v>
      </c>
      <c r="C35" s="81">
        <v>0</v>
      </c>
      <c r="D35" s="81">
        <v>0</v>
      </c>
      <c r="E35" s="81">
        <v>0</v>
      </c>
      <c r="F35" s="81">
        <v>0</v>
      </c>
      <c r="G35" s="81">
        <v>0</v>
      </c>
      <c r="H35" s="81">
        <v>0</v>
      </c>
    </row>
    <row r="36" spans="1:8" x14ac:dyDescent="0.25">
      <c r="A36" t="s">
        <v>96</v>
      </c>
      <c r="B36" s="81">
        <v>0</v>
      </c>
      <c r="C36" s="81">
        <v>0</v>
      </c>
      <c r="D36" s="81">
        <v>0</v>
      </c>
      <c r="E36" s="81">
        <v>0</v>
      </c>
      <c r="F36" s="81">
        <v>0</v>
      </c>
      <c r="G36" s="81">
        <v>0</v>
      </c>
      <c r="H36" s="81">
        <v>0</v>
      </c>
    </row>
    <row r="37" spans="1:8" x14ac:dyDescent="0.25">
      <c r="A37" t="s">
        <v>97</v>
      </c>
      <c r="B37" s="81">
        <v>0</v>
      </c>
      <c r="C37" s="81">
        <v>0</v>
      </c>
      <c r="D37" s="81">
        <v>0</v>
      </c>
      <c r="E37" s="81">
        <v>0</v>
      </c>
      <c r="F37" s="81">
        <v>0</v>
      </c>
      <c r="G37" s="81">
        <v>0</v>
      </c>
      <c r="H37" s="81">
        <v>0</v>
      </c>
    </row>
    <row r="38" spans="1:8" x14ac:dyDescent="0.25">
      <c r="A38" t="s">
        <v>98</v>
      </c>
      <c r="B38" s="81">
        <v>0</v>
      </c>
      <c r="C38" s="81">
        <v>0</v>
      </c>
      <c r="D38" s="81">
        <v>0</v>
      </c>
      <c r="E38" s="81">
        <v>0</v>
      </c>
      <c r="F38" s="81">
        <v>0</v>
      </c>
      <c r="G38" s="81">
        <v>0</v>
      </c>
      <c r="H38" s="81">
        <v>0</v>
      </c>
    </row>
    <row r="39" spans="1:8" x14ac:dyDescent="0.25">
      <c r="A39" t="s">
        <v>99</v>
      </c>
      <c r="B39" s="81">
        <v>0</v>
      </c>
      <c r="C39" s="81">
        <v>0</v>
      </c>
      <c r="D39" s="81">
        <v>0</v>
      </c>
      <c r="E39" s="81">
        <v>0</v>
      </c>
      <c r="F39" s="81">
        <v>0</v>
      </c>
      <c r="G39" s="81">
        <v>0</v>
      </c>
      <c r="H39" s="81">
        <v>0</v>
      </c>
    </row>
    <row r="40" spans="1:8" x14ac:dyDescent="0.25">
      <c r="A40" t="s">
        <v>100</v>
      </c>
      <c r="B40" s="81">
        <v>0</v>
      </c>
      <c r="C40" s="81">
        <v>0</v>
      </c>
      <c r="D40" s="81">
        <v>0</v>
      </c>
      <c r="E40" s="81">
        <v>0</v>
      </c>
      <c r="F40" s="81">
        <v>0</v>
      </c>
      <c r="G40" s="81">
        <v>0</v>
      </c>
      <c r="H40" s="81">
        <v>0</v>
      </c>
    </row>
    <row r="41" spans="1:8" x14ac:dyDescent="0.25">
      <c r="A41" t="s">
        <v>101</v>
      </c>
      <c r="B41" s="81">
        <v>0</v>
      </c>
      <c r="C41" s="81">
        <v>0</v>
      </c>
      <c r="D41" s="81">
        <v>0</v>
      </c>
      <c r="E41" s="81">
        <v>0</v>
      </c>
      <c r="F41" s="81">
        <v>0</v>
      </c>
      <c r="G41" s="81">
        <v>0</v>
      </c>
      <c r="H41" s="81">
        <v>0</v>
      </c>
    </row>
    <row r="42" spans="1:8" x14ac:dyDescent="0.25">
      <c r="A42" t="s">
        <v>102</v>
      </c>
      <c r="B42" s="81">
        <v>0</v>
      </c>
      <c r="C42" s="81">
        <v>0</v>
      </c>
      <c r="D42" s="81">
        <v>0</v>
      </c>
      <c r="E42" s="81">
        <v>0</v>
      </c>
      <c r="F42" s="81">
        <v>0</v>
      </c>
      <c r="G42" s="81">
        <v>0</v>
      </c>
      <c r="H42" s="81">
        <v>0</v>
      </c>
    </row>
    <row r="43" spans="1:8" x14ac:dyDescent="0.25">
      <c r="A43" t="s">
        <v>103</v>
      </c>
      <c r="B43" s="81">
        <v>0</v>
      </c>
      <c r="C43" s="81">
        <v>0</v>
      </c>
      <c r="D43" s="81">
        <v>0</v>
      </c>
      <c r="E43" s="81">
        <v>0</v>
      </c>
      <c r="F43" s="81">
        <v>0</v>
      </c>
      <c r="G43" s="81">
        <v>0</v>
      </c>
      <c r="H43" s="81">
        <v>0</v>
      </c>
    </row>
    <row r="44" spans="1:8" x14ac:dyDescent="0.25">
      <c r="A44" t="s">
        <v>104</v>
      </c>
      <c r="B44" s="81">
        <v>0</v>
      </c>
      <c r="C44" s="81">
        <v>0</v>
      </c>
      <c r="D44" s="81">
        <v>0</v>
      </c>
      <c r="E44" s="81">
        <v>0</v>
      </c>
      <c r="F44" s="81">
        <v>0</v>
      </c>
      <c r="G44" s="81">
        <v>0</v>
      </c>
      <c r="H44" s="81">
        <v>0</v>
      </c>
    </row>
    <row r="45" spans="1:8" x14ac:dyDescent="0.25">
      <c r="A45" t="s">
        <v>105</v>
      </c>
      <c r="B45" s="81">
        <v>0</v>
      </c>
      <c r="C45" s="81">
        <v>0</v>
      </c>
      <c r="D45" s="81">
        <v>0</v>
      </c>
      <c r="E45" s="81">
        <v>0</v>
      </c>
      <c r="F45" s="81">
        <v>0</v>
      </c>
      <c r="G45" s="81">
        <v>0</v>
      </c>
      <c r="H45" s="81">
        <v>0</v>
      </c>
    </row>
    <row r="46" spans="1:8" x14ac:dyDescent="0.25">
      <c r="A46" t="s">
        <v>106</v>
      </c>
      <c r="B46" s="81">
        <v>0</v>
      </c>
      <c r="C46" s="81">
        <v>0</v>
      </c>
      <c r="D46" s="81">
        <v>0</v>
      </c>
      <c r="E46" s="81">
        <v>0</v>
      </c>
      <c r="F46" s="81">
        <v>0</v>
      </c>
      <c r="G46" s="81">
        <v>0</v>
      </c>
      <c r="H46" s="81">
        <v>0</v>
      </c>
    </row>
    <row r="47" spans="1:8" x14ac:dyDescent="0.25">
      <c r="A47" t="s">
        <v>107</v>
      </c>
      <c r="B47" s="81">
        <v>0</v>
      </c>
      <c r="C47" s="81">
        <v>0</v>
      </c>
      <c r="D47" s="81">
        <v>0</v>
      </c>
      <c r="E47" s="81">
        <v>0</v>
      </c>
      <c r="F47" s="81">
        <v>0</v>
      </c>
      <c r="G47" s="81">
        <v>0</v>
      </c>
      <c r="H47" s="81">
        <v>0</v>
      </c>
    </row>
    <row r="48" spans="1:8" x14ac:dyDescent="0.25">
      <c r="A48" t="s">
        <v>108</v>
      </c>
      <c r="B48" s="81">
        <v>0</v>
      </c>
      <c r="C48" s="81">
        <v>0</v>
      </c>
      <c r="D48" s="81">
        <v>0</v>
      </c>
      <c r="E48" s="81">
        <v>0</v>
      </c>
      <c r="F48" s="81">
        <v>0</v>
      </c>
      <c r="G48" s="81">
        <v>0</v>
      </c>
      <c r="H48" s="81">
        <v>0</v>
      </c>
    </row>
    <row r="49" spans="1:8" x14ac:dyDescent="0.25">
      <c r="A49" t="s">
        <v>109</v>
      </c>
      <c r="B49" s="81">
        <v>0</v>
      </c>
      <c r="C49" s="81">
        <v>0</v>
      </c>
      <c r="D49" s="81">
        <v>0</v>
      </c>
      <c r="E49" s="81">
        <v>0</v>
      </c>
      <c r="F49" s="81">
        <v>0</v>
      </c>
      <c r="G49" s="81">
        <v>0</v>
      </c>
      <c r="H49" s="81">
        <v>0</v>
      </c>
    </row>
    <row r="50" spans="1:8" x14ac:dyDescent="0.25">
      <c r="A50" t="s">
        <v>110</v>
      </c>
      <c r="B50" s="81">
        <v>0</v>
      </c>
      <c r="C50" s="81">
        <v>0</v>
      </c>
      <c r="D50" s="81">
        <v>0</v>
      </c>
      <c r="E50" s="81">
        <v>0</v>
      </c>
      <c r="F50" s="81">
        <v>0</v>
      </c>
      <c r="G50" s="81">
        <v>0</v>
      </c>
      <c r="H50" s="81">
        <v>0</v>
      </c>
    </row>
    <row r="51" spans="1:8" x14ac:dyDescent="0.25">
      <c r="A51" t="s">
        <v>111</v>
      </c>
      <c r="B51" s="81">
        <v>0</v>
      </c>
      <c r="C51" s="81">
        <v>0</v>
      </c>
      <c r="D51" s="81">
        <v>0</v>
      </c>
      <c r="E51" s="81">
        <v>0</v>
      </c>
      <c r="F51" s="81">
        <v>0</v>
      </c>
      <c r="G51" s="81">
        <v>0</v>
      </c>
      <c r="H51" s="81">
        <v>0</v>
      </c>
    </row>
    <row r="52" spans="1:8" x14ac:dyDescent="0.25">
      <c r="A52" t="s">
        <v>112</v>
      </c>
      <c r="B52" s="81">
        <v>0</v>
      </c>
      <c r="C52" s="81">
        <v>0</v>
      </c>
      <c r="D52" s="81">
        <v>0</v>
      </c>
      <c r="E52" s="81">
        <v>0</v>
      </c>
      <c r="F52" s="81">
        <v>0</v>
      </c>
      <c r="G52" s="81">
        <v>0</v>
      </c>
      <c r="H52" s="81">
        <v>0</v>
      </c>
    </row>
    <row r="53" spans="1:8" x14ac:dyDescent="0.25">
      <c r="A53" t="s">
        <v>113</v>
      </c>
      <c r="B53" s="81">
        <v>0</v>
      </c>
      <c r="C53" s="81">
        <v>0</v>
      </c>
      <c r="D53" s="81">
        <v>0</v>
      </c>
      <c r="E53" s="81">
        <v>0</v>
      </c>
      <c r="F53" s="81">
        <v>0</v>
      </c>
      <c r="G53" s="81">
        <v>0</v>
      </c>
      <c r="H53" s="81">
        <v>0</v>
      </c>
    </row>
    <row r="54" spans="1:8" x14ac:dyDescent="0.25">
      <c r="A54" t="s">
        <v>114</v>
      </c>
      <c r="B54" s="81">
        <v>0</v>
      </c>
      <c r="C54" s="81">
        <v>0</v>
      </c>
      <c r="D54" s="81">
        <v>0</v>
      </c>
      <c r="E54" s="81">
        <v>0</v>
      </c>
      <c r="F54" s="81">
        <v>0</v>
      </c>
      <c r="G54" s="81">
        <v>0</v>
      </c>
      <c r="H54" s="81">
        <v>0</v>
      </c>
    </row>
    <row r="55" spans="1:8" x14ac:dyDescent="0.25">
      <c r="A55" t="s">
        <v>115</v>
      </c>
      <c r="B55" s="81">
        <v>0</v>
      </c>
      <c r="C55" s="81">
        <v>0</v>
      </c>
      <c r="D55" s="81">
        <v>0</v>
      </c>
      <c r="E55" s="81">
        <v>0</v>
      </c>
      <c r="F55" s="81">
        <v>0</v>
      </c>
      <c r="G55" s="81">
        <v>0</v>
      </c>
      <c r="H55" s="81">
        <v>0</v>
      </c>
    </row>
    <row r="56" spans="1:8" x14ac:dyDescent="0.25">
      <c r="A56" t="s">
        <v>116</v>
      </c>
      <c r="B56" s="81">
        <v>0</v>
      </c>
      <c r="C56" s="81">
        <v>0</v>
      </c>
      <c r="D56" s="81">
        <v>0</v>
      </c>
      <c r="E56" s="81">
        <v>0</v>
      </c>
      <c r="F56" s="81">
        <v>0</v>
      </c>
      <c r="G56" s="81">
        <v>0</v>
      </c>
      <c r="H56" s="81">
        <v>0</v>
      </c>
    </row>
    <row r="57" spans="1:8" x14ac:dyDescent="0.25">
      <c r="A57" t="s">
        <v>117</v>
      </c>
      <c r="B57" s="81">
        <v>0</v>
      </c>
      <c r="C57" s="81">
        <v>0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</row>
    <row r="58" spans="1:8" x14ac:dyDescent="0.25">
      <c r="A58" t="s">
        <v>118</v>
      </c>
      <c r="B58" s="81">
        <v>0</v>
      </c>
      <c r="C58" s="81">
        <v>0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</row>
    <row r="59" spans="1:8" x14ac:dyDescent="0.25">
      <c r="A59" t="s">
        <v>119</v>
      </c>
      <c r="B59" s="81">
        <v>0</v>
      </c>
      <c r="C59" s="81">
        <v>0</v>
      </c>
      <c r="D59" s="81">
        <v>0</v>
      </c>
      <c r="E59" s="81">
        <v>0</v>
      </c>
      <c r="F59" s="81">
        <v>0</v>
      </c>
      <c r="G59" s="81">
        <v>0</v>
      </c>
      <c r="H59" s="81">
        <v>0</v>
      </c>
    </row>
    <row r="60" spans="1:8" x14ac:dyDescent="0.25">
      <c r="A60" t="s">
        <v>120</v>
      </c>
      <c r="B60" s="81">
        <v>0</v>
      </c>
      <c r="C60" s="81">
        <v>0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</row>
    <row r="61" spans="1:8" x14ac:dyDescent="0.25">
      <c r="A61" t="s">
        <v>121</v>
      </c>
      <c r="B61" s="81">
        <v>0</v>
      </c>
      <c r="C61" s="81">
        <v>0</v>
      </c>
      <c r="D61" s="81">
        <v>0</v>
      </c>
      <c r="E61" s="81">
        <v>0</v>
      </c>
      <c r="F61" s="81">
        <v>0</v>
      </c>
      <c r="G61" s="81">
        <v>0</v>
      </c>
      <c r="H61" s="81">
        <v>0</v>
      </c>
    </row>
    <row r="62" spans="1:8" x14ac:dyDescent="0.25">
      <c r="A62" t="s">
        <v>122</v>
      </c>
      <c r="B62" s="81">
        <v>0</v>
      </c>
      <c r="C62" s="81">
        <v>0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</row>
    <row r="63" spans="1:8" x14ac:dyDescent="0.25">
      <c r="A63" t="s">
        <v>123</v>
      </c>
      <c r="B63" s="81">
        <v>0</v>
      </c>
      <c r="C63" s="81">
        <v>0</v>
      </c>
      <c r="D63" s="81">
        <v>0</v>
      </c>
      <c r="E63" s="81">
        <v>0</v>
      </c>
      <c r="F63" s="81">
        <v>0</v>
      </c>
      <c r="G63" s="81">
        <v>0</v>
      </c>
      <c r="H63" s="81">
        <v>0</v>
      </c>
    </row>
    <row r="64" spans="1:8" x14ac:dyDescent="0.25">
      <c r="A64" t="s">
        <v>124</v>
      </c>
      <c r="B64" s="81">
        <v>0</v>
      </c>
      <c r="C64" s="81">
        <v>0</v>
      </c>
      <c r="D64" s="81">
        <v>0</v>
      </c>
      <c r="E64" s="81">
        <v>0</v>
      </c>
      <c r="F64" s="81">
        <v>0</v>
      </c>
      <c r="G64" s="81">
        <v>0</v>
      </c>
      <c r="H64" s="81">
        <v>0</v>
      </c>
    </row>
    <row r="65" spans="1:8" x14ac:dyDescent="0.25">
      <c r="A65" t="s">
        <v>125</v>
      </c>
      <c r="B65" s="81">
        <v>0</v>
      </c>
      <c r="C65" s="81">
        <v>0</v>
      </c>
      <c r="D65" s="81">
        <v>0</v>
      </c>
      <c r="E65" s="81">
        <v>0</v>
      </c>
      <c r="F65" s="81">
        <v>0</v>
      </c>
      <c r="G65" s="81">
        <v>0</v>
      </c>
      <c r="H65" s="81">
        <v>0</v>
      </c>
    </row>
    <row r="66" spans="1:8" x14ac:dyDescent="0.25">
      <c r="A66" t="s">
        <v>126</v>
      </c>
      <c r="B66" s="81">
        <v>0</v>
      </c>
      <c r="C66" s="81">
        <v>0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</row>
    <row r="67" spans="1:8" x14ac:dyDescent="0.25">
      <c r="A67" t="s">
        <v>127</v>
      </c>
      <c r="B67" s="81">
        <v>0</v>
      </c>
      <c r="C67" s="81">
        <v>0</v>
      </c>
      <c r="D67" s="81">
        <v>0</v>
      </c>
      <c r="E67" s="81">
        <v>0</v>
      </c>
      <c r="F67" s="81">
        <v>0</v>
      </c>
      <c r="G67" s="81">
        <v>0</v>
      </c>
      <c r="H67" s="81">
        <v>0</v>
      </c>
    </row>
    <row r="68" spans="1:8" x14ac:dyDescent="0.25">
      <c r="A68" t="s">
        <v>128</v>
      </c>
      <c r="B68" s="81">
        <v>0</v>
      </c>
      <c r="C68" s="81">
        <v>0</v>
      </c>
      <c r="D68" s="81">
        <v>0</v>
      </c>
      <c r="E68" s="81">
        <v>0</v>
      </c>
      <c r="F68" s="81">
        <v>0</v>
      </c>
      <c r="G68" s="81">
        <v>0</v>
      </c>
      <c r="H68" s="81">
        <v>0</v>
      </c>
    </row>
    <row r="69" spans="1:8" x14ac:dyDescent="0.25">
      <c r="A69" t="s">
        <v>129</v>
      </c>
      <c r="B69" s="81">
        <v>0</v>
      </c>
      <c r="C69" s="81">
        <v>0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</row>
    <row r="70" spans="1:8" x14ac:dyDescent="0.25">
      <c r="A70" t="s">
        <v>130</v>
      </c>
      <c r="B70" s="81">
        <v>0</v>
      </c>
      <c r="C70" s="81">
        <v>0</v>
      </c>
      <c r="D70" s="81">
        <v>0</v>
      </c>
      <c r="E70" s="81">
        <v>0</v>
      </c>
      <c r="F70" s="81">
        <v>0</v>
      </c>
      <c r="G70" s="81">
        <v>0</v>
      </c>
      <c r="H70" s="81">
        <v>0</v>
      </c>
    </row>
    <row r="71" spans="1:8" x14ac:dyDescent="0.25">
      <c r="A71" t="s">
        <v>131</v>
      </c>
      <c r="B71" s="81">
        <v>0</v>
      </c>
      <c r="C71" s="81">
        <v>0</v>
      </c>
      <c r="D71" s="81">
        <v>0</v>
      </c>
      <c r="E71" s="81">
        <v>0</v>
      </c>
      <c r="F71" s="81">
        <v>0</v>
      </c>
      <c r="G71" s="81">
        <v>0</v>
      </c>
      <c r="H71" s="81">
        <v>0</v>
      </c>
    </row>
    <row r="72" spans="1:8" x14ac:dyDescent="0.25">
      <c r="A72" t="s">
        <v>132</v>
      </c>
      <c r="B72" s="81">
        <v>0</v>
      </c>
      <c r="C72" s="81">
        <v>0</v>
      </c>
      <c r="D72" s="81">
        <v>0</v>
      </c>
      <c r="E72" s="81">
        <v>0</v>
      </c>
      <c r="F72" s="81">
        <v>0</v>
      </c>
      <c r="G72" s="81">
        <v>0</v>
      </c>
      <c r="H72" s="81">
        <v>0</v>
      </c>
    </row>
    <row r="73" spans="1:8" x14ac:dyDescent="0.25">
      <c r="A73" t="s">
        <v>133</v>
      </c>
      <c r="B73" s="81">
        <v>0</v>
      </c>
      <c r="C73" s="81">
        <v>0</v>
      </c>
      <c r="D73" s="81">
        <v>0</v>
      </c>
      <c r="E73" s="81">
        <v>0</v>
      </c>
      <c r="F73" s="81">
        <v>0</v>
      </c>
      <c r="G73" s="81">
        <v>0</v>
      </c>
      <c r="H73" s="81">
        <v>0</v>
      </c>
    </row>
    <row r="74" spans="1:8" x14ac:dyDescent="0.25">
      <c r="A74" t="s">
        <v>134</v>
      </c>
      <c r="B74" s="81">
        <v>0</v>
      </c>
      <c r="C74" s="81">
        <v>0</v>
      </c>
      <c r="D74" s="81">
        <v>0</v>
      </c>
      <c r="E74" s="81">
        <v>0</v>
      </c>
      <c r="F74" s="81">
        <v>0</v>
      </c>
      <c r="G74" s="81">
        <v>0</v>
      </c>
      <c r="H74" s="81">
        <v>0</v>
      </c>
    </row>
    <row r="75" spans="1:8" x14ac:dyDescent="0.25">
      <c r="A75" t="s">
        <v>135</v>
      </c>
      <c r="B75" s="81">
        <v>0</v>
      </c>
      <c r="C75" s="81">
        <v>0</v>
      </c>
      <c r="D75" s="81">
        <v>0</v>
      </c>
      <c r="E75" s="81">
        <v>0</v>
      </c>
      <c r="F75" s="81">
        <v>0</v>
      </c>
      <c r="G75" s="81">
        <v>0</v>
      </c>
      <c r="H75" s="81">
        <v>0</v>
      </c>
    </row>
    <row r="76" spans="1:8" x14ac:dyDescent="0.25">
      <c r="A76" t="s">
        <v>136</v>
      </c>
      <c r="B76" s="81">
        <v>0</v>
      </c>
      <c r="C76" s="81">
        <v>0</v>
      </c>
      <c r="D76" s="81">
        <v>0</v>
      </c>
      <c r="E76" s="81">
        <v>0</v>
      </c>
      <c r="F76" s="81">
        <v>0</v>
      </c>
      <c r="G76" s="81">
        <v>0</v>
      </c>
      <c r="H76" s="81">
        <v>0</v>
      </c>
    </row>
    <row r="77" spans="1:8" x14ac:dyDescent="0.25">
      <c r="A77" t="s">
        <v>137</v>
      </c>
      <c r="B77" s="81">
        <v>0</v>
      </c>
      <c r="C77" s="81">
        <v>0</v>
      </c>
      <c r="D77" s="81">
        <v>0</v>
      </c>
      <c r="E77" s="81">
        <v>0</v>
      </c>
      <c r="F77" s="81">
        <v>0</v>
      </c>
      <c r="G77" s="81">
        <v>0</v>
      </c>
      <c r="H77" s="81">
        <v>0</v>
      </c>
    </row>
    <row r="78" spans="1:8" x14ac:dyDescent="0.25">
      <c r="A78" t="s">
        <v>138</v>
      </c>
      <c r="B78" s="81">
        <v>0</v>
      </c>
      <c r="C78" s="81">
        <v>0</v>
      </c>
      <c r="D78" s="81">
        <v>0</v>
      </c>
      <c r="E78" s="81">
        <v>0</v>
      </c>
      <c r="F78" s="81">
        <v>0</v>
      </c>
      <c r="G78" s="81">
        <v>0</v>
      </c>
      <c r="H78" s="81">
        <v>0</v>
      </c>
    </row>
    <row r="79" spans="1:8" x14ac:dyDescent="0.25">
      <c r="A79" t="s">
        <v>139</v>
      </c>
      <c r="B79" s="81">
        <v>0</v>
      </c>
      <c r="C79" s="81">
        <v>0</v>
      </c>
      <c r="D79" s="81">
        <v>0</v>
      </c>
      <c r="E79" s="81">
        <v>0</v>
      </c>
      <c r="F79" s="81">
        <v>0</v>
      </c>
      <c r="G79" s="81">
        <v>0</v>
      </c>
      <c r="H79" s="81">
        <v>0</v>
      </c>
    </row>
    <row r="80" spans="1:8" x14ac:dyDescent="0.25">
      <c r="A80" t="s">
        <v>140</v>
      </c>
      <c r="B80" s="81">
        <v>0</v>
      </c>
      <c r="C80" s="81">
        <v>0</v>
      </c>
      <c r="D80" s="81">
        <v>0</v>
      </c>
      <c r="E80" s="81">
        <v>0</v>
      </c>
      <c r="F80" s="81">
        <v>0</v>
      </c>
      <c r="G80" s="81">
        <v>0</v>
      </c>
      <c r="H80" s="81">
        <v>0</v>
      </c>
    </row>
    <row r="81" spans="1:8" x14ac:dyDescent="0.25">
      <c r="A81" t="s">
        <v>141</v>
      </c>
      <c r="B81" s="81">
        <v>0</v>
      </c>
      <c r="C81" s="81">
        <v>0</v>
      </c>
      <c r="D81" s="81">
        <v>0</v>
      </c>
      <c r="E81" s="81">
        <v>0</v>
      </c>
      <c r="F81" s="81">
        <v>0</v>
      </c>
      <c r="G81" s="81">
        <v>0</v>
      </c>
      <c r="H81" s="81">
        <v>0</v>
      </c>
    </row>
    <row r="82" spans="1:8" x14ac:dyDescent="0.25">
      <c r="A82" t="s">
        <v>142</v>
      </c>
      <c r="B82" s="81">
        <v>0</v>
      </c>
      <c r="C82" s="81">
        <v>0</v>
      </c>
      <c r="D82" s="81">
        <v>0</v>
      </c>
      <c r="E82" s="81">
        <v>0</v>
      </c>
      <c r="F82" s="81">
        <v>0</v>
      </c>
      <c r="G82" s="81">
        <v>0</v>
      </c>
      <c r="H82" s="81">
        <v>0</v>
      </c>
    </row>
    <row r="83" spans="1:8" x14ac:dyDescent="0.25">
      <c r="A83" t="s">
        <v>143</v>
      </c>
      <c r="B83" s="81">
        <v>0</v>
      </c>
      <c r="C83" s="81">
        <v>0</v>
      </c>
      <c r="D83" s="81">
        <v>0</v>
      </c>
      <c r="E83" s="81">
        <v>0</v>
      </c>
      <c r="F83" s="81">
        <v>0</v>
      </c>
      <c r="G83" s="81">
        <v>0</v>
      </c>
      <c r="H83" s="81">
        <v>0</v>
      </c>
    </row>
    <row r="84" spans="1:8" x14ac:dyDescent="0.25">
      <c r="A84" t="s">
        <v>144</v>
      </c>
      <c r="B84" s="81">
        <v>0</v>
      </c>
      <c r="C84" s="81">
        <v>0</v>
      </c>
      <c r="D84" s="81">
        <v>0</v>
      </c>
      <c r="E84" s="81">
        <v>0</v>
      </c>
      <c r="F84" s="81">
        <v>0</v>
      </c>
      <c r="G84" s="81">
        <v>0</v>
      </c>
      <c r="H84" s="81">
        <v>0</v>
      </c>
    </row>
    <row r="85" spans="1:8" x14ac:dyDescent="0.25">
      <c r="A85" t="s">
        <v>145</v>
      </c>
      <c r="B85" s="81">
        <v>0</v>
      </c>
      <c r="C85" s="81">
        <v>0</v>
      </c>
      <c r="D85" s="81">
        <v>0</v>
      </c>
      <c r="E85" s="81">
        <v>0</v>
      </c>
      <c r="F85" s="81">
        <v>0</v>
      </c>
      <c r="G85" s="81">
        <v>0</v>
      </c>
      <c r="H85" s="81">
        <v>0</v>
      </c>
    </row>
    <row r="86" spans="1:8" x14ac:dyDescent="0.25">
      <c r="A86" t="s">
        <v>146</v>
      </c>
      <c r="B86" s="81">
        <v>0</v>
      </c>
      <c r="C86" s="81">
        <v>0</v>
      </c>
      <c r="D86" s="81">
        <v>0</v>
      </c>
      <c r="E86" s="81">
        <v>0</v>
      </c>
      <c r="F86" s="81">
        <v>0</v>
      </c>
      <c r="G86" s="81">
        <v>0</v>
      </c>
      <c r="H86" s="81">
        <v>0</v>
      </c>
    </row>
    <row r="87" spans="1:8" x14ac:dyDescent="0.25">
      <c r="A87" t="s">
        <v>147</v>
      </c>
      <c r="B87" s="81">
        <v>0</v>
      </c>
      <c r="C87" s="81">
        <v>0</v>
      </c>
      <c r="D87" s="81">
        <v>0</v>
      </c>
      <c r="E87" s="81">
        <v>0</v>
      </c>
      <c r="F87" s="81">
        <v>0</v>
      </c>
      <c r="G87" s="81">
        <v>0</v>
      </c>
      <c r="H87" s="81">
        <v>0</v>
      </c>
    </row>
    <row r="88" spans="1:8" x14ac:dyDescent="0.25">
      <c r="A88" t="s">
        <v>148</v>
      </c>
      <c r="B88" s="81">
        <v>0</v>
      </c>
      <c r="C88" s="81">
        <v>0</v>
      </c>
      <c r="D88" s="81">
        <v>0</v>
      </c>
      <c r="E88" s="81">
        <v>0</v>
      </c>
      <c r="F88" s="81">
        <v>0</v>
      </c>
      <c r="G88" s="81">
        <v>0</v>
      </c>
      <c r="H88" s="81">
        <v>0</v>
      </c>
    </row>
    <row r="89" spans="1:8" x14ac:dyDescent="0.25">
      <c r="A89" t="s">
        <v>149</v>
      </c>
      <c r="B89" s="81">
        <v>0</v>
      </c>
      <c r="C89" s="81">
        <v>0</v>
      </c>
      <c r="D89" s="81">
        <v>0</v>
      </c>
      <c r="E89" s="81">
        <v>0</v>
      </c>
      <c r="F89" s="81">
        <v>0</v>
      </c>
      <c r="G89" s="81">
        <v>0</v>
      </c>
      <c r="H89" s="81">
        <v>0</v>
      </c>
    </row>
    <row r="90" spans="1:8" x14ac:dyDescent="0.25">
      <c r="A90" t="s">
        <v>150</v>
      </c>
      <c r="B90" s="81">
        <v>0</v>
      </c>
      <c r="C90" s="81">
        <v>0</v>
      </c>
      <c r="D90" s="81">
        <v>0</v>
      </c>
      <c r="E90" s="81">
        <v>0</v>
      </c>
      <c r="F90" s="81">
        <v>0</v>
      </c>
      <c r="G90" s="81">
        <v>0</v>
      </c>
      <c r="H90" s="81">
        <v>0</v>
      </c>
    </row>
    <row r="91" spans="1:8" x14ac:dyDescent="0.25">
      <c r="A91" t="s">
        <v>151</v>
      </c>
      <c r="B91" s="81">
        <v>0</v>
      </c>
      <c r="C91" s="81">
        <v>0</v>
      </c>
      <c r="D91" s="81">
        <v>0</v>
      </c>
      <c r="E91" s="81">
        <v>0</v>
      </c>
      <c r="F91" s="81">
        <v>0</v>
      </c>
      <c r="G91" s="81">
        <v>0</v>
      </c>
      <c r="H91" s="81">
        <v>0</v>
      </c>
    </row>
    <row r="92" spans="1:8" x14ac:dyDescent="0.25">
      <c r="A92" t="s">
        <v>152</v>
      </c>
      <c r="B92" s="81">
        <v>0</v>
      </c>
      <c r="C92" s="81">
        <v>0</v>
      </c>
      <c r="D92" s="81">
        <v>0</v>
      </c>
      <c r="E92" s="81">
        <v>0</v>
      </c>
      <c r="F92" s="81">
        <v>0</v>
      </c>
      <c r="G92" s="81">
        <v>0</v>
      </c>
      <c r="H92" s="81">
        <v>0</v>
      </c>
    </row>
    <row r="93" spans="1:8" x14ac:dyDescent="0.25">
      <c r="A93" t="s">
        <v>153</v>
      </c>
      <c r="B93" s="81">
        <v>0</v>
      </c>
      <c r="C93" s="81">
        <v>0</v>
      </c>
      <c r="D93" s="81">
        <v>0</v>
      </c>
      <c r="E93" s="81">
        <v>0</v>
      </c>
      <c r="F93" s="81">
        <v>0</v>
      </c>
      <c r="G93" s="81">
        <v>0</v>
      </c>
      <c r="H93" s="81">
        <v>0</v>
      </c>
    </row>
    <row r="94" spans="1:8" x14ac:dyDescent="0.25">
      <c r="A94" t="s">
        <v>154</v>
      </c>
      <c r="B94" s="81">
        <v>0</v>
      </c>
      <c r="C94" s="81">
        <v>0</v>
      </c>
      <c r="D94" s="81">
        <v>0</v>
      </c>
      <c r="E94" s="81">
        <v>0</v>
      </c>
      <c r="F94" s="81">
        <v>0</v>
      </c>
      <c r="G94" s="81">
        <v>0</v>
      </c>
      <c r="H94" s="81">
        <v>0</v>
      </c>
    </row>
    <row r="95" spans="1:8" x14ac:dyDescent="0.25">
      <c r="A95" t="s">
        <v>155</v>
      </c>
      <c r="B95" s="81">
        <v>0</v>
      </c>
      <c r="C95" s="81">
        <v>0</v>
      </c>
      <c r="D95" s="81">
        <v>0</v>
      </c>
      <c r="E95" s="81">
        <v>0</v>
      </c>
      <c r="F95" s="81">
        <v>0</v>
      </c>
      <c r="G95" s="81">
        <v>0</v>
      </c>
      <c r="H95" s="81">
        <v>0</v>
      </c>
    </row>
    <row r="96" spans="1:8" x14ac:dyDescent="0.25">
      <c r="A96" t="s">
        <v>156</v>
      </c>
      <c r="B96" s="81">
        <v>0</v>
      </c>
      <c r="C96" s="81">
        <v>0</v>
      </c>
      <c r="D96" s="81">
        <v>0</v>
      </c>
      <c r="E96" s="81">
        <v>0</v>
      </c>
      <c r="F96" s="81">
        <v>0</v>
      </c>
      <c r="G96" s="81">
        <v>0</v>
      </c>
      <c r="H96" s="81">
        <v>0</v>
      </c>
    </row>
    <row r="97" spans="1:8" x14ac:dyDescent="0.25">
      <c r="A97" t="s">
        <v>157</v>
      </c>
      <c r="B97" s="81">
        <v>0</v>
      </c>
      <c r="C97" s="81">
        <v>0</v>
      </c>
      <c r="D97" s="81">
        <v>0</v>
      </c>
      <c r="E97" s="81">
        <v>0</v>
      </c>
      <c r="F97" s="81">
        <v>0</v>
      </c>
      <c r="G97" s="81">
        <v>0</v>
      </c>
      <c r="H97" s="81">
        <v>0</v>
      </c>
    </row>
    <row r="98" spans="1:8" x14ac:dyDescent="0.25">
      <c r="A98" t="s">
        <v>158</v>
      </c>
      <c r="B98" s="81">
        <v>0</v>
      </c>
      <c r="C98" s="81">
        <v>0</v>
      </c>
      <c r="D98" s="81">
        <v>0</v>
      </c>
      <c r="E98" s="81">
        <v>0</v>
      </c>
      <c r="F98" s="81">
        <v>0</v>
      </c>
      <c r="G98" s="81">
        <v>0</v>
      </c>
      <c r="H98" s="81">
        <v>0</v>
      </c>
    </row>
    <row r="99" spans="1:8" x14ac:dyDescent="0.25">
      <c r="A99" t="s">
        <v>159</v>
      </c>
      <c r="B99" s="81">
        <v>0</v>
      </c>
      <c r="C99" s="81">
        <v>0</v>
      </c>
      <c r="D99" s="81">
        <v>0</v>
      </c>
      <c r="E99" s="81">
        <v>0</v>
      </c>
      <c r="F99" s="81">
        <v>0</v>
      </c>
      <c r="G99" s="81">
        <v>0</v>
      </c>
      <c r="H99" s="81">
        <v>0</v>
      </c>
    </row>
    <row r="100" spans="1:8" x14ac:dyDescent="0.25">
      <c r="A100" t="s">
        <v>160</v>
      </c>
      <c r="B100" s="81">
        <v>0</v>
      </c>
      <c r="C100" s="81">
        <v>0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</row>
    <row r="101" spans="1:8" x14ac:dyDescent="0.25">
      <c r="A101" t="s">
        <v>161</v>
      </c>
      <c r="B101" s="81">
        <v>0</v>
      </c>
      <c r="C101" s="81">
        <v>0</v>
      </c>
      <c r="D101" s="81">
        <v>0</v>
      </c>
      <c r="E101" s="81">
        <v>0</v>
      </c>
      <c r="F101" s="81">
        <v>0</v>
      </c>
      <c r="G101" s="81">
        <v>0</v>
      </c>
      <c r="H101" s="81">
        <v>0</v>
      </c>
    </row>
    <row r="102" spans="1:8" x14ac:dyDescent="0.25">
      <c r="A102" t="s">
        <v>162</v>
      </c>
      <c r="B102" s="81">
        <v>0</v>
      </c>
      <c r="C102" s="81">
        <v>0</v>
      </c>
      <c r="D102" s="81">
        <v>0</v>
      </c>
      <c r="E102" s="81">
        <v>0</v>
      </c>
      <c r="F102" s="81">
        <v>0</v>
      </c>
      <c r="G102" s="81">
        <v>0</v>
      </c>
      <c r="H102" s="81">
        <v>0</v>
      </c>
    </row>
    <row r="103" spans="1:8" x14ac:dyDescent="0.25">
      <c r="A103" t="s">
        <v>163</v>
      </c>
      <c r="B103" s="81">
        <v>0</v>
      </c>
      <c r="C103" s="81">
        <v>0</v>
      </c>
      <c r="D103" s="81">
        <v>0</v>
      </c>
      <c r="E103" s="81">
        <v>0</v>
      </c>
      <c r="F103" s="81">
        <v>0</v>
      </c>
      <c r="G103" s="81">
        <v>0</v>
      </c>
      <c r="H103" s="81">
        <v>0</v>
      </c>
    </row>
    <row r="104" spans="1:8" x14ac:dyDescent="0.25">
      <c r="A104" t="s">
        <v>164</v>
      </c>
      <c r="B104" s="81">
        <v>0</v>
      </c>
      <c r="C104" s="81">
        <v>0</v>
      </c>
      <c r="D104" s="81">
        <v>0</v>
      </c>
      <c r="E104" s="81">
        <v>0</v>
      </c>
      <c r="F104" s="81">
        <v>0</v>
      </c>
      <c r="G104" s="81">
        <v>0</v>
      </c>
      <c r="H104" s="81">
        <v>0</v>
      </c>
    </row>
    <row r="105" spans="1:8" x14ac:dyDescent="0.25">
      <c r="A105" t="s">
        <v>165</v>
      </c>
      <c r="B105" s="81">
        <v>0</v>
      </c>
      <c r="C105" s="81">
        <v>0</v>
      </c>
      <c r="D105" s="81">
        <v>0</v>
      </c>
      <c r="E105" s="81">
        <v>0</v>
      </c>
      <c r="F105" s="81">
        <v>0</v>
      </c>
      <c r="G105" s="81">
        <v>0</v>
      </c>
      <c r="H105" s="81">
        <v>0</v>
      </c>
    </row>
    <row r="106" spans="1:8" x14ac:dyDescent="0.25">
      <c r="A106" t="s">
        <v>166</v>
      </c>
      <c r="B106" s="81">
        <v>0</v>
      </c>
      <c r="C106" s="81">
        <v>0</v>
      </c>
      <c r="D106" s="81">
        <v>0</v>
      </c>
      <c r="E106" s="81">
        <v>0</v>
      </c>
      <c r="F106" s="81">
        <v>0</v>
      </c>
      <c r="G106" s="81">
        <v>0</v>
      </c>
      <c r="H106" s="81">
        <v>0</v>
      </c>
    </row>
    <row r="107" spans="1:8" x14ac:dyDescent="0.25">
      <c r="A107" t="s">
        <v>167</v>
      </c>
      <c r="B107" s="81">
        <v>0</v>
      </c>
      <c r="C107" s="81">
        <v>0</v>
      </c>
      <c r="D107" s="81">
        <v>0</v>
      </c>
      <c r="E107" s="81">
        <v>0</v>
      </c>
      <c r="F107" s="81">
        <v>0</v>
      </c>
      <c r="G107" s="81">
        <v>0</v>
      </c>
      <c r="H107" s="81">
        <v>0</v>
      </c>
    </row>
    <row r="108" spans="1:8" x14ac:dyDescent="0.25">
      <c r="A108" t="s">
        <v>168</v>
      </c>
      <c r="B108" s="81">
        <v>0</v>
      </c>
      <c r="C108" s="81">
        <v>0</v>
      </c>
      <c r="D108" s="81">
        <v>0</v>
      </c>
      <c r="E108" s="81">
        <v>0</v>
      </c>
      <c r="F108" s="81">
        <v>0</v>
      </c>
      <c r="G108" s="81">
        <v>0</v>
      </c>
      <c r="H108" s="81">
        <v>0</v>
      </c>
    </row>
    <row r="109" spans="1:8" x14ac:dyDescent="0.25">
      <c r="A109" t="s">
        <v>460</v>
      </c>
      <c r="B109" s="81">
        <v>0</v>
      </c>
      <c r="C109" s="81">
        <v>0</v>
      </c>
      <c r="D109" s="81">
        <v>0</v>
      </c>
      <c r="E109" s="81">
        <v>0</v>
      </c>
      <c r="F109" s="81">
        <v>0</v>
      </c>
      <c r="G109" s="81">
        <v>0</v>
      </c>
      <c r="H109" s="81">
        <v>0</v>
      </c>
    </row>
    <row r="110" spans="1:8" x14ac:dyDescent="0.25">
      <c r="A110" t="s">
        <v>461</v>
      </c>
      <c r="B110" s="81">
        <v>0</v>
      </c>
      <c r="C110" s="81">
        <v>0</v>
      </c>
      <c r="D110" s="81">
        <v>0</v>
      </c>
      <c r="E110" s="81">
        <v>0</v>
      </c>
      <c r="F110" s="81">
        <v>0</v>
      </c>
      <c r="G110" s="81">
        <v>0</v>
      </c>
      <c r="H110" s="81">
        <v>0</v>
      </c>
    </row>
    <row r="111" spans="1:8" x14ac:dyDescent="0.25">
      <c r="A111" t="s">
        <v>462</v>
      </c>
      <c r="B111" s="81">
        <v>0</v>
      </c>
      <c r="C111" s="81">
        <v>0</v>
      </c>
      <c r="D111" s="81">
        <v>0</v>
      </c>
      <c r="E111" s="81">
        <v>0</v>
      </c>
      <c r="F111" s="81">
        <v>0</v>
      </c>
      <c r="G111" s="81">
        <v>0</v>
      </c>
      <c r="H111" s="81">
        <v>0</v>
      </c>
    </row>
    <row r="112" spans="1:8" x14ac:dyDescent="0.25">
      <c r="A112" t="s">
        <v>463</v>
      </c>
      <c r="B112" s="81">
        <v>0</v>
      </c>
      <c r="C112" s="81">
        <v>0</v>
      </c>
      <c r="D112" s="81">
        <v>0</v>
      </c>
      <c r="E112" s="81">
        <v>0</v>
      </c>
      <c r="F112" s="81">
        <v>0</v>
      </c>
      <c r="G112" s="81">
        <v>0</v>
      </c>
      <c r="H112" s="81">
        <v>0</v>
      </c>
    </row>
    <row r="113" spans="1:8" x14ac:dyDescent="0.25">
      <c r="A113" t="s">
        <v>169</v>
      </c>
      <c r="B113" s="81">
        <v>0</v>
      </c>
      <c r="C113" s="81">
        <v>0</v>
      </c>
      <c r="D113" s="81">
        <v>0</v>
      </c>
      <c r="E113" s="81">
        <v>0</v>
      </c>
      <c r="F113" s="81">
        <v>0</v>
      </c>
      <c r="G113" s="81">
        <v>0</v>
      </c>
      <c r="H113" s="81">
        <v>0</v>
      </c>
    </row>
    <row r="114" spans="1:8" x14ac:dyDescent="0.25">
      <c r="A114" t="s">
        <v>170</v>
      </c>
      <c r="B114" s="81">
        <v>0</v>
      </c>
      <c r="C114" s="81">
        <v>0</v>
      </c>
      <c r="D114" s="81">
        <v>0</v>
      </c>
      <c r="E114" s="81">
        <v>0</v>
      </c>
      <c r="F114" s="81">
        <v>0</v>
      </c>
      <c r="G114" s="81">
        <v>0</v>
      </c>
      <c r="H114" s="81">
        <v>0</v>
      </c>
    </row>
    <row r="115" spans="1:8" x14ac:dyDescent="0.25">
      <c r="A115" t="s">
        <v>171</v>
      </c>
      <c r="B115" s="81">
        <v>0</v>
      </c>
      <c r="C115" s="81">
        <v>0</v>
      </c>
      <c r="D115" s="81">
        <v>0</v>
      </c>
      <c r="E115" s="81">
        <v>0</v>
      </c>
      <c r="F115" s="81">
        <v>0</v>
      </c>
      <c r="G115" s="81">
        <v>0</v>
      </c>
      <c r="H115" s="81">
        <v>0</v>
      </c>
    </row>
    <row r="116" spans="1:8" x14ac:dyDescent="0.25">
      <c r="A116" t="s">
        <v>172</v>
      </c>
      <c r="B116" s="81">
        <v>0</v>
      </c>
      <c r="C116" s="81">
        <v>0</v>
      </c>
      <c r="D116" s="81">
        <v>0</v>
      </c>
      <c r="E116" s="81">
        <v>0</v>
      </c>
      <c r="F116" s="81">
        <v>0</v>
      </c>
      <c r="G116" s="81">
        <v>0</v>
      </c>
      <c r="H116" s="81">
        <v>0</v>
      </c>
    </row>
    <row r="117" spans="1:8" x14ac:dyDescent="0.25">
      <c r="A117" t="s">
        <v>452</v>
      </c>
      <c r="B117" s="81">
        <v>0</v>
      </c>
      <c r="C117" s="81">
        <v>0</v>
      </c>
      <c r="D117" s="81">
        <v>0</v>
      </c>
      <c r="E117" s="81">
        <v>0</v>
      </c>
      <c r="F117" s="81">
        <v>0</v>
      </c>
      <c r="G117" s="81">
        <v>0</v>
      </c>
      <c r="H117" s="81">
        <v>0</v>
      </c>
    </row>
    <row r="118" spans="1:8" x14ac:dyDescent="0.25">
      <c r="A118" t="s">
        <v>453</v>
      </c>
      <c r="B118" s="81">
        <v>0</v>
      </c>
      <c r="C118" s="81">
        <v>0</v>
      </c>
      <c r="D118" s="81">
        <v>0</v>
      </c>
      <c r="E118" s="81">
        <v>0</v>
      </c>
      <c r="F118" s="81">
        <v>0</v>
      </c>
      <c r="G118" s="81">
        <v>0</v>
      </c>
      <c r="H118" s="81">
        <v>0</v>
      </c>
    </row>
    <row r="119" spans="1:8" x14ac:dyDescent="0.25">
      <c r="A119" t="s">
        <v>454</v>
      </c>
      <c r="B119" s="81">
        <v>0</v>
      </c>
      <c r="C119" s="81">
        <v>0</v>
      </c>
      <c r="D119" s="81">
        <v>0</v>
      </c>
      <c r="E119" s="81">
        <v>0</v>
      </c>
      <c r="F119" s="81">
        <v>0</v>
      </c>
      <c r="G119" s="81">
        <v>0</v>
      </c>
      <c r="H119" s="81">
        <v>0</v>
      </c>
    </row>
    <row r="120" spans="1:8" x14ac:dyDescent="0.25">
      <c r="A120" t="s">
        <v>455</v>
      </c>
      <c r="B120" s="81">
        <v>0</v>
      </c>
      <c r="C120" s="81">
        <v>0</v>
      </c>
      <c r="D120" s="81">
        <v>0</v>
      </c>
      <c r="E120" s="81">
        <v>0</v>
      </c>
      <c r="F120" s="81">
        <v>0</v>
      </c>
      <c r="G120" s="81">
        <v>0</v>
      </c>
      <c r="H120" s="81">
        <v>0</v>
      </c>
    </row>
    <row r="121" spans="1:8" x14ac:dyDescent="0.25">
      <c r="A121" t="s">
        <v>173</v>
      </c>
      <c r="B121" s="81">
        <v>0</v>
      </c>
      <c r="C121" s="81">
        <v>0</v>
      </c>
      <c r="D121" s="81">
        <v>0</v>
      </c>
      <c r="E121" s="81">
        <v>0</v>
      </c>
      <c r="F121" s="81">
        <v>0</v>
      </c>
      <c r="G121" s="81">
        <v>0</v>
      </c>
      <c r="H121" s="81">
        <v>0</v>
      </c>
    </row>
    <row r="122" spans="1:8" x14ac:dyDescent="0.25">
      <c r="A122" t="s">
        <v>174</v>
      </c>
      <c r="B122" s="81">
        <v>0</v>
      </c>
      <c r="C122" s="81">
        <v>0</v>
      </c>
      <c r="D122" s="81">
        <v>0</v>
      </c>
      <c r="E122" s="81">
        <v>0</v>
      </c>
      <c r="F122" s="81">
        <v>0</v>
      </c>
      <c r="G122" s="81">
        <v>0</v>
      </c>
      <c r="H122" s="81">
        <v>0</v>
      </c>
    </row>
    <row r="123" spans="1:8" x14ac:dyDescent="0.25">
      <c r="A123" t="s">
        <v>175</v>
      </c>
      <c r="B123" s="81">
        <v>0</v>
      </c>
      <c r="C123" s="81">
        <v>0</v>
      </c>
      <c r="D123" s="81">
        <v>0</v>
      </c>
      <c r="E123" s="81">
        <v>0</v>
      </c>
      <c r="F123" s="81">
        <v>0</v>
      </c>
      <c r="G123" s="81">
        <v>0</v>
      </c>
      <c r="H123" s="81">
        <v>0</v>
      </c>
    </row>
    <row r="124" spans="1:8" x14ac:dyDescent="0.25">
      <c r="A124" t="s">
        <v>176</v>
      </c>
      <c r="B124" s="81">
        <v>0</v>
      </c>
      <c r="C124" s="81">
        <v>0</v>
      </c>
      <c r="D124" s="81">
        <v>0</v>
      </c>
      <c r="E124" s="81">
        <v>0</v>
      </c>
      <c r="F124" s="81">
        <v>0</v>
      </c>
      <c r="G124" s="81">
        <v>0</v>
      </c>
      <c r="H124" s="81">
        <v>0</v>
      </c>
    </row>
    <row r="125" spans="1:8" x14ac:dyDescent="0.25">
      <c r="A125" t="s">
        <v>456</v>
      </c>
      <c r="B125" s="81">
        <v>0</v>
      </c>
      <c r="C125" s="81">
        <v>0</v>
      </c>
      <c r="D125" s="81">
        <v>0</v>
      </c>
      <c r="E125" s="81">
        <v>0</v>
      </c>
      <c r="F125" s="81">
        <v>0</v>
      </c>
      <c r="G125" s="81">
        <v>0</v>
      </c>
      <c r="H125" s="81">
        <v>0</v>
      </c>
    </row>
    <row r="126" spans="1:8" x14ac:dyDescent="0.25">
      <c r="A126" t="s">
        <v>457</v>
      </c>
      <c r="B126" s="81">
        <v>0</v>
      </c>
      <c r="C126" s="81">
        <v>0</v>
      </c>
      <c r="D126" s="81">
        <v>0</v>
      </c>
      <c r="E126" s="81">
        <v>0</v>
      </c>
      <c r="F126" s="81">
        <v>0</v>
      </c>
      <c r="G126" s="81">
        <v>0</v>
      </c>
      <c r="H126" s="81">
        <v>0</v>
      </c>
    </row>
    <row r="127" spans="1:8" x14ac:dyDescent="0.25">
      <c r="A127" t="s">
        <v>458</v>
      </c>
      <c r="B127" s="81">
        <v>0</v>
      </c>
      <c r="C127" s="81">
        <v>0</v>
      </c>
      <c r="D127" s="81">
        <v>0</v>
      </c>
      <c r="E127" s="81">
        <v>0</v>
      </c>
      <c r="F127" s="81">
        <v>0</v>
      </c>
      <c r="G127" s="81">
        <v>0</v>
      </c>
      <c r="H127" s="81">
        <v>0</v>
      </c>
    </row>
    <row r="128" spans="1:8" x14ac:dyDescent="0.25">
      <c r="A128" t="s">
        <v>459</v>
      </c>
      <c r="B128" s="81">
        <v>0</v>
      </c>
      <c r="C128" s="81">
        <v>0</v>
      </c>
      <c r="D128" s="81">
        <v>0</v>
      </c>
      <c r="E128" s="81">
        <v>0</v>
      </c>
      <c r="F128" s="81">
        <v>0</v>
      </c>
      <c r="G128" s="81">
        <v>0</v>
      </c>
      <c r="H128" s="81">
        <v>0</v>
      </c>
    </row>
    <row r="129" spans="1:8" x14ac:dyDescent="0.25">
      <c r="A129" t="s">
        <v>464</v>
      </c>
      <c r="B129" s="81">
        <v>0</v>
      </c>
      <c r="C129" s="81">
        <v>0</v>
      </c>
      <c r="D129" s="81">
        <v>0</v>
      </c>
      <c r="E129" s="81">
        <v>0</v>
      </c>
      <c r="F129" s="81">
        <v>0</v>
      </c>
      <c r="G129" s="81">
        <v>0</v>
      </c>
      <c r="H129" s="81">
        <v>0</v>
      </c>
    </row>
    <row r="130" spans="1:8" x14ac:dyDescent="0.25">
      <c r="A130" t="s">
        <v>465</v>
      </c>
      <c r="B130" s="81">
        <v>0</v>
      </c>
      <c r="C130" s="81">
        <v>0</v>
      </c>
      <c r="D130" s="81">
        <v>0</v>
      </c>
      <c r="E130" s="81">
        <v>0</v>
      </c>
      <c r="F130" s="81">
        <v>0</v>
      </c>
      <c r="G130" s="81">
        <v>0</v>
      </c>
      <c r="H130" s="81">
        <v>0</v>
      </c>
    </row>
    <row r="131" spans="1:8" x14ac:dyDescent="0.25">
      <c r="A131" t="s">
        <v>466</v>
      </c>
      <c r="B131" s="81">
        <v>0</v>
      </c>
      <c r="C131" s="81">
        <v>0</v>
      </c>
      <c r="D131" s="81">
        <v>0</v>
      </c>
      <c r="E131" s="81">
        <v>0</v>
      </c>
      <c r="F131" s="81">
        <v>0</v>
      </c>
      <c r="G131" s="81">
        <v>0</v>
      </c>
      <c r="H131" s="81">
        <v>0</v>
      </c>
    </row>
    <row r="132" spans="1:8" x14ac:dyDescent="0.25">
      <c r="A132" t="s">
        <v>467</v>
      </c>
      <c r="B132" s="81">
        <v>0</v>
      </c>
      <c r="C132" s="81">
        <v>0</v>
      </c>
      <c r="D132" s="81">
        <v>0</v>
      </c>
      <c r="E132" s="81">
        <v>0</v>
      </c>
      <c r="F132" s="81">
        <v>0</v>
      </c>
      <c r="G132" s="81">
        <v>0</v>
      </c>
      <c r="H132" s="81">
        <v>0</v>
      </c>
    </row>
    <row r="133" spans="1:8" x14ac:dyDescent="0.25">
      <c r="A133" t="s">
        <v>484</v>
      </c>
      <c r="B133" s="81">
        <v>0</v>
      </c>
      <c r="C133" s="81">
        <v>0</v>
      </c>
      <c r="D133" s="81">
        <v>0</v>
      </c>
      <c r="E133" s="81">
        <v>0</v>
      </c>
      <c r="F133" s="81">
        <v>0</v>
      </c>
      <c r="G133" s="81">
        <v>0</v>
      </c>
      <c r="H133" s="81">
        <v>0</v>
      </c>
    </row>
    <row r="134" spans="1:8" x14ac:dyDescent="0.25">
      <c r="A134" t="s">
        <v>485</v>
      </c>
      <c r="B134" s="81">
        <v>0</v>
      </c>
      <c r="C134" s="81">
        <v>0</v>
      </c>
      <c r="D134" s="81">
        <v>0</v>
      </c>
      <c r="E134" s="81">
        <v>0</v>
      </c>
      <c r="F134" s="81">
        <v>0</v>
      </c>
      <c r="G134" s="81">
        <v>0</v>
      </c>
      <c r="H134" s="81">
        <v>0</v>
      </c>
    </row>
    <row r="135" spans="1:8" x14ac:dyDescent="0.25">
      <c r="A135" t="s">
        <v>486</v>
      </c>
      <c r="B135" s="81">
        <v>0</v>
      </c>
      <c r="C135" s="81">
        <v>0</v>
      </c>
      <c r="D135" s="81">
        <v>0</v>
      </c>
      <c r="E135" s="81">
        <v>0</v>
      </c>
      <c r="F135" s="81">
        <v>0</v>
      </c>
      <c r="G135" s="81">
        <v>0</v>
      </c>
      <c r="H135" s="81">
        <v>0</v>
      </c>
    </row>
    <row r="136" spans="1:8" x14ac:dyDescent="0.25">
      <c r="A136" t="s">
        <v>487</v>
      </c>
      <c r="B136" s="81">
        <v>0</v>
      </c>
      <c r="C136" s="81">
        <v>0</v>
      </c>
      <c r="D136" s="81">
        <v>0</v>
      </c>
      <c r="E136" s="81">
        <v>0</v>
      </c>
      <c r="F136" s="81">
        <v>0</v>
      </c>
      <c r="G136" s="81">
        <v>0</v>
      </c>
      <c r="H136" s="81">
        <v>0</v>
      </c>
    </row>
    <row r="137" spans="1:8" x14ac:dyDescent="0.25">
      <c r="A137" t="s">
        <v>177</v>
      </c>
      <c r="B137" s="81">
        <v>0</v>
      </c>
      <c r="C137" s="81">
        <v>0</v>
      </c>
      <c r="D137" s="81">
        <v>0</v>
      </c>
      <c r="E137" s="81">
        <v>0</v>
      </c>
      <c r="F137" s="81">
        <v>0</v>
      </c>
      <c r="G137" s="81">
        <v>0</v>
      </c>
      <c r="H137" s="81">
        <v>0</v>
      </c>
    </row>
    <row r="138" spans="1:8" x14ac:dyDescent="0.25">
      <c r="A138" t="s">
        <v>178</v>
      </c>
      <c r="B138" s="81">
        <v>0</v>
      </c>
      <c r="C138" s="81">
        <v>0</v>
      </c>
      <c r="D138" s="81">
        <v>0</v>
      </c>
      <c r="E138" s="81">
        <v>0</v>
      </c>
      <c r="F138" s="81">
        <v>0</v>
      </c>
      <c r="G138" s="81">
        <v>0</v>
      </c>
      <c r="H138" s="81">
        <v>0</v>
      </c>
    </row>
    <row r="139" spans="1:8" x14ac:dyDescent="0.25">
      <c r="A139" t="s">
        <v>179</v>
      </c>
      <c r="B139" s="81">
        <v>0</v>
      </c>
      <c r="C139" s="81">
        <v>0</v>
      </c>
      <c r="D139" s="81">
        <v>0</v>
      </c>
      <c r="E139" s="81">
        <v>0</v>
      </c>
      <c r="F139" s="81">
        <v>0</v>
      </c>
      <c r="G139" s="81">
        <v>0</v>
      </c>
      <c r="H139" s="81">
        <v>0</v>
      </c>
    </row>
    <row r="140" spans="1:8" x14ac:dyDescent="0.25">
      <c r="A140" t="s">
        <v>180</v>
      </c>
      <c r="B140" s="81">
        <v>0</v>
      </c>
      <c r="C140" s="81">
        <v>0</v>
      </c>
      <c r="D140" s="81">
        <v>0</v>
      </c>
      <c r="E140" s="81">
        <v>0</v>
      </c>
      <c r="F140" s="81">
        <v>0</v>
      </c>
      <c r="G140" s="81">
        <v>0</v>
      </c>
      <c r="H140" s="81">
        <v>0</v>
      </c>
    </row>
    <row r="141" spans="1:8" x14ac:dyDescent="0.25">
      <c r="A141" t="s">
        <v>181</v>
      </c>
      <c r="B141" s="81">
        <v>0</v>
      </c>
      <c r="C141" s="81">
        <v>0</v>
      </c>
      <c r="D141" s="81">
        <v>0</v>
      </c>
      <c r="E141" s="81">
        <v>0</v>
      </c>
      <c r="F141" s="81">
        <v>0</v>
      </c>
      <c r="G141" s="81">
        <v>0</v>
      </c>
      <c r="H141" s="81">
        <v>0</v>
      </c>
    </row>
    <row r="142" spans="1:8" x14ac:dyDescent="0.25">
      <c r="A142" t="s">
        <v>182</v>
      </c>
      <c r="B142" s="81">
        <v>0</v>
      </c>
      <c r="C142" s="81">
        <v>0</v>
      </c>
      <c r="D142" s="81">
        <v>0</v>
      </c>
      <c r="E142" s="81">
        <v>0</v>
      </c>
      <c r="F142" s="81">
        <v>0</v>
      </c>
      <c r="G142" s="81">
        <v>0</v>
      </c>
      <c r="H142" s="81">
        <v>0</v>
      </c>
    </row>
    <row r="143" spans="1:8" x14ac:dyDescent="0.25">
      <c r="A143" t="s">
        <v>183</v>
      </c>
      <c r="B143" s="81">
        <v>0</v>
      </c>
      <c r="C143" s="81">
        <v>0</v>
      </c>
      <c r="D143" s="81">
        <v>0</v>
      </c>
      <c r="E143" s="81">
        <v>0</v>
      </c>
      <c r="F143" s="81">
        <v>0</v>
      </c>
      <c r="G143" s="81">
        <v>0</v>
      </c>
      <c r="H143" s="81">
        <v>0</v>
      </c>
    </row>
    <row r="144" spans="1:8" x14ac:dyDescent="0.25">
      <c r="A144" t="s">
        <v>184</v>
      </c>
      <c r="B144" s="81">
        <v>0</v>
      </c>
      <c r="C144" s="81">
        <v>0</v>
      </c>
      <c r="D144" s="81">
        <v>0</v>
      </c>
      <c r="E144" s="81">
        <v>0</v>
      </c>
      <c r="F144" s="81">
        <v>0</v>
      </c>
      <c r="G144" s="81">
        <v>0</v>
      </c>
      <c r="H144" s="81">
        <v>0</v>
      </c>
    </row>
    <row r="145" spans="1:8" x14ac:dyDescent="0.25">
      <c r="A145" t="s">
        <v>185</v>
      </c>
      <c r="B145" s="81">
        <v>0</v>
      </c>
      <c r="C145" s="81">
        <v>0</v>
      </c>
      <c r="D145" s="81">
        <v>0</v>
      </c>
      <c r="E145" s="81">
        <v>0</v>
      </c>
      <c r="F145" s="81">
        <v>0</v>
      </c>
      <c r="G145" s="81">
        <v>0</v>
      </c>
      <c r="H145" s="81">
        <v>0</v>
      </c>
    </row>
    <row r="146" spans="1:8" x14ac:dyDescent="0.25">
      <c r="A146" t="s">
        <v>186</v>
      </c>
      <c r="B146" s="81">
        <v>0</v>
      </c>
      <c r="C146" s="81">
        <v>0</v>
      </c>
      <c r="D146" s="81">
        <v>0</v>
      </c>
      <c r="E146" s="81">
        <v>0</v>
      </c>
      <c r="F146" s="81">
        <v>0</v>
      </c>
      <c r="G146" s="81">
        <v>0</v>
      </c>
      <c r="H146" s="81">
        <v>0</v>
      </c>
    </row>
    <row r="147" spans="1:8" x14ac:dyDescent="0.25">
      <c r="A147" t="s">
        <v>187</v>
      </c>
      <c r="B147" s="81">
        <v>0</v>
      </c>
      <c r="C147" s="81">
        <v>0</v>
      </c>
      <c r="D147" s="81">
        <v>0</v>
      </c>
      <c r="E147" s="81">
        <v>0</v>
      </c>
      <c r="F147" s="81">
        <v>0</v>
      </c>
      <c r="G147" s="81">
        <v>0</v>
      </c>
      <c r="H147" s="81">
        <v>0</v>
      </c>
    </row>
    <row r="148" spans="1:8" x14ac:dyDescent="0.25">
      <c r="A148" t="s">
        <v>188</v>
      </c>
      <c r="B148" s="81">
        <v>0</v>
      </c>
      <c r="C148" s="81">
        <v>0</v>
      </c>
      <c r="D148" s="81">
        <v>0</v>
      </c>
      <c r="E148" s="81">
        <v>0</v>
      </c>
      <c r="F148" s="81">
        <v>0</v>
      </c>
      <c r="G148" s="81">
        <v>0</v>
      </c>
      <c r="H148" s="81">
        <v>0</v>
      </c>
    </row>
    <row r="149" spans="1:8" x14ac:dyDescent="0.25">
      <c r="A149" t="s">
        <v>189</v>
      </c>
      <c r="B149" s="81">
        <v>0</v>
      </c>
      <c r="C149" s="81">
        <v>0</v>
      </c>
      <c r="D149" s="81">
        <v>0</v>
      </c>
      <c r="E149" s="81">
        <v>0</v>
      </c>
      <c r="F149" s="81">
        <v>0</v>
      </c>
      <c r="G149" s="81">
        <v>0</v>
      </c>
      <c r="H149" s="81">
        <v>0</v>
      </c>
    </row>
    <row r="150" spans="1:8" x14ac:dyDescent="0.25">
      <c r="A150" t="s">
        <v>190</v>
      </c>
      <c r="B150" s="81">
        <v>0</v>
      </c>
      <c r="C150" s="81">
        <v>0</v>
      </c>
      <c r="D150" s="81">
        <v>0</v>
      </c>
      <c r="E150" s="81">
        <v>0</v>
      </c>
      <c r="F150" s="81">
        <v>0</v>
      </c>
      <c r="G150" s="81">
        <v>0</v>
      </c>
      <c r="H150" s="81">
        <v>0</v>
      </c>
    </row>
    <row r="151" spans="1:8" x14ac:dyDescent="0.25">
      <c r="A151" t="s">
        <v>191</v>
      </c>
      <c r="B151" s="81">
        <v>0</v>
      </c>
      <c r="C151" s="81">
        <v>0</v>
      </c>
      <c r="D151" s="81">
        <v>0</v>
      </c>
      <c r="E151" s="81">
        <v>0</v>
      </c>
      <c r="F151" s="81">
        <v>0</v>
      </c>
      <c r="G151" s="81">
        <v>0</v>
      </c>
      <c r="H151" s="81">
        <v>0</v>
      </c>
    </row>
    <row r="152" spans="1:8" x14ac:dyDescent="0.25">
      <c r="A152" t="s">
        <v>192</v>
      </c>
      <c r="B152" s="81">
        <v>0</v>
      </c>
      <c r="C152" s="81">
        <v>0</v>
      </c>
      <c r="D152" s="81">
        <v>0</v>
      </c>
      <c r="E152" s="81">
        <v>0</v>
      </c>
      <c r="F152" s="81">
        <v>0</v>
      </c>
      <c r="G152" s="81">
        <v>0</v>
      </c>
      <c r="H152" s="81">
        <v>0</v>
      </c>
    </row>
    <row r="153" spans="1:8" x14ac:dyDescent="0.25">
      <c r="A153" t="s">
        <v>193</v>
      </c>
      <c r="B153" s="81">
        <v>0</v>
      </c>
      <c r="C153" s="81">
        <v>0</v>
      </c>
      <c r="D153" s="81">
        <v>0</v>
      </c>
      <c r="E153" s="81">
        <v>0</v>
      </c>
      <c r="F153" s="81">
        <v>0</v>
      </c>
      <c r="G153" s="81">
        <v>0</v>
      </c>
      <c r="H153" s="81">
        <v>0</v>
      </c>
    </row>
    <row r="154" spans="1:8" x14ac:dyDescent="0.25">
      <c r="A154" t="s">
        <v>194</v>
      </c>
      <c r="B154" s="81">
        <v>0</v>
      </c>
      <c r="C154" s="81">
        <v>0</v>
      </c>
      <c r="D154" s="81">
        <v>0</v>
      </c>
      <c r="E154" s="81">
        <v>0</v>
      </c>
      <c r="F154" s="81">
        <v>0</v>
      </c>
      <c r="G154" s="81">
        <v>0</v>
      </c>
      <c r="H154" s="81">
        <v>0</v>
      </c>
    </row>
    <row r="155" spans="1:8" x14ac:dyDescent="0.25">
      <c r="A155" t="s">
        <v>195</v>
      </c>
      <c r="B155" s="81">
        <v>0</v>
      </c>
      <c r="C155" s="81">
        <v>0</v>
      </c>
      <c r="D155" s="81">
        <v>0</v>
      </c>
      <c r="E155" s="81">
        <v>0</v>
      </c>
      <c r="F155" s="81">
        <v>0</v>
      </c>
      <c r="G155" s="81">
        <v>0</v>
      </c>
      <c r="H155" s="81">
        <v>0</v>
      </c>
    </row>
    <row r="156" spans="1:8" x14ac:dyDescent="0.25">
      <c r="A156" t="s">
        <v>196</v>
      </c>
      <c r="B156" s="81">
        <v>0</v>
      </c>
      <c r="C156" s="81">
        <v>0</v>
      </c>
      <c r="D156" s="81">
        <v>0</v>
      </c>
      <c r="E156" s="81">
        <v>0</v>
      </c>
      <c r="F156" s="81">
        <v>0</v>
      </c>
      <c r="G156" s="81">
        <v>0</v>
      </c>
      <c r="H156" s="81">
        <v>0</v>
      </c>
    </row>
    <row r="157" spans="1:8" x14ac:dyDescent="0.25">
      <c r="A157" t="s">
        <v>197</v>
      </c>
      <c r="B157" s="81">
        <v>0</v>
      </c>
      <c r="C157" s="81">
        <v>0</v>
      </c>
      <c r="D157" s="81">
        <v>0</v>
      </c>
      <c r="E157" s="81">
        <v>0</v>
      </c>
      <c r="F157" s="81">
        <v>0</v>
      </c>
      <c r="G157" s="81">
        <v>0</v>
      </c>
      <c r="H157" s="81">
        <v>0</v>
      </c>
    </row>
    <row r="158" spans="1:8" x14ac:dyDescent="0.25">
      <c r="A158" t="s">
        <v>198</v>
      </c>
      <c r="B158" s="81">
        <v>0</v>
      </c>
      <c r="C158" s="81">
        <v>0</v>
      </c>
      <c r="D158" s="81">
        <v>0</v>
      </c>
      <c r="E158" s="81">
        <v>0</v>
      </c>
      <c r="F158" s="81">
        <v>0</v>
      </c>
      <c r="G158" s="81">
        <v>0</v>
      </c>
      <c r="H158" s="81">
        <v>0</v>
      </c>
    </row>
    <row r="159" spans="1:8" x14ac:dyDescent="0.25">
      <c r="A159" t="s">
        <v>199</v>
      </c>
      <c r="B159" s="81">
        <v>0</v>
      </c>
      <c r="C159" s="81">
        <v>0</v>
      </c>
      <c r="D159" s="81">
        <v>0</v>
      </c>
      <c r="E159" s="81">
        <v>0</v>
      </c>
      <c r="F159" s="81">
        <v>0</v>
      </c>
      <c r="G159" s="81">
        <v>0</v>
      </c>
      <c r="H159" s="81">
        <v>0</v>
      </c>
    </row>
    <row r="160" spans="1:8" x14ac:dyDescent="0.25">
      <c r="A160" t="s">
        <v>200</v>
      </c>
      <c r="B160" s="81">
        <v>0</v>
      </c>
      <c r="C160" s="81">
        <v>0</v>
      </c>
      <c r="D160" s="81">
        <v>0</v>
      </c>
      <c r="E160" s="81">
        <v>0</v>
      </c>
      <c r="F160" s="81">
        <v>0</v>
      </c>
      <c r="G160" s="81">
        <v>0</v>
      </c>
      <c r="H160" s="81">
        <v>0</v>
      </c>
    </row>
    <row r="161" spans="1:8" x14ac:dyDescent="0.25">
      <c r="A161" t="s">
        <v>201</v>
      </c>
      <c r="B161" s="81">
        <v>0</v>
      </c>
      <c r="C161" s="81">
        <v>0</v>
      </c>
      <c r="D161" s="81">
        <v>0</v>
      </c>
      <c r="E161" s="81">
        <v>0</v>
      </c>
      <c r="F161" s="81">
        <v>0</v>
      </c>
      <c r="G161" s="81">
        <v>0</v>
      </c>
      <c r="H161" s="81">
        <v>0</v>
      </c>
    </row>
    <row r="162" spans="1:8" x14ac:dyDescent="0.25">
      <c r="A162" t="s">
        <v>202</v>
      </c>
      <c r="B162" s="81">
        <v>0</v>
      </c>
      <c r="C162" s="81">
        <v>0</v>
      </c>
      <c r="D162" s="81">
        <v>0</v>
      </c>
      <c r="E162" s="81">
        <v>0</v>
      </c>
      <c r="F162" s="81">
        <v>0</v>
      </c>
      <c r="G162" s="81">
        <v>0</v>
      </c>
      <c r="H162" s="81">
        <v>0</v>
      </c>
    </row>
    <row r="163" spans="1:8" x14ac:dyDescent="0.25">
      <c r="A163" t="s">
        <v>203</v>
      </c>
      <c r="B163" s="81">
        <v>0</v>
      </c>
      <c r="C163" s="81">
        <v>0</v>
      </c>
      <c r="D163" s="81">
        <v>0</v>
      </c>
      <c r="E163" s="81">
        <v>0</v>
      </c>
      <c r="F163" s="81">
        <v>0</v>
      </c>
      <c r="G163" s="81">
        <v>0</v>
      </c>
      <c r="H163" s="81">
        <v>0</v>
      </c>
    </row>
    <row r="164" spans="1:8" x14ac:dyDescent="0.25">
      <c r="A164" t="s">
        <v>204</v>
      </c>
      <c r="B164" s="81">
        <v>0</v>
      </c>
      <c r="C164" s="81">
        <v>0</v>
      </c>
      <c r="D164" s="81">
        <v>0</v>
      </c>
      <c r="E164" s="81">
        <v>0</v>
      </c>
      <c r="F164" s="81">
        <v>0</v>
      </c>
      <c r="G164" s="81">
        <v>0</v>
      </c>
      <c r="H164" s="81">
        <v>0</v>
      </c>
    </row>
    <row r="165" spans="1:8" x14ac:dyDescent="0.25">
      <c r="A165" t="s">
        <v>205</v>
      </c>
      <c r="B165" s="81">
        <v>0</v>
      </c>
      <c r="C165" s="81">
        <v>0</v>
      </c>
      <c r="D165" s="81">
        <v>0</v>
      </c>
      <c r="E165" s="81">
        <v>0</v>
      </c>
      <c r="F165" s="81">
        <v>0</v>
      </c>
      <c r="G165" s="81">
        <v>0</v>
      </c>
      <c r="H165" s="81">
        <v>0</v>
      </c>
    </row>
    <row r="166" spans="1:8" x14ac:dyDescent="0.25">
      <c r="A166" t="s">
        <v>206</v>
      </c>
      <c r="B166" s="81">
        <v>0</v>
      </c>
      <c r="C166" s="81">
        <v>0</v>
      </c>
      <c r="D166" s="81">
        <v>0</v>
      </c>
      <c r="E166" s="81">
        <v>0</v>
      </c>
      <c r="F166" s="81">
        <v>0</v>
      </c>
      <c r="G166" s="81">
        <v>0</v>
      </c>
      <c r="H166" s="81">
        <v>0</v>
      </c>
    </row>
    <row r="167" spans="1:8" x14ac:dyDescent="0.25">
      <c r="A167" t="s">
        <v>207</v>
      </c>
      <c r="B167" s="81">
        <v>0</v>
      </c>
      <c r="C167" s="81">
        <v>0</v>
      </c>
      <c r="D167" s="81">
        <v>0</v>
      </c>
      <c r="E167" s="81">
        <v>0</v>
      </c>
      <c r="F167" s="81">
        <v>0</v>
      </c>
      <c r="G167" s="81">
        <v>0</v>
      </c>
      <c r="H167" s="81">
        <v>0</v>
      </c>
    </row>
    <row r="168" spans="1:8" x14ac:dyDescent="0.25">
      <c r="A168" t="s">
        <v>208</v>
      </c>
      <c r="B168" s="81">
        <v>0</v>
      </c>
      <c r="C168" s="81">
        <v>0</v>
      </c>
      <c r="D168" s="81">
        <v>0</v>
      </c>
      <c r="E168" s="81">
        <v>0</v>
      </c>
      <c r="F168" s="81">
        <v>0</v>
      </c>
      <c r="G168" s="81">
        <v>0</v>
      </c>
      <c r="H168" s="81">
        <v>0</v>
      </c>
    </row>
    <row r="169" spans="1:8" x14ac:dyDescent="0.25">
      <c r="A169" t="s">
        <v>209</v>
      </c>
      <c r="B169" s="81">
        <v>0</v>
      </c>
      <c r="C169" s="81">
        <v>0</v>
      </c>
      <c r="D169" s="81">
        <v>0</v>
      </c>
      <c r="E169" s="81">
        <v>0</v>
      </c>
      <c r="F169" s="81">
        <v>0</v>
      </c>
      <c r="G169" s="81">
        <v>0</v>
      </c>
      <c r="H169" s="81">
        <v>0</v>
      </c>
    </row>
    <row r="170" spans="1:8" x14ac:dyDescent="0.25">
      <c r="A170" t="s">
        <v>210</v>
      </c>
      <c r="B170" s="81">
        <v>0</v>
      </c>
      <c r="C170" s="81">
        <v>0</v>
      </c>
      <c r="D170" s="81">
        <v>0</v>
      </c>
      <c r="E170" s="81">
        <v>0</v>
      </c>
      <c r="F170" s="81">
        <v>0</v>
      </c>
      <c r="G170" s="81">
        <v>0</v>
      </c>
      <c r="H170" s="81">
        <v>0</v>
      </c>
    </row>
    <row r="171" spans="1:8" x14ac:dyDescent="0.25">
      <c r="A171" t="s">
        <v>211</v>
      </c>
      <c r="B171" s="81">
        <v>0</v>
      </c>
      <c r="C171" s="81">
        <v>0</v>
      </c>
      <c r="D171" s="81">
        <v>0</v>
      </c>
      <c r="E171" s="81">
        <v>0</v>
      </c>
      <c r="F171" s="81">
        <v>0</v>
      </c>
      <c r="G171" s="81">
        <v>0</v>
      </c>
      <c r="H171" s="81">
        <v>0</v>
      </c>
    </row>
    <row r="172" spans="1:8" x14ac:dyDescent="0.25">
      <c r="A172" t="s">
        <v>212</v>
      </c>
      <c r="B172" s="81">
        <v>0</v>
      </c>
      <c r="C172" s="81">
        <v>0</v>
      </c>
      <c r="D172" s="81">
        <v>0</v>
      </c>
      <c r="E172" s="81">
        <v>0</v>
      </c>
      <c r="F172" s="81">
        <v>0</v>
      </c>
      <c r="G172" s="81">
        <v>0</v>
      </c>
      <c r="H172" s="81">
        <v>0</v>
      </c>
    </row>
    <row r="173" spans="1:8" x14ac:dyDescent="0.25">
      <c r="A173" t="s">
        <v>213</v>
      </c>
      <c r="B173" s="81">
        <v>0</v>
      </c>
      <c r="C173" s="81">
        <v>0</v>
      </c>
      <c r="D173" s="81">
        <v>0</v>
      </c>
      <c r="E173" s="81">
        <v>0</v>
      </c>
      <c r="F173" s="81">
        <v>0</v>
      </c>
      <c r="G173" s="81">
        <v>0</v>
      </c>
      <c r="H173" s="81">
        <v>0</v>
      </c>
    </row>
    <row r="174" spans="1:8" x14ac:dyDescent="0.25">
      <c r="A174" t="s">
        <v>214</v>
      </c>
      <c r="B174" s="81">
        <v>0</v>
      </c>
      <c r="C174" s="81">
        <v>0</v>
      </c>
      <c r="D174" s="81">
        <v>0</v>
      </c>
      <c r="E174" s="81">
        <v>0</v>
      </c>
      <c r="F174" s="81">
        <v>0</v>
      </c>
      <c r="G174" s="81">
        <v>0</v>
      </c>
      <c r="H174" s="81">
        <v>0</v>
      </c>
    </row>
    <row r="175" spans="1:8" x14ac:dyDescent="0.25">
      <c r="A175" t="s">
        <v>215</v>
      </c>
      <c r="B175" s="81">
        <v>0</v>
      </c>
      <c r="C175" s="81">
        <v>0</v>
      </c>
      <c r="D175" s="81">
        <v>0</v>
      </c>
      <c r="E175" s="81">
        <v>0</v>
      </c>
      <c r="F175" s="81">
        <v>0</v>
      </c>
      <c r="G175" s="81">
        <v>0</v>
      </c>
      <c r="H175" s="81">
        <v>0</v>
      </c>
    </row>
    <row r="176" spans="1:8" x14ac:dyDescent="0.25">
      <c r="A176" t="s">
        <v>216</v>
      </c>
      <c r="B176" s="81">
        <v>0</v>
      </c>
      <c r="C176" s="81">
        <v>0</v>
      </c>
      <c r="D176" s="81">
        <v>0</v>
      </c>
      <c r="E176" s="81">
        <v>0</v>
      </c>
      <c r="F176" s="81">
        <v>0</v>
      </c>
      <c r="G176" s="81">
        <v>0</v>
      </c>
      <c r="H176" s="81">
        <v>0</v>
      </c>
    </row>
    <row r="177" spans="1:8" x14ac:dyDescent="0.25">
      <c r="A177" t="s">
        <v>217</v>
      </c>
      <c r="B177" s="81">
        <v>0</v>
      </c>
      <c r="C177" s="81">
        <v>0</v>
      </c>
      <c r="D177" s="81">
        <v>0</v>
      </c>
      <c r="E177" s="81">
        <v>0</v>
      </c>
      <c r="F177" s="81">
        <v>0</v>
      </c>
      <c r="G177" s="81">
        <v>0</v>
      </c>
      <c r="H177" s="81">
        <v>0</v>
      </c>
    </row>
    <row r="178" spans="1:8" x14ac:dyDescent="0.25">
      <c r="A178" t="s">
        <v>218</v>
      </c>
      <c r="B178" s="81">
        <v>0</v>
      </c>
      <c r="C178" s="81">
        <v>0</v>
      </c>
      <c r="D178" s="81">
        <v>0</v>
      </c>
      <c r="E178" s="81">
        <v>0</v>
      </c>
      <c r="F178" s="81">
        <v>0</v>
      </c>
      <c r="G178" s="81">
        <v>0</v>
      </c>
      <c r="H178" s="81">
        <v>0</v>
      </c>
    </row>
    <row r="179" spans="1:8" x14ac:dyDescent="0.25">
      <c r="A179" t="s">
        <v>219</v>
      </c>
      <c r="B179" s="81">
        <v>0</v>
      </c>
      <c r="C179" s="81">
        <v>0</v>
      </c>
      <c r="D179" s="81">
        <v>0</v>
      </c>
      <c r="E179" s="81">
        <v>0</v>
      </c>
      <c r="F179" s="81">
        <v>0</v>
      </c>
      <c r="G179" s="81">
        <v>0</v>
      </c>
      <c r="H179" s="81">
        <v>0</v>
      </c>
    </row>
    <row r="180" spans="1:8" x14ac:dyDescent="0.25">
      <c r="A180" t="s">
        <v>220</v>
      </c>
      <c r="B180" s="81">
        <v>0</v>
      </c>
      <c r="C180" s="81">
        <v>0</v>
      </c>
      <c r="D180" s="81">
        <v>0</v>
      </c>
      <c r="E180" s="81">
        <v>0</v>
      </c>
      <c r="F180" s="81">
        <v>0</v>
      </c>
      <c r="G180" s="81">
        <v>0</v>
      </c>
      <c r="H180" s="81">
        <v>0</v>
      </c>
    </row>
    <row r="181" spans="1:8" x14ac:dyDescent="0.25">
      <c r="A181" t="s">
        <v>221</v>
      </c>
      <c r="B181" s="81">
        <v>0</v>
      </c>
      <c r="C181" s="81">
        <v>0</v>
      </c>
      <c r="D181" s="81">
        <v>0</v>
      </c>
      <c r="E181" s="81">
        <v>0</v>
      </c>
      <c r="F181" s="81">
        <v>0</v>
      </c>
      <c r="G181" s="81">
        <v>0</v>
      </c>
      <c r="H181" s="81">
        <v>0</v>
      </c>
    </row>
    <row r="182" spans="1:8" x14ac:dyDescent="0.25">
      <c r="A182" t="s">
        <v>222</v>
      </c>
      <c r="B182" s="81">
        <v>0</v>
      </c>
      <c r="C182" s="81">
        <v>0</v>
      </c>
      <c r="D182" s="81">
        <v>0</v>
      </c>
      <c r="E182" s="81">
        <v>0</v>
      </c>
      <c r="F182" s="81">
        <v>0</v>
      </c>
      <c r="G182" s="81">
        <v>0</v>
      </c>
      <c r="H182" s="81">
        <v>0</v>
      </c>
    </row>
    <row r="183" spans="1:8" x14ac:dyDescent="0.25">
      <c r="A183" t="s">
        <v>223</v>
      </c>
      <c r="B183" s="81">
        <v>0</v>
      </c>
      <c r="C183" s="81">
        <v>0</v>
      </c>
      <c r="D183" s="81">
        <v>0</v>
      </c>
      <c r="E183" s="81">
        <v>0</v>
      </c>
      <c r="F183" s="81">
        <v>0</v>
      </c>
      <c r="G183" s="81">
        <v>0</v>
      </c>
      <c r="H183" s="81">
        <v>0</v>
      </c>
    </row>
    <row r="184" spans="1:8" x14ac:dyDescent="0.25">
      <c r="A184" t="s">
        <v>224</v>
      </c>
      <c r="B184" s="81">
        <v>0</v>
      </c>
      <c r="C184" s="81">
        <v>0</v>
      </c>
      <c r="D184" s="81">
        <v>0</v>
      </c>
      <c r="E184" s="81">
        <v>0</v>
      </c>
      <c r="F184" s="81">
        <v>0</v>
      </c>
      <c r="G184" s="81">
        <v>0</v>
      </c>
      <c r="H184" s="81">
        <v>0</v>
      </c>
    </row>
    <row r="185" spans="1:8" x14ac:dyDescent="0.25">
      <c r="A185" t="s">
        <v>225</v>
      </c>
      <c r="B185" s="81">
        <v>0</v>
      </c>
      <c r="C185" s="81">
        <v>0</v>
      </c>
      <c r="D185" s="81">
        <v>0</v>
      </c>
      <c r="E185" s="81">
        <v>0</v>
      </c>
      <c r="F185" s="81">
        <v>0</v>
      </c>
      <c r="G185" s="81">
        <v>0</v>
      </c>
      <c r="H185" s="81">
        <v>0</v>
      </c>
    </row>
    <row r="186" spans="1:8" x14ac:dyDescent="0.25">
      <c r="A186" t="s">
        <v>226</v>
      </c>
      <c r="B186" s="81">
        <v>0</v>
      </c>
      <c r="C186" s="81">
        <v>0</v>
      </c>
      <c r="D186" s="81">
        <v>0</v>
      </c>
      <c r="E186" s="81">
        <v>0</v>
      </c>
      <c r="F186" s="81">
        <v>0</v>
      </c>
      <c r="G186" s="81">
        <v>0</v>
      </c>
      <c r="H186" s="81">
        <v>0</v>
      </c>
    </row>
    <row r="187" spans="1:8" x14ac:dyDescent="0.25">
      <c r="A187" t="s">
        <v>227</v>
      </c>
      <c r="B187" s="81">
        <v>0</v>
      </c>
      <c r="C187" s="81">
        <v>0</v>
      </c>
      <c r="D187" s="81">
        <v>0</v>
      </c>
      <c r="E187" s="81">
        <v>0</v>
      </c>
      <c r="F187" s="81">
        <v>0</v>
      </c>
      <c r="G187" s="81">
        <v>0</v>
      </c>
      <c r="H187" s="81">
        <v>0</v>
      </c>
    </row>
    <row r="188" spans="1:8" x14ac:dyDescent="0.25">
      <c r="A188" t="s">
        <v>228</v>
      </c>
      <c r="B188" s="81">
        <v>0</v>
      </c>
      <c r="C188" s="81">
        <v>0</v>
      </c>
      <c r="D188" s="81">
        <v>0</v>
      </c>
      <c r="E188" s="81">
        <v>0</v>
      </c>
      <c r="F188" s="81">
        <v>0</v>
      </c>
      <c r="G188" s="81">
        <v>0</v>
      </c>
      <c r="H188" s="81">
        <v>0</v>
      </c>
    </row>
    <row r="189" spans="1:8" x14ac:dyDescent="0.25">
      <c r="A189" t="s">
        <v>229</v>
      </c>
      <c r="B189" s="81">
        <v>0</v>
      </c>
      <c r="C189" s="81">
        <v>0</v>
      </c>
      <c r="D189" s="81">
        <v>0</v>
      </c>
      <c r="E189" s="81">
        <v>0</v>
      </c>
      <c r="F189" s="81">
        <v>0</v>
      </c>
      <c r="G189" s="81">
        <v>0</v>
      </c>
      <c r="H189" s="81">
        <v>0</v>
      </c>
    </row>
    <row r="190" spans="1:8" x14ac:dyDescent="0.25">
      <c r="A190" t="s">
        <v>230</v>
      </c>
      <c r="B190" s="81">
        <v>0</v>
      </c>
      <c r="C190" s="81">
        <v>0</v>
      </c>
      <c r="D190" s="81">
        <v>0</v>
      </c>
      <c r="E190" s="81">
        <v>0</v>
      </c>
      <c r="F190" s="81">
        <v>0</v>
      </c>
      <c r="G190" s="81">
        <v>0</v>
      </c>
      <c r="H190" s="81">
        <v>0</v>
      </c>
    </row>
    <row r="191" spans="1:8" x14ac:dyDescent="0.25">
      <c r="A191" t="s">
        <v>231</v>
      </c>
      <c r="B191" s="81">
        <v>0</v>
      </c>
      <c r="C191" s="81">
        <v>0</v>
      </c>
      <c r="D191" s="81">
        <v>0</v>
      </c>
      <c r="E191" s="81">
        <v>0</v>
      </c>
      <c r="F191" s="81">
        <v>0</v>
      </c>
      <c r="G191" s="81">
        <v>0</v>
      </c>
      <c r="H191" s="81">
        <v>0</v>
      </c>
    </row>
    <row r="192" spans="1:8" x14ac:dyDescent="0.25">
      <c r="A192" t="s">
        <v>232</v>
      </c>
      <c r="B192" s="81">
        <v>0</v>
      </c>
      <c r="C192" s="81">
        <v>0</v>
      </c>
      <c r="D192" s="81">
        <v>0</v>
      </c>
      <c r="E192" s="81">
        <v>0</v>
      </c>
      <c r="F192" s="81">
        <v>0</v>
      </c>
      <c r="G192" s="81">
        <v>0</v>
      </c>
      <c r="H192" s="81">
        <v>0</v>
      </c>
    </row>
    <row r="193" spans="1:8" x14ac:dyDescent="0.25">
      <c r="A193" t="s">
        <v>233</v>
      </c>
      <c r="B193" s="81">
        <v>0</v>
      </c>
      <c r="C193" s="81">
        <v>0</v>
      </c>
      <c r="D193" s="81">
        <v>0</v>
      </c>
      <c r="E193" s="81">
        <v>0</v>
      </c>
      <c r="F193" s="81">
        <v>0</v>
      </c>
      <c r="G193" s="81">
        <v>0</v>
      </c>
      <c r="H193" s="81">
        <v>0</v>
      </c>
    </row>
    <row r="194" spans="1:8" x14ac:dyDescent="0.25">
      <c r="A194" t="s">
        <v>234</v>
      </c>
      <c r="B194" s="81">
        <v>0</v>
      </c>
      <c r="C194" s="81">
        <v>0</v>
      </c>
      <c r="D194" s="81">
        <v>0</v>
      </c>
      <c r="E194" s="81">
        <v>0</v>
      </c>
      <c r="F194" s="81">
        <v>0</v>
      </c>
      <c r="G194" s="81">
        <v>0</v>
      </c>
      <c r="H194" s="81">
        <v>0</v>
      </c>
    </row>
    <row r="195" spans="1:8" x14ac:dyDescent="0.25">
      <c r="A195" t="s">
        <v>235</v>
      </c>
      <c r="B195" s="81">
        <v>0</v>
      </c>
      <c r="C195" s="81">
        <v>0</v>
      </c>
      <c r="D195" s="81">
        <v>0</v>
      </c>
      <c r="E195" s="81">
        <v>0</v>
      </c>
      <c r="F195" s="81">
        <v>0</v>
      </c>
      <c r="G195" s="81">
        <v>0</v>
      </c>
      <c r="H195" s="81">
        <v>0</v>
      </c>
    </row>
    <row r="196" spans="1:8" x14ac:dyDescent="0.25">
      <c r="A196" t="s">
        <v>236</v>
      </c>
      <c r="B196" s="81">
        <v>0</v>
      </c>
      <c r="C196" s="81">
        <v>0</v>
      </c>
      <c r="D196" s="81">
        <v>0</v>
      </c>
      <c r="E196" s="81">
        <v>0</v>
      </c>
      <c r="F196" s="81">
        <v>0</v>
      </c>
      <c r="G196" s="81">
        <v>0</v>
      </c>
      <c r="H196" s="81">
        <v>0</v>
      </c>
    </row>
    <row r="197" spans="1:8" x14ac:dyDescent="0.25">
      <c r="A197" t="s">
        <v>237</v>
      </c>
      <c r="B197" s="81">
        <v>0</v>
      </c>
      <c r="C197" s="81">
        <v>0</v>
      </c>
      <c r="D197" s="81">
        <v>0</v>
      </c>
      <c r="E197" s="81">
        <v>0</v>
      </c>
      <c r="F197" s="81">
        <v>0</v>
      </c>
      <c r="G197" s="81">
        <v>0</v>
      </c>
      <c r="H197" s="81">
        <v>0</v>
      </c>
    </row>
    <row r="198" spans="1:8" x14ac:dyDescent="0.25">
      <c r="A198" t="s">
        <v>238</v>
      </c>
      <c r="B198" s="81">
        <v>0</v>
      </c>
      <c r="C198" s="81">
        <v>0</v>
      </c>
      <c r="D198" s="81">
        <v>0</v>
      </c>
      <c r="E198" s="81">
        <v>0</v>
      </c>
      <c r="F198" s="81">
        <v>0</v>
      </c>
      <c r="G198" s="81">
        <v>0</v>
      </c>
      <c r="H198" s="81">
        <v>0</v>
      </c>
    </row>
    <row r="199" spans="1:8" x14ac:dyDescent="0.25">
      <c r="A199" t="s">
        <v>239</v>
      </c>
      <c r="B199" s="81">
        <v>0</v>
      </c>
      <c r="C199" s="81">
        <v>0</v>
      </c>
      <c r="D199" s="81">
        <v>0</v>
      </c>
      <c r="E199" s="81">
        <v>0</v>
      </c>
      <c r="F199" s="81">
        <v>0</v>
      </c>
      <c r="G199" s="81">
        <v>0</v>
      </c>
      <c r="H199" s="81">
        <v>0</v>
      </c>
    </row>
    <row r="200" spans="1:8" x14ac:dyDescent="0.25">
      <c r="A200" t="s">
        <v>240</v>
      </c>
      <c r="B200" s="81">
        <v>0</v>
      </c>
      <c r="C200" s="81">
        <v>0</v>
      </c>
      <c r="D200" s="81">
        <v>0</v>
      </c>
      <c r="E200" s="81">
        <v>0</v>
      </c>
      <c r="F200" s="81">
        <v>0</v>
      </c>
      <c r="G200" s="81">
        <v>0</v>
      </c>
      <c r="H200" s="81">
        <v>0</v>
      </c>
    </row>
    <row r="201" spans="1:8" x14ac:dyDescent="0.25">
      <c r="A201" t="s">
        <v>241</v>
      </c>
      <c r="B201" s="81">
        <v>0</v>
      </c>
      <c r="C201" s="81">
        <v>0</v>
      </c>
      <c r="D201" s="81">
        <v>0</v>
      </c>
      <c r="E201" s="81">
        <v>0</v>
      </c>
      <c r="F201" s="81">
        <v>0</v>
      </c>
      <c r="G201" s="81">
        <v>0</v>
      </c>
      <c r="H201" s="81">
        <v>0</v>
      </c>
    </row>
    <row r="202" spans="1:8" x14ac:dyDescent="0.25">
      <c r="A202" t="s">
        <v>242</v>
      </c>
      <c r="B202" s="81">
        <v>0</v>
      </c>
      <c r="C202" s="81">
        <v>0</v>
      </c>
      <c r="D202" s="81">
        <v>0</v>
      </c>
      <c r="E202" s="81">
        <v>0</v>
      </c>
      <c r="F202" s="81">
        <v>0</v>
      </c>
      <c r="G202" s="81">
        <v>0</v>
      </c>
      <c r="H202" s="81">
        <v>0</v>
      </c>
    </row>
    <row r="203" spans="1:8" x14ac:dyDescent="0.25">
      <c r="A203" t="s">
        <v>243</v>
      </c>
      <c r="B203" s="81">
        <v>0</v>
      </c>
      <c r="C203" s="81">
        <v>0</v>
      </c>
      <c r="D203" s="81">
        <v>0</v>
      </c>
      <c r="E203" s="81">
        <v>0</v>
      </c>
      <c r="F203" s="81">
        <v>0</v>
      </c>
      <c r="G203" s="81">
        <v>0</v>
      </c>
      <c r="H203" s="81">
        <v>0</v>
      </c>
    </row>
    <row r="204" spans="1:8" x14ac:dyDescent="0.25">
      <c r="A204" t="s">
        <v>244</v>
      </c>
      <c r="B204" s="81">
        <v>0</v>
      </c>
      <c r="C204" s="81">
        <v>0</v>
      </c>
      <c r="D204" s="81">
        <v>0</v>
      </c>
      <c r="E204" s="81">
        <v>0</v>
      </c>
      <c r="F204" s="81">
        <v>0</v>
      </c>
      <c r="G204" s="81">
        <v>0</v>
      </c>
      <c r="H204" s="81">
        <v>0</v>
      </c>
    </row>
    <row r="205" spans="1:8" x14ac:dyDescent="0.25">
      <c r="A205" t="s">
        <v>245</v>
      </c>
      <c r="B205" s="81">
        <v>0</v>
      </c>
      <c r="C205" s="81">
        <v>0</v>
      </c>
      <c r="D205" s="81">
        <v>0</v>
      </c>
      <c r="E205" s="81">
        <v>0</v>
      </c>
      <c r="F205" s="81">
        <v>0</v>
      </c>
      <c r="G205" s="81">
        <v>0</v>
      </c>
      <c r="H205" s="81">
        <v>0</v>
      </c>
    </row>
    <row r="206" spans="1:8" x14ac:dyDescent="0.25">
      <c r="A206" t="s">
        <v>246</v>
      </c>
      <c r="B206" s="81">
        <v>0</v>
      </c>
      <c r="C206" s="81">
        <v>0</v>
      </c>
      <c r="D206" s="81">
        <v>0</v>
      </c>
      <c r="E206" s="81">
        <v>0</v>
      </c>
      <c r="F206" s="81">
        <v>0</v>
      </c>
      <c r="G206" s="81">
        <v>0</v>
      </c>
      <c r="H206" s="81">
        <v>0</v>
      </c>
    </row>
    <row r="207" spans="1:8" x14ac:dyDescent="0.25">
      <c r="A207" t="s">
        <v>247</v>
      </c>
      <c r="B207" s="81">
        <v>0</v>
      </c>
      <c r="C207" s="81">
        <v>0</v>
      </c>
      <c r="D207" s="81">
        <v>0</v>
      </c>
      <c r="E207" s="81">
        <v>0</v>
      </c>
      <c r="F207" s="81">
        <v>0</v>
      </c>
      <c r="G207" s="81">
        <v>0</v>
      </c>
      <c r="H207" s="81">
        <v>0</v>
      </c>
    </row>
    <row r="208" spans="1:8" x14ac:dyDescent="0.25">
      <c r="A208" t="s">
        <v>248</v>
      </c>
      <c r="B208" s="81">
        <v>0</v>
      </c>
      <c r="C208" s="81">
        <v>0</v>
      </c>
      <c r="D208" s="81">
        <v>0</v>
      </c>
      <c r="E208" s="81">
        <v>0</v>
      </c>
      <c r="F208" s="81">
        <v>0</v>
      </c>
      <c r="G208" s="81">
        <v>0</v>
      </c>
      <c r="H208" s="81">
        <v>0</v>
      </c>
    </row>
    <row r="209" spans="1:8" x14ac:dyDescent="0.25">
      <c r="A209" t="s">
        <v>249</v>
      </c>
      <c r="B209" s="81">
        <v>0</v>
      </c>
      <c r="C209" s="81">
        <v>0</v>
      </c>
      <c r="D209" s="81">
        <v>0</v>
      </c>
      <c r="E209" s="81">
        <v>0</v>
      </c>
      <c r="F209" s="81">
        <v>0</v>
      </c>
      <c r="G209" s="81">
        <v>0</v>
      </c>
      <c r="H209" s="81">
        <v>0</v>
      </c>
    </row>
    <row r="210" spans="1:8" x14ac:dyDescent="0.25">
      <c r="A210" t="s">
        <v>250</v>
      </c>
      <c r="B210" s="81">
        <v>0</v>
      </c>
      <c r="C210" s="81">
        <v>0</v>
      </c>
      <c r="D210" s="81">
        <v>0</v>
      </c>
      <c r="E210" s="81">
        <v>0</v>
      </c>
      <c r="F210" s="81">
        <v>0</v>
      </c>
      <c r="G210" s="81">
        <v>0</v>
      </c>
      <c r="H210" s="81">
        <v>0</v>
      </c>
    </row>
    <row r="211" spans="1:8" x14ac:dyDescent="0.25">
      <c r="A211" t="s">
        <v>251</v>
      </c>
      <c r="B211" s="81">
        <v>0</v>
      </c>
      <c r="C211" s="81">
        <v>0</v>
      </c>
      <c r="D211" s="81">
        <v>0</v>
      </c>
      <c r="E211" s="81">
        <v>0</v>
      </c>
      <c r="F211" s="81">
        <v>0</v>
      </c>
      <c r="G211" s="81">
        <v>0</v>
      </c>
      <c r="H211" s="81">
        <v>0</v>
      </c>
    </row>
    <row r="212" spans="1:8" x14ac:dyDescent="0.25">
      <c r="A212" t="s">
        <v>252</v>
      </c>
      <c r="B212" s="81">
        <v>0</v>
      </c>
      <c r="C212" s="81">
        <v>0</v>
      </c>
      <c r="D212" s="81">
        <v>0</v>
      </c>
      <c r="E212" s="81">
        <v>0</v>
      </c>
      <c r="F212" s="81">
        <v>0</v>
      </c>
      <c r="G212" s="81">
        <v>0</v>
      </c>
      <c r="H212" s="81">
        <v>0</v>
      </c>
    </row>
    <row r="213" spans="1:8" x14ac:dyDescent="0.25">
      <c r="A213" t="s">
        <v>448</v>
      </c>
      <c r="B213" s="81">
        <v>0</v>
      </c>
      <c r="C213" s="81">
        <v>0</v>
      </c>
      <c r="D213" s="81">
        <v>0</v>
      </c>
      <c r="E213" s="81">
        <v>0</v>
      </c>
      <c r="F213" s="81">
        <v>0</v>
      </c>
      <c r="G213" s="81">
        <v>0</v>
      </c>
      <c r="H213" s="81">
        <v>0</v>
      </c>
    </row>
    <row r="214" spans="1:8" x14ac:dyDescent="0.25">
      <c r="A214" t="s">
        <v>449</v>
      </c>
      <c r="B214" s="81">
        <v>0</v>
      </c>
      <c r="C214" s="81">
        <v>0</v>
      </c>
      <c r="D214" s="81">
        <v>0</v>
      </c>
      <c r="E214" s="81">
        <v>0</v>
      </c>
      <c r="F214" s="81">
        <v>0</v>
      </c>
      <c r="G214" s="81">
        <v>0</v>
      </c>
      <c r="H214" s="81">
        <v>0</v>
      </c>
    </row>
    <row r="215" spans="1:8" x14ac:dyDescent="0.25">
      <c r="A215" t="s">
        <v>450</v>
      </c>
      <c r="B215" s="81">
        <v>0</v>
      </c>
      <c r="C215" s="81">
        <v>0</v>
      </c>
      <c r="D215" s="81">
        <v>0</v>
      </c>
      <c r="E215" s="81">
        <v>0</v>
      </c>
      <c r="F215" s="81">
        <v>0</v>
      </c>
      <c r="G215" s="81">
        <v>0</v>
      </c>
      <c r="H215" s="81">
        <v>0</v>
      </c>
    </row>
    <row r="216" spans="1:8" x14ac:dyDescent="0.25">
      <c r="A216" t="s">
        <v>451</v>
      </c>
      <c r="B216" s="81">
        <v>0</v>
      </c>
      <c r="C216" s="81">
        <v>0</v>
      </c>
      <c r="D216" s="81">
        <v>0</v>
      </c>
      <c r="E216" s="81">
        <v>0</v>
      </c>
      <c r="F216" s="81">
        <v>0</v>
      </c>
      <c r="G216" s="81">
        <v>0</v>
      </c>
      <c r="H216" s="81">
        <v>0</v>
      </c>
    </row>
    <row r="217" spans="1:8" x14ac:dyDescent="0.25">
      <c r="A217" t="s">
        <v>253</v>
      </c>
      <c r="B217" s="81">
        <v>0</v>
      </c>
      <c r="C217" s="81">
        <v>0</v>
      </c>
      <c r="D217" s="81">
        <v>0</v>
      </c>
      <c r="E217" s="81">
        <v>0</v>
      </c>
      <c r="F217" s="81">
        <v>0</v>
      </c>
      <c r="G217" s="81">
        <v>0</v>
      </c>
      <c r="H217" s="81">
        <v>0</v>
      </c>
    </row>
    <row r="218" spans="1:8" x14ac:dyDescent="0.25">
      <c r="A218" t="s">
        <v>254</v>
      </c>
      <c r="B218" s="81">
        <v>0</v>
      </c>
      <c r="C218" s="81">
        <v>0</v>
      </c>
      <c r="D218" s="81">
        <v>0</v>
      </c>
      <c r="E218" s="81">
        <v>0</v>
      </c>
      <c r="F218" s="81">
        <v>0</v>
      </c>
      <c r="G218" s="81">
        <v>0</v>
      </c>
      <c r="H218" s="81">
        <v>0</v>
      </c>
    </row>
    <row r="219" spans="1:8" x14ac:dyDescent="0.25">
      <c r="A219" t="s">
        <v>255</v>
      </c>
      <c r="B219" s="81">
        <v>0</v>
      </c>
      <c r="C219" s="81">
        <v>0</v>
      </c>
      <c r="D219" s="81">
        <v>0</v>
      </c>
      <c r="E219" s="81">
        <v>0</v>
      </c>
      <c r="F219" s="81">
        <v>0</v>
      </c>
      <c r="G219" s="81">
        <v>0</v>
      </c>
      <c r="H219" s="81">
        <v>0</v>
      </c>
    </row>
    <row r="220" spans="1:8" x14ac:dyDescent="0.25">
      <c r="A220" t="s">
        <v>256</v>
      </c>
      <c r="B220" s="81">
        <v>0</v>
      </c>
      <c r="C220" s="81">
        <v>0</v>
      </c>
      <c r="D220" s="81">
        <v>0</v>
      </c>
      <c r="E220" s="81">
        <v>0</v>
      </c>
      <c r="F220" s="81">
        <v>0</v>
      </c>
      <c r="G220" s="81">
        <v>0</v>
      </c>
      <c r="H220" s="81">
        <v>0</v>
      </c>
    </row>
    <row r="221" spans="1:8" x14ac:dyDescent="0.25">
      <c r="A221" t="s">
        <v>476</v>
      </c>
      <c r="B221" s="81">
        <v>0</v>
      </c>
      <c r="C221" s="81">
        <v>0</v>
      </c>
      <c r="D221" s="81">
        <v>0</v>
      </c>
      <c r="E221" s="81">
        <v>0</v>
      </c>
      <c r="F221" s="81">
        <v>0</v>
      </c>
      <c r="G221" s="81">
        <v>0</v>
      </c>
      <c r="H221" s="81">
        <v>0</v>
      </c>
    </row>
    <row r="222" spans="1:8" x14ac:dyDescent="0.25">
      <c r="A222" t="s">
        <v>477</v>
      </c>
      <c r="B222" s="81">
        <v>0</v>
      </c>
      <c r="C222" s="81">
        <v>0</v>
      </c>
      <c r="D222" s="81">
        <v>0</v>
      </c>
      <c r="E222" s="81">
        <v>0</v>
      </c>
      <c r="F222" s="81">
        <v>0</v>
      </c>
      <c r="G222" s="81">
        <v>0</v>
      </c>
      <c r="H222" s="81">
        <v>0</v>
      </c>
    </row>
    <row r="223" spans="1:8" x14ac:dyDescent="0.25">
      <c r="A223" t="s">
        <v>478</v>
      </c>
      <c r="B223" s="81">
        <v>0</v>
      </c>
      <c r="C223" s="81">
        <v>0</v>
      </c>
      <c r="D223" s="81">
        <v>0</v>
      </c>
      <c r="E223" s="81">
        <v>0</v>
      </c>
      <c r="F223" s="81">
        <v>0</v>
      </c>
      <c r="G223" s="81">
        <v>0</v>
      </c>
      <c r="H223" s="81">
        <v>0</v>
      </c>
    </row>
    <row r="224" spans="1:8" x14ac:dyDescent="0.25">
      <c r="A224" t="s">
        <v>479</v>
      </c>
      <c r="B224" s="81">
        <v>0</v>
      </c>
      <c r="C224" s="81">
        <v>0</v>
      </c>
      <c r="D224" s="81">
        <v>0</v>
      </c>
      <c r="E224" s="81">
        <v>0</v>
      </c>
      <c r="F224" s="81">
        <v>0</v>
      </c>
      <c r="G224" s="81">
        <v>0</v>
      </c>
      <c r="H224" s="81">
        <v>0</v>
      </c>
    </row>
    <row r="225" spans="1:8" x14ac:dyDescent="0.25">
      <c r="A225" t="s">
        <v>257</v>
      </c>
      <c r="B225" s="81">
        <v>0</v>
      </c>
      <c r="C225" s="81">
        <v>0</v>
      </c>
      <c r="D225" s="81">
        <v>0</v>
      </c>
      <c r="E225" s="81">
        <v>0</v>
      </c>
      <c r="F225" s="81">
        <v>0</v>
      </c>
      <c r="G225" s="81">
        <v>0</v>
      </c>
      <c r="H225" s="81">
        <v>0</v>
      </c>
    </row>
    <row r="226" spans="1:8" x14ac:dyDescent="0.25">
      <c r="A226" t="s">
        <v>258</v>
      </c>
      <c r="B226" s="81">
        <v>0</v>
      </c>
      <c r="C226" s="81">
        <v>0</v>
      </c>
      <c r="D226" s="81">
        <v>0</v>
      </c>
      <c r="E226" s="81">
        <v>0</v>
      </c>
      <c r="F226" s="81">
        <v>0</v>
      </c>
      <c r="G226" s="81">
        <v>0</v>
      </c>
      <c r="H226" s="81">
        <v>0</v>
      </c>
    </row>
    <row r="227" spans="1:8" x14ac:dyDescent="0.25">
      <c r="A227" t="s">
        <v>259</v>
      </c>
      <c r="B227" s="81">
        <v>0</v>
      </c>
      <c r="C227" s="81">
        <v>0</v>
      </c>
      <c r="D227" s="81">
        <v>0</v>
      </c>
      <c r="E227" s="81">
        <v>0</v>
      </c>
      <c r="F227" s="81">
        <v>0</v>
      </c>
      <c r="G227" s="81">
        <v>0</v>
      </c>
      <c r="H227" s="81">
        <v>0</v>
      </c>
    </row>
    <row r="228" spans="1:8" x14ac:dyDescent="0.25">
      <c r="A228" t="s">
        <v>260</v>
      </c>
      <c r="B228" s="81">
        <v>0</v>
      </c>
      <c r="C228" s="81">
        <v>0</v>
      </c>
      <c r="D228" s="81">
        <v>0</v>
      </c>
      <c r="E228" s="81">
        <v>0</v>
      </c>
      <c r="F228" s="81">
        <v>0</v>
      </c>
      <c r="G228" s="81">
        <v>0</v>
      </c>
      <c r="H228" s="81">
        <v>0</v>
      </c>
    </row>
    <row r="229" spans="1:8" x14ac:dyDescent="0.25">
      <c r="A229" t="s">
        <v>480</v>
      </c>
      <c r="B229" s="81">
        <v>0</v>
      </c>
      <c r="C229" s="81">
        <v>0</v>
      </c>
      <c r="D229" s="81">
        <v>0</v>
      </c>
      <c r="E229" s="81">
        <v>0</v>
      </c>
      <c r="F229" s="81">
        <v>0</v>
      </c>
      <c r="G229" s="81">
        <v>0</v>
      </c>
      <c r="H229" s="81">
        <v>0</v>
      </c>
    </row>
    <row r="230" spans="1:8" x14ac:dyDescent="0.25">
      <c r="A230" t="s">
        <v>481</v>
      </c>
      <c r="B230" s="81">
        <v>0</v>
      </c>
      <c r="C230" s="81">
        <v>0</v>
      </c>
      <c r="D230" s="81">
        <v>0</v>
      </c>
      <c r="E230" s="81">
        <v>0</v>
      </c>
      <c r="F230" s="81">
        <v>0</v>
      </c>
      <c r="G230" s="81">
        <v>0</v>
      </c>
      <c r="H230" s="81">
        <v>0</v>
      </c>
    </row>
    <row r="231" spans="1:8" x14ac:dyDescent="0.25">
      <c r="A231" t="s">
        <v>482</v>
      </c>
      <c r="B231" s="81">
        <v>0</v>
      </c>
      <c r="C231" s="81">
        <v>0</v>
      </c>
      <c r="D231" s="81">
        <v>0</v>
      </c>
      <c r="E231" s="81">
        <v>0</v>
      </c>
      <c r="F231" s="81">
        <v>0</v>
      </c>
      <c r="G231" s="81">
        <v>0</v>
      </c>
      <c r="H231" s="81">
        <v>0</v>
      </c>
    </row>
    <row r="232" spans="1:8" x14ac:dyDescent="0.25">
      <c r="A232" t="s">
        <v>483</v>
      </c>
      <c r="B232" s="81">
        <v>0</v>
      </c>
      <c r="C232" s="81">
        <v>0</v>
      </c>
      <c r="D232" s="81">
        <v>0</v>
      </c>
      <c r="E232" s="81">
        <v>0</v>
      </c>
      <c r="F232" s="81">
        <v>0</v>
      </c>
      <c r="G232" s="81">
        <v>0</v>
      </c>
      <c r="H232" s="81">
        <v>0</v>
      </c>
    </row>
    <row r="233" spans="1:8" x14ac:dyDescent="0.25">
      <c r="A233" t="s">
        <v>468</v>
      </c>
      <c r="B233" s="81">
        <v>0</v>
      </c>
      <c r="C233" s="81">
        <v>0</v>
      </c>
      <c r="D233" s="81">
        <v>0</v>
      </c>
      <c r="E233" s="81">
        <v>0</v>
      </c>
      <c r="F233" s="81">
        <v>0</v>
      </c>
      <c r="G233" s="81">
        <v>0</v>
      </c>
      <c r="H233" s="81">
        <v>0</v>
      </c>
    </row>
    <row r="234" spans="1:8" x14ac:dyDescent="0.25">
      <c r="A234" t="s">
        <v>469</v>
      </c>
      <c r="B234" s="81">
        <v>0</v>
      </c>
      <c r="C234" s="81">
        <v>0</v>
      </c>
      <c r="D234" s="81">
        <v>0</v>
      </c>
      <c r="E234" s="81">
        <v>0</v>
      </c>
      <c r="F234" s="81">
        <v>0</v>
      </c>
      <c r="G234" s="81">
        <v>0</v>
      </c>
      <c r="H234" s="81">
        <v>0</v>
      </c>
    </row>
    <row r="235" spans="1:8" x14ac:dyDescent="0.25">
      <c r="A235" t="s">
        <v>470</v>
      </c>
      <c r="B235" s="81">
        <v>0</v>
      </c>
      <c r="C235" s="81">
        <v>0</v>
      </c>
      <c r="D235" s="81">
        <v>0</v>
      </c>
      <c r="E235" s="81">
        <v>0</v>
      </c>
      <c r="F235" s="81">
        <v>0</v>
      </c>
      <c r="G235" s="81">
        <v>0</v>
      </c>
      <c r="H235" s="81">
        <v>0</v>
      </c>
    </row>
    <row r="236" spans="1:8" x14ac:dyDescent="0.25">
      <c r="A236" t="s">
        <v>471</v>
      </c>
      <c r="B236" s="81">
        <v>0</v>
      </c>
      <c r="C236" s="81">
        <v>0</v>
      </c>
      <c r="D236" s="81">
        <v>0</v>
      </c>
      <c r="E236" s="81">
        <v>0</v>
      </c>
      <c r="F236" s="81">
        <v>0</v>
      </c>
      <c r="G236" s="81">
        <v>0</v>
      </c>
      <c r="H236" s="81">
        <v>0</v>
      </c>
    </row>
    <row r="237" spans="1:8" x14ac:dyDescent="0.25">
      <c r="A237" t="s">
        <v>488</v>
      </c>
      <c r="B237" s="81">
        <v>0</v>
      </c>
      <c r="C237" s="81">
        <v>0</v>
      </c>
      <c r="D237" s="81">
        <v>0</v>
      </c>
      <c r="E237" s="81">
        <v>0</v>
      </c>
      <c r="F237" s="81">
        <v>0</v>
      </c>
      <c r="G237" s="81">
        <v>0</v>
      </c>
      <c r="H237" s="81">
        <v>0</v>
      </c>
    </row>
    <row r="238" spans="1:8" x14ac:dyDescent="0.25">
      <c r="A238" t="s">
        <v>489</v>
      </c>
      <c r="B238" s="81">
        <v>0</v>
      </c>
      <c r="C238" s="81">
        <v>0</v>
      </c>
      <c r="D238" s="81">
        <v>0</v>
      </c>
      <c r="E238" s="81">
        <v>0</v>
      </c>
      <c r="F238" s="81">
        <v>0</v>
      </c>
      <c r="G238" s="81">
        <v>0</v>
      </c>
      <c r="H238" s="81">
        <v>0</v>
      </c>
    </row>
    <row r="239" spans="1:8" x14ac:dyDescent="0.25">
      <c r="A239" t="s">
        <v>490</v>
      </c>
      <c r="B239" s="81">
        <v>0</v>
      </c>
      <c r="C239" s="81">
        <v>0</v>
      </c>
      <c r="D239" s="81">
        <v>0</v>
      </c>
      <c r="E239" s="81">
        <v>0</v>
      </c>
      <c r="F239" s="81">
        <v>0</v>
      </c>
      <c r="G239" s="81">
        <v>0</v>
      </c>
      <c r="H239" s="81">
        <v>0</v>
      </c>
    </row>
    <row r="240" spans="1:8" x14ac:dyDescent="0.25">
      <c r="A240" t="s">
        <v>491</v>
      </c>
      <c r="B240" s="81">
        <v>0</v>
      </c>
      <c r="C240" s="81">
        <v>0</v>
      </c>
      <c r="D240" s="81">
        <v>0</v>
      </c>
      <c r="E240" s="81">
        <v>0</v>
      </c>
      <c r="F240" s="81">
        <v>0</v>
      </c>
      <c r="G240" s="81">
        <v>0</v>
      </c>
      <c r="H240" s="81">
        <v>0</v>
      </c>
    </row>
    <row r="241" spans="1:8" x14ac:dyDescent="0.25">
      <c r="A241" t="s">
        <v>261</v>
      </c>
      <c r="B241" s="81">
        <v>0</v>
      </c>
      <c r="C241" s="81">
        <v>0</v>
      </c>
      <c r="D241" s="81">
        <v>0</v>
      </c>
      <c r="E241" s="81">
        <v>0</v>
      </c>
      <c r="F241" s="81">
        <v>0</v>
      </c>
      <c r="G241" s="81">
        <v>0</v>
      </c>
      <c r="H241" s="81">
        <v>0</v>
      </c>
    </row>
    <row r="242" spans="1:8" x14ac:dyDescent="0.25">
      <c r="A242" t="s">
        <v>262</v>
      </c>
      <c r="B242" s="81">
        <v>0</v>
      </c>
      <c r="C242" s="81">
        <v>0</v>
      </c>
      <c r="D242" s="81">
        <v>0</v>
      </c>
      <c r="E242" s="81">
        <v>0</v>
      </c>
      <c r="F242" s="81">
        <v>0</v>
      </c>
      <c r="G242" s="81">
        <v>0</v>
      </c>
      <c r="H242" s="81">
        <v>0</v>
      </c>
    </row>
    <row r="243" spans="1:8" x14ac:dyDescent="0.25">
      <c r="A243" t="s">
        <v>263</v>
      </c>
      <c r="B243" s="81">
        <v>0</v>
      </c>
      <c r="C243" s="81">
        <v>0</v>
      </c>
      <c r="D243" s="81">
        <v>0</v>
      </c>
      <c r="E243" s="81">
        <v>0</v>
      </c>
      <c r="F243" s="81">
        <v>0</v>
      </c>
      <c r="G243" s="81">
        <v>0</v>
      </c>
      <c r="H243" s="81">
        <v>0</v>
      </c>
    </row>
    <row r="244" spans="1:8" x14ac:dyDescent="0.25">
      <c r="A244" t="s">
        <v>264</v>
      </c>
      <c r="B244" s="81">
        <v>0</v>
      </c>
      <c r="C244" s="81">
        <v>0</v>
      </c>
      <c r="D244" s="81">
        <v>0</v>
      </c>
      <c r="E244" s="81">
        <v>0</v>
      </c>
      <c r="F244" s="81">
        <v>0</v>
      </c>
      <c r="G244" s="81">
        <v>0</v>
      </c>
      <c r="H244" s="81">
        <v>0</v>
      </c>
    </row>
    <row r="245" spans="1:8" x14ac:dyDescent="0.25">
      <c r="A245" t="s">
        <v>265</v>
      </c>
      <c r="B245" s="81">
        <v>0</v>
      </c>
      <c r="C245" s="81">
        <v>0</v>
      </c>
      <c r="D245" s="81">
        <v>0</v>
      </c>
      <c r="E245" s="81">
        <v>0</v>
      </c>
      <c r="F245" s="81">
        <v>0</v>
      </c>
      <c r="G245" s="81">
        <v>0</v>
      </c>
      <c r="H245" s="81">
        <v>0</v>
      </c>
    </row>
    <row r="246" spans="1:8" x14ac:dyDescent="0.25">
      <c r="A246" t="s">
        <v>266</v>
      </c>
      <c r="B246" s="81">
        <v>0</v>
      </c>
      <c r="C246" s="81">
        <v>0</v>
      </c>
      <c r="D246" s="81">
        <v>0</v>
      </c>
      <c r="E246" s="81">
        <v>0</v>
      </c>
      <c r="F246" s="81">
        <v>0</v>
      </c>
      <c r="G246" s="81">
        <v>0</v>
      </c>
      <c r="H246" s="81">
        <v>0</v>
      </c>
    </row>
    <row r="247" spans="1:8" x14ac:dyDescent="0.25">
      <c r="A247" t="s">
        <v>267</v>
      </c>
      <c r="B247" s="81">
        <v>0</v>
      </c>
      <c r="C247" s="81">
        <v>0</v>
      </c>
      <c r="D247" s="81">
        <v>0</v>
      </c>
      <c r="E247" s="81">
        <v>0</v>
      </c>
      <c r="F247" s="81">
        <v>0</v>
      </c>
      <c r="G247" s="81">
        <v>0</v>
      </c>
      <c r="H247" s="81">
        <v>0</v>
      </c>
    </row>
    <row r="248" spans="1:8" x14ac:dyDescent="0.25">
      <c r="A248" t="s">
        <v>268</v>
      </c>
      <c r="B248" s="81">
        <v>0</v>
      </c>
      <c r="C248" s="81">
        <v>0</v>
      </c>
      <c r="D248" s="81">
        <v>0</v>
      </c>
      <c r="E248" s="81">
        <v>0</v>
      </c>
      <c r="F248" s="81">
        <v>0</v>
      </c>
      <c r="G248" s="81">
        <v>0</v>
      </c>
      <c r="H248" s="81">
        <v>0</v>
      </c>
    </row>
    <row r="249" spans="1:8" x14ac:dyDescent="0.25">
      <c r="A249" t="s">
        <v>269</v>
      </c>
      <c r="B249" s="81">
        <v>0</v>
      </c>
      <c r="C249" s="81">
        <v>0</v>
      </c>
      <c r="D249" s="81">
        <v>0</v>
      </c>
      <c r="E249" s="81">
        <v>0</v>
      </c>
      <c r="F249" s="81">
        <v>0</v>
      </c>
      <c r="G249" s="81">
        <v>0</v>
      </c>
      <c r="H249" s="81">
        <v>0</v>
      </c>
    </row>
    <row r="250" spans="1:8" x14ac:dyDescent="0.25">
      <c r="A250" t="s">
        <v>270</v>
      </c>
      <c r="B250" s="81">
        <v>0</v>
      </c>
      <c r="C250" s="81">
        <v>0</v>
      </c>
      <c r="D250" s="81">
        <v>0</v>
      </c>
      <c r="E250" s="81">
        <v>0</v>
      </c>
      <c r="F250" s="81">
        <v>0</v>
      </c>
      <c r="G250" s="81">
        <v>0</v>
      </c>
      <c r="H250" s="81">
        <v>0</v>
      </c>
    </row>
    <row r="251" spans="1:8" x14ac:dyDescent="0.25">
      <c r="A251" t="s">
        <v>271</v>
      </c>
      <c r="B251" s="81">
        <v>0</v>
      </c>
      <c r="C251" s="81">
        <v>0</v>
      </c>
      <c r="D251" s="81">
        <v>0</v>
      </c>
      <c r="E251" s="81">
        <v>0</v>
      </c>
      <c r="F251" s="81">
        <v>0</v>
      </c>
      <c r="G251" s="81">
        <v>0</v>
      </c>
      <c r="H251" s="81">
        <v>0</v>
      </c>
    </row>
    <row r="252" spans="1:8" x14ac:dyDescent="0.25">
      <c r="A252" t="s">
        <v>272</v>
      </c>
      <c r="B252" s="81">
        <v>0</v>
      </c>
      <c r="C252" s="81">
        <v>0</v>
      </c>
      <c r="D252" s="81">
        <v>0</v>
      </c>
      <c r="E252" s="81">
        <v>0</v>
      </c>
      <c r="F252" s="81">
        <v>0</v>
      </c>
      <c r="G252" s="81">
        <v>0</v>
      </c>
      <c r="H252" s="81">
        <v>0</v>
      </c>
    </row>
    <row r="253" spans="1:8" x14ac:dyDescent="0.25">
      <c r="A253" t="s">
        <v>273</v>
      </c>
      <c r="B253" s="81">
        <v>0</v>
      </c>
      <c r="C253" s="81">
        <v>0</v>
      </c>
      <c r="D253" s="81">
        <v>0</v>
      </c>
      <c r="E253" s="81">
        <v>0</v>
      </c>
      <c r="F253" s="81">
        <v>0</v>
      </c>
      <c r="G253" s="81">
        <v>0</v>
      </c>
      <c r="H253" s="81">
        <v>0</v>
      </c>
    </row>
    <row r="254" spans="1:8" x14ac:dyDescent="0.25">
      <c r="A254" t="s">
        <v>274</v>
      </c>
      <c r="B254" s="81">
        <v>0</v>
      </c>
      <c r="C254" s="81">
        <v>0</v>
      </c>
      <c r="D254" s="81">
        <v>0</v>
      </c>
      <c r="E254" s="81">
        <v>0</v>
      </c>
      <c r="F254" s="81">
        <v>0</v>
      </c>
      <c r="G254" s="81">
        <v>0</v>
      </c>
      <c r="H254" s="81">
        <v>0</v>
      </c>
    </row>
    <row r="255" spans="1:8" x14ac:dyDescent="0.25">
      <c r="A255" t="s">
        <v>275</v>
      </c>
      <c r="B255" s="81">
        <v>0</v>
      </c>
      <c r="C255" s="81">
        <v>0</v>
      </c>
      <c r="D255" s="81">
        <v>0</v>
      </c>
      <c r="E255" s="81">
        <v>0</v>
      </c>
      <c r="F255" s="81">
        <v>0</v>
      </c>
      <c r="G255" s="81">
        <v>0</v>
      </c>
      <c r="H255" s="81">
        <v>0</v>
      </c>
    </row>
    <row r="256" spans="1:8" x14ac:dyDescent="0.25">
      <c r="A256" t="s">
        <v>276</v>
      </c>
      <c r="B256" s="81">
        <v>0</v>
      </c>
      <c r="C256" s="81">
        <v>0</v>
      </c>
      <c r="D256" s="81">
        <v>0</v>
      </c>
      <c r="E256" s="81">
        <v>0</v>
      </c>
      <c r="F256" s="81">
        <v>0</v>
      </c>
      <c r="G256" s="81">
        <v>0</v>
      </c>
      <c r="H256" s="81">
        <v>0</v>
      </c>
    </row>
    <row r="257" spans="1:8" x14ac:dyDescent="0.25">
      <c r="A257" t="s">
        <v>277</v>
      </c>
      <c r="B257" s="81">
        <v>0</v>
      </c>
      <c r="C257" s="81">
        <v>0</v>
      </c>
      <c r="D257" s="81">
        <v>0</v>
      </c>
      <c r="E257" s="81">
        <v>0</v>
      </c>
      <c r="F257" s="81">
        <v>0</v>
      </c>
      <c r="G257" s="81">
        <v>0</v>
      </c>
      <c r="H257" s="81">
        <v>0</v>
      </c>
    </row>
    <row r="258" spans="1:8" x14ac:dyDescent="0.25">
      <c r="A258" t="s">
        <v>278</v>
      </c>
      <c r="B258" s="81">
        <v>0</v>
      </c>
      <c r="C258" s="81">
        <v>0</v>
      </c>
      <c r="D258" s="81">
        <v>0</v>
      </c>
      <c r="E258" s="81">
        <v>0</v>
      </c>
      <c r="F258" s="81">
        <v>0</v>
      </c>
      <c r="G258" s="81">
        <v>0</v>
      </c>
      <c r="H258" s="81">
        <v>0</v>
      </c>
    </row>
    <row r="259" spans="1:8" x14ac:dyDescent="0.25">
      <c r="A259" t="s">
        <v>279</v>
      </c>
      <c r="B259" s="81">
        <v>0</v>
      </c>
      <c r="C259" s="81">
        <v>0</v>
      </c>
      <c r="D259" s="81">
        <v>0</v>
      </c>
      <c r="E259" s="81">
        <v>0</v>
      </c>
      <c r="F259" s="81">
        <v>0</v>
      </c>
      <c r="G259" s="81">
        <v>0</v>
      </c>
      <c r="H259" s="81">
        <v>0</v>
      </c>
    </row>
    <row r="260" spans="1:8" x14ac:dyDescent="0.25">
      <c r="A260" t="s">
        <v>280</v>
      </c>
      <c r="B260" s="81">
        <v>0</v>
      </c>
      <c r="C260" s="81">
        <v>0</v>
      </c>
      <c r="D260" s="81">
        <v>0</v>
      </c>
      <c r="E260" s="81">
        <v>0</v>
      </c>
      <c r="F260" s="81">
        <v>0</v>
      </c>
      <c r="G260" s="81">
        <v>0</v>
      </c>
      <c r="H260" s="81">
        <v>0</v>
      </c>
    </row>
    <row r="261" spans="1:8" x14ac:dyDescent="0.25">
      <c r="A261" t="s">
        <v>281</v>
      </c>
      <c r="B261" s="81">
        <v>0</v>
      </c>
      <c r="C261" s="81">
        <v>0</v>
      </c>
      <c r="D261" s="81">
        <v>0</v>
      </c>
      <c r="E261" s="81">
        <v>0</v>
      </c>
      <c r="F261" s="81">
        <v>0</v>
      </c>
      <c r="G261" s="81">
        <v>0</v>
      </c>
      <c r="H261" s="81">
        <v>0</v>
      </c>
    </row>
    <row r="262" spans="1:8" x14ac:dyDescent="0.25">
      <c r="A262" t="s">
        <v>282</v>
      </c>
      <c r="B262" s="81">
        <v>0</v>
      </c>
      <c r="C262" s="81">
        <v>0</v>
      </c>
      <c r="D262" s="81">
        <v>0</v>
      </c>
      <c r="E262" s="81">
        <v>0</v>
      </c>
      <c r="F262" s="81">
        <v>0</v>
      </c>
      <c r="G262" s="81">
        <v>0</v>
      </c>
      <c r="H262" s="81">
        <v>0</v>
      </c>
    </row>
    <row r="263" spans="1:8" x14ac:dyDescent="0.25">
      <c r="A263" t="s">
        <v>283</v>
      </c>
      <c r="B263" s="81">
        <v>0</v>
      </c>
      <c r="C263" s="81">
        <v>0</v>
      </c>
      <c r="D263" s="81">
        <v>0</v>
      </c>
      <c r="E263" s="81">
        <v>0</v>
      </c>
      <c r="F263" s="81">
        <v>0</v>
      </c>
      <c r="G263" s="81">
        <v>0</v>
      </c>
      <c r="H263" s="81">
        <v>0</v>
      </c>
    </row>
    <row r="264" spans="1:8" x14ac:dyDescent="0.25">
      <c r="A264" t="s">
        <v>284</v>
      </c>
      <c r="B264" s="81">
        <v>0</v>
      </c>
      <c r="C264" s="81">
        <v>0</v>
      </c>
      <c r="D264" s="81">
        <v>0</v>
      </c>
      <c r="E264" s="81">
        <v>0</v>
      </c>
      <c r="F264" s="81">
        <v>0</v>
      </c>
      <c r="G264" s="81">
        <v>0</v>
      </c>
      <c r="H264" s="81">
        <v>0</v>
      </c>
    </row>
    <row r="265" spans="1:8" x14ac:dyDescent="0.25">
      <c r="A265" t="s">
        <v>285</v>
      </c>
      <c r="B265" s="81">
        <v>0</v>
      </c>
      <c r="C265" s="81">
        <v>0</v>
      </c>
      <c r="D265" s="81">
        <v>0</v>
      </c>
      <c r="E265" s="81">
        <v>0</v>
      </c>
      <c r="F265" s="81">
        <v>0</v>
      </c>
      <c r="G265" s="81">
        <v>0</v>
      </c>
      <c r="H265" s="81">
        <v>0</v>
      </c>
    </row>
    <row r="266" spans="1:8" x14ac:dyDescent="0.25">
      <c r="A266" t="s">
        <v>286</v>
      </c>
      <c r="B266" s="81">
        <v>0</v>
      </c>
      <c r="C266" s="81">
        <v>0</v>
      </c>
      <c r="D266" s="81">
        <v>0</v>
      </c>
      <c r="E266" s="81">
        <v>0</v>
      </c>
      <c r="F266" s="81">
        <v>0</v>
      </c>
      <c r="G266" s="81">
        <v>0</v>
      </c>
      <c r="H266" s="81">
        <v>0</v>
      </c>
    </row>
    <row r="267" spans="1:8" x14ac:dyDescent="0.25">
      <c r="A267" t="s">
        <v>287</v>
      </c>
      <c r="B267" s="81">
        <v>0</v>
      </c>
      <c r="C267" s="81">
        <v>0</v>
      </c>
      <c r="D267" s="81">
        <v>0</v>
      </c>
      <c r="E267" s="81">
        <v>0</v>
      </c>
      <c r="F267" s="81">
        <v>0</v>
      </c>
      <c r="G267" s="81">
        <v>0</v>
      </c>
      <c r="H267" s="81">
        <v>0</v>
      </c>
    </row>
    <row r="268" spans="1:8" x14ac:dyDescent="0.25">
      <c r="A268" t="s">
        <v>288</v>
      </c>
      <c r="B268" s="81">
        <v>0</v>
      </c>
      <c r="C268" s="81">
        <v>0</v>
      </c>
      <c r="D268" s="81">
        <v>0</v>
      </c>
      <c r="E268" s="81">
        <v>0</v>
      </c>
      <c r="F268" s="81">
        <v>0</v>
      </c>
      <c r="G268" s="81">
        <v>0</v>
      </c>
      <c r="H268" s="81">
        <v>0</v>
      </c>
    </row>
    <row r="269" spans="1:8" x14ac:dyDescent="0.25">
      <c r="A269" t="s">
        <v>289</v>
      </c>
      <c r="B269" s="81">
        <v>0</v>
      </c>
      <c r="C269" s="81">
        <v>0</v>
      </c>
      <c r="D269" s="81">
        <v>0</v>
      </c>
      <c r="E269" s="81">
        <v>0</v>
      </c>
      <c r="F269" s="81">
        <v>0</v>
      </c>
      <c r="G269" s="81">
        <v>0</v>
      </c>
      <c r="H269" s="81">
        <v>0</v>
      </c>
    </row>
    <row r="270" spans="1:8" x14ac:dyDescent="0.25">
      <c r="A270" t="s">
        <v>290</v>
      </c>
      <c r="B270" s="81">
        <v>0</v>
      </c>
      <c r="C270" s="81">
        <v>0</v>
      </c>
      <c r="D270" s="81">
        <v>0</v>
      </c>
      <c r="E270" s="81">
        <v>0</v>
      </c>
      <c r="F270" s="81">
        <v>0</v>
      </c>
      <c r="G270" s="81">
        <v>0</v>
      </c>
      <c r="H270" s="81">
        <v>0</v>
      </c>
    </row>
    <row r="271" spans="1:8" x14ac:dyDescent="0.25">
      <c r="A271" t="s">
        <v>291</v>
      </c>
      <c r="B271" s="81">
        <v>0</v>
      </c>
      <c r="C271" s="81">
        <v>0</v>
      </c>
      <c r="D271" s="81">
        <v>0</v>
      </c>
      <c r="E271" s="81">
        <v>0</v>
      </c>
      <c r="F271" s="81">
        <v>0</v>
      </c>
      <c r="G271" s="81">
        <v>0</v>
      </c>
      <c r="H271" s="81">
        <v>0</v>
      </c>
    </row>
    <row r="272" spans="1:8" x14ac:dyDescent="0.25">
      <c r="A272" t="s">
        <v>292</v>
      </c>
      <c r="B272" s="81">
        <v>0</v>
      </c>
      <c r="C272" s="81">
        <v>0</v>
      </c>
      <c r="D272" s="81">
        <v>0</v>
      </c>
      <c r="E272" s="81">
        <v>0</v>
      </c>
      <c r="F272" s="81">
        <v>0</v>
      </c>
      <c r="G272" s="81">
        <v>0</v>
      </c>
      <c r="H272" s="81">
        <v>0</v>
      </c>
    </row>
    <row r="273" spans="1:8" x14ac:dyDescent="0.25">
      <c r="A273" t="s">
        <v>293</v>
      </c>
      <c r="B273" s="81">
        <v>0</v>
      </c>
      <c r="C273" s="81">
        <v>0</v>
      </c>
      <c r="D273" s="81">
        <v>0</v>
      </c>
      <c r="E273" s="81">
        <v>0</v>
      </c>
      <c r="F273" s="81">
        <v>0</v>
      </c>
      <c r="G273" s="81">
        <v>0</v>
      </c>
      <c r="H273" s="81">
        <v>0</v>
      </c>
    </row>
    <row r="274" spans="1:8" x14ac:dyDescent="0.25">
      <c r="A274" t="s">
        <v>294</v>
      </c>
      <c r="B274" s="81">
        <v>0</v>
      </c>
      <c r="C274" s="81">
        <v>0</v>
      </c>
      <c r="D274" s="81">
        <v>0</v>
      </c>
      <c r="E274" s="81">
        <v>0</v>
      </c>
      <c r="F274" s="81">
        <v>0</v>
      </c>
      <c r="G274" s="81">
        <v>0</v>
      </c>
      <c r="H274" s="81">
        <v>0</v>
      </c>
    </row>
    <row r="275" spans="1:8" x14ac:dyDescent="0.25">
      <c r="A275" t="s">
        <v>295</v>
      </c>
      <c r="B275" s="81">
        <v>0</v>
      </c>
      <c r="C275" s="81">
        <v>0</v>
      </c>
      <c r="D275" s="81">
        <v>0</v>
      </c>
      <c r="E275" s="81">
        <v>0</v>
      </c>
      <c r="F275" s="81">
        <v>0</v>
      </c>
      <c r="G275" s="81">
        <v>0</v>
      </c>
      <c r="H275" s="81">
        <v>0</v>
      </c>
    </row>
    <row r="276" spans="1:8" x14ac:dyDescent="0.25">
      <c r="A276" t="s">
        <v>296</v>
      </c>
      <c r="B276" s="81">
        <v>0</v>
      </c>
      <c r="C276" s="81">
        <v>0</v>
      </c>
      <c r="D276" s="81">
        <v>0</v>
      </c>
      <c r="E276" s="81">
        <v>0</v>
      </c>
      <c r="F276" s="81">
        <v>0</v>
      </c>
      <c r="G276" s="81">
        <v>0</v>
      </c>
      <c r="H276" s="81">
        <v>0</v>
      </c>
    </row>
    <row r="277" spans="1:8" x14ac:dyDescent="0.25">
      <c r="A277" t="s">
        <v>297</v>
      </c>
      <c r="B277" s="81">
        <v>0</v>
      </c>
      <c r="C277" s="81">
        <v>0</v>
      </c>
      <c r="D277" s="81">
        <v>0</v>
      </c>
      <c r="E277" s="81">
        <v>0</v>
      </c>
      <c r="F277" s="81">
        <v>0</v>
      </c>
      <c r="G277" s="81">
        <v>0</v>
      </c>
      <c r="H277" s="81">
        <v>0</v>
      </c>
    </row>
    <row r="278" spans="1:8" x14ac:dyDescent="0.25">
      <c r="A278" t="s">
        <v>298</v>
      </c>
      <c r="B278" s="81">
        <v>0</v>
      </c>
      <c r="C278" s="81">
        <v>0</v>
      </c>
      <c r="D278" s="81">
        <v>0</v>
      </c>
      <c r="E278" s="81">
        <v>0</v>
      </c>
      <c r="F278" s="81">
        <v>0</v>
      </c>
      <c r="G278" s="81">
        <v>0</v>
      </c>
      <c r="H278" s="81">
        <v>0</v>
      </c>
    </row>
    <row r="279" spans="1:8" x14ac:dyDescent="0.25">
      <c r="A279" t="s">
        <v>299</v>
      </c>
      <c r="B279" s="81">
        <v>0</v>
      </c>
      <c r="C279" s="81">
        <v>0</v>
      </c>
      <c r="D279" s="81">
        <v>0</v>
      </c>
      <c r="E279" s="81">
        <v>0</v>
      </c>
      <c r="F279" s="81">
        <v>0</v>
      </c>
      <c r="G279" s="81">
        <v>0</v>
      </c>
      <c r="H279" s="81">
        <v>0</v>
      </c>
    </row>
    <row r="280" spans="1:8" x14ac:dyDescent="0.25">
      <c r="A280" t="s">
        <v>300</v>
      </c>
      <c r="B280" s="81">
        <v>0</v>
      </c>
      <c r="C280" s="81">
        <v>0</v>
      </c>
      <c r="D280" s="81">
        <v>0</v>
      </c>
      <c r="E280" s="81">
        <v>0</v>
      </c>
      <c r="F280" s="81">
        <v>0</v>
      </c>
      <c r="G280" s="81">
        <v>0</v>
      </c>
      <c r="H280" s="81">
        <v>0</v>
      </c>
    </row>
    <row r="281" spans="1:8" x14ac:dyDescent="0.25">
      <c r="A281" t="s">
        <v>301</v>
      </c>
      <c r="B281" s="81">
        <v>0</v>
      </c>
      <c r="C281" s="81">
        <v>0</v>
      </c>
      <c r="D281" s="81">
        <v>0</v>
      </c>
      <c r="E281" s="81">
        <v>0</v>
      </c>
      <c r="F281" s="81">
        <v>0</v>
      </c>
      <c r="G281" s="81">
        <v>0</v>
      </c>
      <c r="H281" s="81">
        <v>0</v>
      </c>
    </row>
    <row r="282" spans="1:8" x14ac:dyDescent="0.25">
      <c r="A282" t="s">
        <v>302</v>
      </c>
      <c r="B282" s="81">
        <v>0</v>
      </c>
      <c r="C282" s="81">
        <v>0</v>
      </c>
      <c r="D282" s="81">
        <v>0</v>
      </c>
      <c r="E282" s="81">
        <v>0</v>
      </c>
      <c r="F282" s="81">
        <v>0</v>
      </c>
      <c r="G282" s="81">
        <v>0</v>
      </c>
      <c r="H282" s="81">
        <v>0</v>
      </c>
    </row>
    <row r="283" spans="1:8" x14ac:dyDescent="0.25">
      <c r="A283" t="s">
        <v>303</v>
      </c>
      <c r="B283" s="81">
        <v>0</v>
      </c>
      <c r="C283" s="81">
        <v>0</v>
      </c>
      <c r="D283" s="81">
        <v>0</v>
      </c>
      <c r="E283" s="81">
        <v>0</v>
      </c>
      <c r="F283" s="81">
        <v>0</v>
      </c>
      <c r="G283" s="81">
        <v>0</v>
      </c>
      <c r="H283" s="81">
        <v>0</v>
      </c>
    </row>
    <row r="284" spans="1:8" x14ac:dyDescent="0.25">
      <c r="A284" t="s">
        <v>304</v>
      </c>
      <c r="B284" s="81">
        <v>0</v>
      </c>
      <c r="C284" s="81">
        <v>0</v>
      </c>
      <c r="D284" s="81">
        <v>0</v>
      </c>
      <c r="E284" s="81">
        <v>0</v>
      </c>
      <c r="F284" s="81">
        <v>0</v>
      </c>
      <c r="G284" s="81">
        <v>0</v>
      </c>
      <c r="H284" s="81">
        <v>0</v>
      </c>
    </row>
    <row r="285" spans="1:8" x14ac:dyDescent="0.25">
      <c r="A285" t="s">
        <v>305</v>
      </c>
      <c r="B285" s="81">
        <v>0</v>
      </c>
      <c r="C285" s="81">
        <v>0</v>
      </c>
      <c r="D285" s="81">
        <v>0</v>
      </c>
      <c r="E285" s="81">
        <v>0</v>
      </c>
      <c r="F285" s="81">
        <v>0</v>
      </c>
      <c r="G285" s="81">
        <v>0</v>
      </c>
      <c r="H285" s="81">
        <v>0</v>
      </c>
    </row>
    <row r="286" spans="1:8" x14ac:dyDescent="0.25">
      <c r="A286" t="s">
        <v>306</v>
      </c>
      <c r="B286" s="81">
        <v>0</v>
      </c>
      <c r="C286" s="81">
        <v>0</v>
      </c>
      <c r="D286" s="81">
        <v>0</v>
      </c>
      <c r="E286" s="81">
        <v>0</v>
      </c>
      <c r="F286" s="81">
        <v>0</v>
      </c>
      <c r="G286" s="81">
        <v>0</v>
      </c>
      <c r="H286" s="81">
        <v>0</v>
      </c>
    </row>
    <row r="287" spans="1:8" x14ac:dyDescent="0.25">
      <c r="A287" t="s">
        <v>307</v>
      </c>
      <c r="B287" s="81">
        <v>0</v>
      </c>
      <c r="C287" s="81">
        <v>0</v>
      </c>
      <c r="D287" s="81">
        <v>0</v>
      </c>
      <c r="E287" s="81">
        <v>0</v>
      </c>
      <c r="F287" s="81">
        <v>0</v>
      </c>
      <c r="G287" s="81">
        <v>0</v>
      </c>
      <c r="H287" s="81">
        <v>0</v>
      </c>
    </row>
    <row r="288" spans="1:8" x14ac:dyDescent="0.25">
      <c r="A288" t="s">
        <v>308</v>
      </c>
      <c r="B288" s="81">
        <v>0</v>
      </c>
      <c r="C288" s="81">
        <v>0</v>
      </c>
      <c r="D288" s="81">
        <v>0</v>
      </c>
      <c r="E288" s="81">
        <v>0</v>
      </c>
      <c r="F288" s="81">
        <v>0</v>
      </c>
      <c r="G288" s="81">
        <v>0</v>
      </c>
      <c r="H288" s="81">
        <v>0</v>
      </c>
    </row>
    <row r="289" spans="1:8" x14ac:dyDescent="0.25">
      <c r="A289" t="s">
        <v>309</v>
      </c>
      <c r="B289" s="81">
        <v>0</v>
      </c>
      <c r="C289" s="81">
        <v>0</v>
      </c>
      <c r="D289" s="81">
        <v>0</v>
      </c>
      <c r="E289" s="81">
        <v>0</v>
      </c>
      <c r="F289" s="81">
        <v>0</v>
      </c>
      <c r="G289" s="81">
        <v>0</v>
      </c>
      <c r="H289" s="81">
        <v>0</v>
      </c>
    </row>
    <row r="290" spans="1:8" x14ac:dyDescent="0.25">
      <c r="A290" t="s">
        <v>310</v>
      </c>
      <c r="B290" s="81">
        <v>0</v>
      </c>
      <c r="C290" s="81">
        <v>0</v>
      </c>
      <c r="D290" s="81">
        <v>0</v>
      </c>
      <c r="E290" s="81">
        <v>0</v>
      </c>
      <c r="F290" s="81">
        <v>0</v>
      </c>
      <c r="G290" s="81">
        <v>0</v>
      </c>
      <c r="H290" s="81">
        <v>0</v>
      </c>
    </row>
    <row r="291" spans="1:8" x14ac:dyDescent="0.25">
      <c r="A291" t="s">
        <v>311</v>
      </c>
      <c r="B291" s="81">
        <v>0</v>
      </c>
      <c r="C291" s="81">
        <v>0</v>
      </c>
      <c r="D291" s="81">
        <v>0</v>
      </c>
      <c r="E291" s="81">
        <v>0</v>
      </c>
      <c r="F291" s="81">
        <v>0</v>
      </c>
      <c r="G291" s="81">
        <v>0</v>
      </c>
      <c r="H291" s="81">
        <v>0</v>
      </c>
    </row>
    <row r="292" spans="1:8" x14ac:dyDescent="0.25">
      <c r="A292" t="s">
        <v>312</v>
      </c>
      <c r="B292" s="81">
        <v>0</v>
      </c>
      <c r="C292" s="81">
        <v>0</v>
      </c>
      <c r="D292" s="81">
        <v>0</v>
      </c>
      <c r="E292" s="81">
        <v>0</v>
      </c>
      <c r="F292" s="81">
        <v>0</v>
      </c>
      <c r="G292" s="81">
        <v>0</v>
      </c>
      <c r="H292" s="81">
        <v>0</v>
      </c>
    </row>
    <row r="293" spans="1:8" x14ac:dyDescent="0.25">
      <c r="A293" t="s">
        <v>313</v>
      </c>
      <c r="B293" s="81">
        <v>0</v>
      </c>
      <c r="C293" s="81">
        <v>0</v>
      </c>
      <c r="D293" s="81">
        <v>0</v>
      </c>
      <c r="E293" s="81">
        <v>0</v>
      </c>
      <c r="F293" s="81">
        <v>0</v>
      </c>
      <c r="G293" s="81">
        <v>0</v>
      </c>
      <c r="H293" s="81">
        <v>0</v>
      </c>
    </row>
    <row r="294" spans="1:8" x14ac:dyDescent="0.25">
      <c r="A294" t="s">
        <v>314</v>
      </c>
      <c r="B294" s="81">
        <v>0</v>
      </c>
      <c r="C294" s="81">
        <v>0</v>
      </c>
      <c r="D294" s="81">
        <v>0</v>
      </c>
      <c r="E294" s="81">
        <v>0</v>
      </c>
      <c r="F294" s="81">
        <v>0</v>
      </c>
      <c r="G294" s="81">
        <v>0</v>
      </c>
      <c r="H294" s="81">
        <v>0</v>
      </c>
    </row>
    <row r="295" spans="1:8" x14ac:dyDescent="0.25">
      <c r="A295" t="s">
        <v>315</v>
      </c>
      <c r="B295" s="81">
        <v>0</v>
      </c>
      <c r="C295" s="81">
        <v>0</v>
      </c>
      <c r="D295" s="81">
        <v>0</v>
      </c>
      <c r="E295" s="81">
        <v>0</v>
      </c>
      <c r="F295" s="81">
        <v>0</v>
      </c>
      <c r="G295" s="81">
        <v>0</v>
      </c>
      <c r="H295" s="81">
        <v>0</v>
      </c>
    </row>
    <row r="296" spans="1:8" x14ac:dyDescent="0.25">
      <c r="A296" t="s">
        <v>316</v>
      </c>
      <c r="B296" s="81">
        <v>0</v>
      </c>
      <c r="C296" s="81">
        <v>0</v>
      </c>
      <c r="D296" s="81">
        <v>0</v>
      </c>
      <c r="E296" s="81">
        <v>0</v>
      </c>
      <c r="F296" s="81">
        <v>0</v>
      </c>
      <c r="G296" s="81">
        <v>0</v>
      </c>
      <c r="H296" s="81">
        <v>0</v>
      </c>
    </row>
    <row r="297" spans="1:8" x14ac:dyDescent="0.25">
      <c r="A297" t="s">
        <v>317</v>
      </c>
      <c r="B297" s="81">
        <v>0</v>
      </c>
      <c r="C297" s="81">
        <v>0</v>
      </c>
      <c r="D297" s="81">
        <v>0</v>
      </c>
      <c r="E297" s="81">
        <v>0</v>
      </c>
      <c r="F297" s="81">
        <v>0</v>
      </c>
      <c r="G297" s="81">
        <v>0</v>
      </c>
      <c r="H297" s="81">
        <v>0</v>
      </c>
    </row>
    <row r="298" spans="1:8" x14ac:dyDescent="0.25">
      <c r="A298" t="s">
        <v>318</v>
      </c>
      <c r="B298" s="81">
        <v>0</v>
      </c>
      <c r="C298" s="81">
        <v>0</v>
      </c>
      <c r="D298" s="81">
        <v>0</v>
      </c>
      <c r="E298" s="81">
        <v>0</v>
      </c>
      <c r="F298" s="81">
        <v>0</v>
      </c>
      <c r="G298" s="81">
        <v>0</v>
      </c>
      <c r="H298" s="81">
        <v>0</v>
      </c>
    </row>
    <row r="299" spans="1:8" x14ac:dyDescent="0.25">
      <c r="A299" t="s">
        <v>319</v>
      </c>
      <c r="B299" s="81">
        <v>0</v>
      </c>
      <c r="C299" s="81">
        <v>0</v>
      </c>
      <c r="D299" s="81">
        <v>0</v>
      </c>
      <c r="E299" s="81">
        <v>0</v>
      </c>
      <c r="F299" s="81">
        <v>0</v>
      </c>
      <c r="G299" s="81">
        <v>0</v>
      </c>
      <c r="H299" s="81">
        <v>0</v>
      </c>
    </row>
    <row r="300" spans="1:8" x14ac:dyDescent="0.25">
      <c r="A300" t="s">
        <v>320</v>
      </c>
      <c r="B300" s="81">
        <v>0</v>
      </c>
      <c r="C300" s="81">
        <v>0</v>
      </c>
      <c r="D300" s="81">
        <v>0</v>
      </c>
      <c r="E300" s="81">
        <v>0</v>
      </c>
      <c r="F300" s="81">
        <v>0</v>
      </c>
      <c r="G300" s="81">
        <v>0</v>
      </c>
      <c r="H300" s="81">
        <v>0</v>
      </c>
    </row>
    <row r="301" spans="1:8" x14ac:dyDescent="0.25">
      <c r="A301" t="s">
        <v>321</v>
      </c>
      <c r="B301" s="81">
        <v>0</v>
      </c>
      <c r="C301" s="81">
        <v>0</v>
      </c>
      <c r="D301" s="81">
        <v>0</v>
      </c>
      <c r="E301" s="81">
        <v>0</v>
      </c>
      <c r="F301" s="81">
        <v>0</v>
      </c>
      <c r="G301" s="81">
        <v>0</v>
      </c>
      <c r="H301" s="81">
        <v>0</v>
      </c>
    </row>
    <row r="302" spans="1:8" x14ac:dyDescent="0.25">
      <c r="A302" t="s">
        <v>322</v>
      </c>
      <c r="B302" s="81">
        <v>0</v>
      </c>
      <c r="C302" s="81">
        <v>0</v>
      </c>
      <c r="D302" s="81">
        <v>0</v>
      </c>
      <c r="E302" s="81">
        <v>0</v>
      </c>
      <c r="F302" s="81">
        <v>0</v>
      </c>
      <c r="G302" s="81">
        <v>0</v>
      </c>
      <c r="H302" s="81">
        <v>0</v>
      </c>
    </row>
    <row r="303" spans="1:8" x14ac:dyDescent="0.25">
      <c r="A303" t="s">
        <v>323</v>
      </c>
      <c r="B303" s="81">
        <v>0</v>
      </c>
      <c r="C303" s="81">
        <v>0</v>
      </c>
      <c r="D303" s="81">
        <v>0</v>
      </c>
      <c r="E303" s="81">
        <v>0</v>
      </c>
      <c r="F303" s="81">
        <v>0</v>
      </c>
      <c r="G303" s="81">
        <v>0</v>
      </c>
      <c r="H303" s="81">
        <v>0</v>
      </c>
    </row>
    <row r="304" spans="1:8" x14ac:dyDescent="0.25">
      <c r="A304" t="s">
        <v>324</v>
      </c>
      <c r="B304" s="81">
        <v>0</v>
      </c>
      <c r="C304" s="81">
        <v>0</v>
      </c>
      <c r="D304" s="81">
        <v>0</v>
      </c>
      <c r="E304" s="81">
        <v>0</v>
      </c>
      <c r="F304" s="81">
        <v>0</v>
      </c>
      <c r="G304" s="81">
        <v>0</v>
      </c>
      <c r="H304" s="81">
        <v>0</v>
      </c>
    </row>
    <row r="305" spans="1:8" x14ac:dyDescent="0.25">
      <c r="A305" t="s">
        <v>325</v>
      </c>
      <c r="B305" s="81">
        <v>0</v>
      </c>
      <c r="C305" s="81">
        <v>0</v>
      </c>
      <c r="D305" s="81">
        <v>0</v>
      </c>
      <c r="E305" s="81">
        <v>0</v>
      </c>
      <c r="F305" s="81">
        <v>0</v>
      </c>
      <c r="G305" s="81">
        <v>0</v>
      </c>
      <c r="H305" s="81">
        <v>0</v>
      </c>
    </row>
    <row r="306" spans="1:8" x14ac:dyDescent="0.25">
      <c r="A306" t="s">
        <v>326</v>
      </c>
      <c r="B306" s="81">
        <v>0</v>
      </c>
      <c r="C306" s="81">
        <v>0</v>
      </c>
      <c r="D306" s="81">
        <v>0</v>
      </c>
      <c r="E306" s="81">
        <v>0</v>
      </c>
      <c r="F306" s="81">
        <v>0</v>
      </c>
      <c r="G306" s="81">
        <v>0</v>
      </c>
      <c r="H306" s="81">
        <v>0</v>
      </c>
    </row>
    <row r="307" spans="1:8" x14ac:dyDescent="0.25">
      <c r="A307" t="s">
        <v>327</v>
      </c>
      <c r="B307" s="81">
        <v>0</v>
      </c>
      <c r="C307" s="81">
        <v>0</v>
      </c>
      <c r="D307" s="81">
        <v>0</v>
      </c>
      <c r="E307" s="81">
        <v>0</v>
      </c>
      <c r="F307" s="81">
        <v>0</v>
      </c>
      <c r="G307" s="81">
        <v>0</v>
      </c>
      <c r="H307" s="81">
        <v>0</v>
      </c>
    </row>
    <row r="308" spans="1:8" x14ac:dyDescent="0.25">
      <c r="A308" t="s">
        <v>328</v>
      </c>
      <c r="B308" s="81">
        <v>0</v>
      </c>
      <c r="C308" s="81">
        <v>0</v>
      </c>
      <c r="D308" s="81">
        <v>0</v>
      </c>
      <c r="E308" s="81">
        <v>0</v>
      </c>
      <c r="F308" s="81">
        <v>0</v>
      </c>
      <c r="G308" s="81">
        <v>0</v>
      </c>
      <c r="H308" s="81">
        <v>0</v>
      </c>
    </row>
    <row r="309" spans="1:8" x14ac:dyDescent="0.25">
      <c r="A309" t="s">
        <v>329</v>
      </c>
      <c r="B309" s="81">
        <v>0</v>
      </c>
      <c r="C309" s="81">
        <v>0</v>
      </c>
      <c r="D309" s="81">
        <v>0</v>
      </c>
      <c r="E309" s="81">
        <v>0</v>
      </c>
      <c r="F309" s="81">
        <v>0</v>
      </c>
      <c r="G309" s="81">
        <v>0</v>
      </c>
      <c r="H309" s="81">
        <v>0</v>
      </c>
    </row>
    <row r="310" spans="1:8" x14ac:dyDescent="0.25">
      <c r="A310" t="s">
        <v>330</v>
      </c>
      <c r="B310" s="81">
        <v>0</v>
      </c>
      <c r="C310" s="81">
        <v>0</v>
      </c>
      <c r="D310" s="81">
        <v>0</v>
      </c>
      <c r="E310" s="81">
        <v>0</v>
      </c>
      <c r="F310" s="81">
        <v>0</v>
      </c>
      <c r="G310" s="81">
        <v>0</v>
      </c>
      <c r="H310" s="81">
        <v>0</v>
      </c>
    </row>
    <row r="311" spans="1:8" x14ac:dyDescent="0.25">
      <c r="A311" t="s">
        <v>331</v>
      </c>
      <c r="B311" s="81">
        <v>0</v>
      </c>
      <c r="C311" s="81">
        <v>0</v>
      </c>
      <c r="D311" s="81">
        <v>0</v>
      </c>
      <c r="E311" s="81">
        <v>0</v>
      </c>
      <c r="F311" s="81">
        <v>0</v>
      </c>
      <c r="G311" s="81">
        <v>0</v>
      </c>
      <c r="H311" s="81">
        <v>0</v>
      </c>
    </row>
    <row r="312" spans="1:8" x14ac:dyDescent="0.25">
      <c r="A312" t="s">
        <v>332</v>
      </c>
      <c r="B312" s="81">
        <v>0</v>
      </c>
      <c r="C312" s="81">
        <v>0</v>
      </c>
      <c r="D312" s="81">
        <v>0</v>
      </c>
      <c r="E312" s="81">
        <v>0</v>
      </c>
      <c r="F312" s="81">
        <v>0</v>
      </c>
      <c r="G312" s="81">
        <v>0</v>
      </c>
      <c r="H312" s="81">
        <v>0</v>
      </c>
    </row>
    <row r="313" spans="1:8" x14ac:dyDescent="0.25">
      <c r="A313" t="s">
        <v>333</v>
      </c>
      <c r="B313" s="81">
        <v>0</v>
      </c>
      <c r="C313" s="81">
        <v>0</v>
      </c>
      <c r="D313" s="81">
        <v>0</v>
      </c>
      <c r="E313" s="81">
        <v>0</v>
      </c>
      <c r="F313" s="81">
        <v>0</v>
      </c>
      <c r="G313" s="81">
        <v>0</v>
      </c>
      <c r="H313" s="81">
        <v>0</v>
      </c>
    </row>
    <row r="314" spans="1:8" x14ac:dyDescent="0.25">
      <c r="A314" t="s">
        <v>334</v>
      </c>
      <c r="B314" s="81">
        <v>0</v>
      </c>
      <c r="C314" s="81">
        <v>0</v>
      </c>
      <c r="D314" s="81">
        <v>0</v>
      </c>
      <c r="E314" s="81">
        <v>0</v>
      </c>
      <c r="F314" s="81">
        <v>0</v>
      </c>
      <c r="G314" s="81">
        <v>0</v>
      </c>
      <c r="H314" s="81">
        <v>0</v>
      </c>
    </row>
    <row r="315" spans="1:8" x14ac:dyDescent="0.25">
      <c r="A315" t="s">
        <v>335</v>
      </c>
      <c r="B315" s="81">
        <v>0</v>
      </c>
      <c r="C315" s="81">
        <v>0</v>
      </c>
      <c r="D315" s="81">
        <v>0</v>
      </c>
      <c r="E315" s="81">
        <v>0</v>
      </c>
      <c r="F315" s="81">
        <v>0</v>
      </c>
      <c r="G315" s="81">
        <v>0</v>
      </c>
      <c r="H315" s="81">
        <v>0</v>
      </c>
    </row>
    <row r="316" spans="1:8" x14ac:dyDescent="0.25">
      <c r="A316" t="s">
        <v>336</v>
      </c>
      <c r="B316" s="81">
        <v>0</v>
      </c>
      <c r="C316" s="81">
        <v>0</v>
      </c>
      <c r="D316" s="81">
        <v>0</v>
      </c>
      <c r="E316" s="81">
        <v>0</v>
      </c>
      <c r="F316" s="81">
        <v>0</v>
      </c>
      <c r="G316" s="81">
        <v>0</v>
      </c>
      <c r="H316" s="81">
        <v>0</v>
      </c>
    </row>
    <row r="317" spans="1:8" x14ac:dyDescent="0.25">
      <c r="A317" t="s">
        <v>496</v>
      </c>
      <c r="B317" s="81">
        <v>0</v>
      </c>
      <c r="C317" s="81">
        <v>0</v>
      </c>
      <c r="D317" s="81">
        <v>0</v>
      </c>
      <c r="E317" s="81">
        <v>0</v>
      </c>
      <c r="F317" s="81">
        <v>0</v>
      </c>
      <c r="G317" s="81">
        <v>0</v>
      </c>
      <c r="H317" s="81">
        <v>0</v>
      </c>
    </row>
    <row r="318" spans="1:8" x14ac:dyDescent="0.25">
      <c r="A318" t="s">
        <v>497</v>
      </c>
      <c r="B318" s="81">
        <v>0</v>
      </c>
      <c r="C318" s="81">
        <v>0</v>
      </c>
      <c r="D318" s="81">
        <v>0</v>
      </c>
      <c r="E318" s="81">
        <v>0</v>
      </c>
      <c r="F318" s="81">
        <v>0</v>
      </c>
      <c r="G318" s="81">
        <v>0</v>
      </c>
      <c r="H318" s="81">
        <v>0</v>
      </c>
    </row>
    <row r="319" spans="1:8" x14ac:dyDescent="0.25">
      <c r="A319" t="s">
        <v>498</v>
      </c>
      <c r="B319" s="81">
        <v>0</v>
      </c>
      <c r="C319" s="81">
        <v>0</v>
      </c>
      <c r="D319" s="81">
        <v>0</v>
      </c>
      <c r="E319" s="81">
        <v>0</v>
      </c>
      <c r="F319" s="81">
        <v>0</v>
      </c>
      <c r="G319" s="81">
        <v>0</v>
      </c>
      <c r="H319" s="81">
        <v>0</v>
      </c>
    </row>
    <row r="320" spans="1:8" x14ac:dyDescent="0.25">
      <c r="A320" t="s">
        <v>499</v>
      </c>
      <c r="B320" s="81">
        <v>0</v>
      </c>
      <c r="C320" s="81">
        <v>0</v>
      </c>
      <c r="D320" s="81">
        <v>0</v>
      </c>
      <c r="E320" s="81">
        <v>0</v>
      </c>
      <c r="F320" s="81">
        <v>0</v>
      </c>
      <c r="G320" s="81">
        <v>0</v>
      </c>
      <c r="H320" s="81">
        <v>0</v>
      </c>
    </row>
    <row r="321" spans="1:8" x14ac:dyDescent="0.25">
      <c r="A321" t="s">
        <v>337</v>
      </c>
      <c r="B321" s="81">
        <v>0</v>
      </c>
      <c r="C321" s="81">
        <v>0</v>
      </c>
      <c r="D321" s="81">
        <v>0</v>
      </c>
      <c r="E321" s="81">
        <v>0</v>
      </c>
      <c r="F321" s="81">
        <v>0</v>
      </c>
      <c r="G321" s="81">
        <v>0</v>
      </c>
      <c r="H321" s="81">
        <v>0</v>
      </c>
    </row>
    <row r="322" spans="1:8" x14ac:dyDescent="0.25">
      <c r="A322" t="s">
        <v>338</v>
      </c>
      <c r="B322" s="81">
        <v>0</v>
      </c>
      <c r="C322" s="81">
        <v>0</v>
      </c>
      <c r="D322" s="81">
        <v>0</v>
      </c>
      <c r="E322" s="81">
        <v>0</v>
      </c>
      <c r="F322" s="81">
        <v>0</v>
      </c>
      <c r="G322" s="81">
        <v>0</v>
      </c>
      <c r="H322" s="81">
        <v>0</v>
      </c>
    </row>
    <row r="323" spans="1:8" x14ac:dyDescent="0.25">
      <c r="A323" t="s">
        <v>339</v>
      </c>
      <c r="B323" s="81">
        <v>0</v>
      </c>
      <c r="C323" s="81">
        <v>0</v>
      </c>
      <c r="D323" s="81">
        <v>0</v>
      </c>
      <c r="E323" s="81">
        <v>0</v>
      </c>
      <c r="F323" s="81">
        <v>0</v>
      </c>
      <c r="G323" s="81">
        <v>0</v>
      </c>
      <c r="H323" s="81">
        <v>0</v>
      </c>
    </row>
    <row r="324" spans="1:8" x14ac:dyDescent="0.25">
      <c r="A324" t="s">
        <v>340</v>
      </c>
      <c r="B324" s="81">
        <v>0</v>
      </c>
      <c r="C324" s="81">
        <v>0</v>
      </c>
      <c r="D324" s="81">
        <v>0</v>
      </c>
      <c r="E324" s="81">
        <v>0</v>
      </c>
      <c r="F324" s="81">
        <v>0</v>
      </c>
      <c r="G324" s="81">
        <v>0</v>
      </c>
      <c r="H324" s="81">
        <v>0</v>
      </c>
    </row>
    <row r="325" spans="1:8" x14ac:dyDescent="0.25">
      <c r="A325" t="s">
        <v>500</v>
      </c>
      <c r="B325" s="81">
        <v>0</v>
      </c>
      <c r="C325" s="81">
        <v>0</v>
      </c>
      <c r="D325" s="81">
        <v>0</v>
      </c>
      <c r="E325" s="81">
        <v>0</v>
      </c>
      <c r="F325" s="81">
        <v>0</v>
      </c>
      <c r="G325" s="81">
        <v>0</v>
      </c>
      <c r="H325" s="81">
        <v>0</v>
      </c>
    </row>
    <row r="326" spans="1:8" x14ac:dyDescent="0.25">
      <c r="A326" t="s">
        <v>501</v>
      </c>
      <c r="B326" s="81">
        <v>0</v>
      </c>
      <c r="C326" s="81">
        <v>0</v>
      </c>
      <c r="D326" s="81">
        <v>0</v>
      </c>
      <c r="E326" s="81">
        <v>0</v>
      </c>
      <c r="F326" s="81">
        <v>0</v>
      </c>
      <c r="G326" s="81">
        <v>0</v>
      </c>
      <c r="H326" s="81">
        <v>0</v>
      </c>
    </row>
    <row r="327" spans="1:8" x14ac:dyDescent="0.25">
      <c r="A327" t="s">
        <v>502</v>
      </c>
      <c r="B327" s="81">
        <v>0</v>
      </c>
      <c r="C327" s="81">
        <v>0</v>
      </c>
      <c r="D327" s="81">
        <v>0</v>
      </c>
      <c r="E327" s="81">
        <v>0</v>
      </c>
      <c r="F327" s="81">
        <v>0</v>
      </c>
      <c r="G327" s="81">
        <v>0</v>
      </c>
      <c r="H327" s="81">
        <v>0</v>
      </c>
    </row>
    <row r="328" spans="1:8" x14ac:dyDescent="0.25">
      <c r="A328" t="s">
        <v>503</v>
      </c>
      <c r="B328" s="81">
        <v>0</v>
      </c>
      <c r="C328" s="81">
        <v>0</v>
      </c>
      <c r="D328" s="81">
        <v>0</v>
      </c>
      <c r="E328" s="81">
        <v>0</v>
      </c>
      <c r="F328" s="81">
        <v>0</v>
      </c>
      <c r="G328" s="81">
        <v>0</v>
      </c>
      <c r="H328" s="81">
        <v>0</v>
      </c>
    </row>
    <row r="329" spans="1:8" x14ac:dyDescent="0.25">
      <c r="A329" t="s">
        <v>341</v>
      </c>
      <c r="B329" s="81">
        <v>0</v>
      </c>
      <c r="C329" s="81">
        <v>0</v>
      </c>
      <c r="D329" s="81">
        <v>0</v>
      </c>
      <c r="E329" s="81">
        <v>0</v>
      </c>
      <c r="F329" s="81">
        <v>0</v>
      </c>
      <c r="G329" s="81">
        <v>0</v>
      </c>
      <c r="H329" s="81">
        <v>0</v>
      </c>
    </row>
    <row r="330" spans="1:8" x14ac:dyDescent="0.25">
      <c r="A330" t="s">
        <v>342</v>
      </c>
      <c r="B330" s="81">
        <v>0</v>
      </c>
      <c r="C330" s="81">
        <v>0</v>
      </c>
      <c r="D330" s="81">
        <v>0</v>
      </c>
      <c r="E330" s="81">
        <v>0</v>
      </c>
      <c r="F330" s="81">
        <v>0</v>
      </c>
      <c r="G330" s="81">
        <v>0</v>
      </c>
      <c r="H330" s="81">
        <v>0</v>
      </c>
    </row>
    <row r="331" spans="1:8" x14ac:dyDescent="0.25">
      <c r="A331" t="s">
        <v>343</v>
      </c>
      <c r="B331" s="81">
        <v>0</v>
      </c>
      <c r="C331" s="81">
        <v>0</v>
      </c>
      <c r="D331" s="81">
        <v>0</v>
      </c>
      <c r="E331" s="81">
        <v>0</v>
      </c>
      <c r="F331" s="81">
        <v>0</v>
      </c>
      <c r="G331" s="81">
        <v>0</v>
      </c>
      <c r="H331" s="81">
        <v>0</v>
      </c>
    </row>
    <row r="332" spans="1:8" x14ac:dyDescent="0.25">
      <c r="A332" t="s">
        <v>344</v>
      </c>
      <c r="B332" s="81">
        <v>0</v>
      </c>
      <c r="C332" s="81">
        <v>0</v>
      </c>
      <c r="D332" s="81">
        <v>0</v>
      </c>
      <c r="E332" s="81">
        <v>0</v>
      </c>
      <c r="F332" s="81">
        <v>0</v>
      </c>
      <c r="G332" s="81">
        <v>0</v>
      </c>
      <c r="H332" s="81">
        <v>0</v>
      </c>
    </row>
    <row r="333" spans="1:8" x14ac:dyDescent="0.25">
      <c r="A333" t="s">
        <v>504</v>
      </c>
      <c r="B333" s="81">
        <v>0</v>
      </c>
      <c r="C333" s="81">
        <v>0</v>
      </c>
      <c r="D333" s="81">
        <v>0</v>
      </c>
      <c r="E333" s="81">
        <v>0</v>
      </c>
      <c r="F333" s="81">
        <v>0</v>
      </c>
      <c r="G333" s="81">
        <v>0</v>
      </c>
      <c r="H333" s="81">
        <v>0</v>
      </c>
    </row>
    <row r="334" spans="1:8" x14ac:dyDescent="0.25">
      <c r="A334" t="s">
        <v>505</v>
      </c>
      <c r="B334" s="81">
        <v>0</v>
      </c>
      <c r="C334" s="81">
        <v>0</v>
      </c>
      <c r="D334" s="81">
        <v>0</v>
      </c>
      <c r="E334" s="81">
        <v>0</v>
      </c>
      <c r="F334" s="81">
        <v>0</v>
      </c>
      <c r="G334" s="81">
        <v>0</v>
      </c>
      <c r="H334" s="81">
        <v>0</v>
      </c>
    </row>
    <row r="335" spans="1:8" x14ac:dyDescent="0.25">
      <c r="A335" t="s">
        <v>506</v>
      </c>
      <c r="B335" s="81">
        <v>0</v>
      </c>
      <c r="C335" s="81">
        <v>0</v>
      </c>
      <c r="D335" s="81">
        <v>0</v>
      </c>
      <c r="E335" s="81">
        <v>0</v>
      </c>
      <c r="F335" s="81">
        <v>0</v>
      </c>
      <c r="G335" s="81">
        <v>0</v>
      </c>
      <c r="H335" s="81">
        <v>0</v>
      </c>
    </row>
    <row r="336" spans="1:8" x14ac:dyDescent="0.25">
      <c r="A336" t="s">
        <v>344</v>
      </c>
      <c r="B336" s="81">
        <v>0</v>
      </c>
      <c r="C336" s="81">
        <v>0</v>
      </c>
      <c r="D336" s="81">
        <v>0</v>
      </c>
      <c r="E336" s="81">
        <v>0</v>
      </c>
      <c r="F336" s="81">
        <v>0</v>
      </c>
      <c r="G336" s="81">
        <v>0</v>
      </c>
      <c r="H336" s="81">
        <v>0</v>
      </c>
    </row>
    <row r="337" spans="1:8" x14ac:dyDescent="0.25">
      <c r="A337" t="s">
        <v>472</v>
      </c>
      <c r="B337" s="81">
        <v>0</v>
      </c>
      <c r="C337" s="81">
        <v>0</v>
      </c>
      <c r="D337" s="81">
        <v>0</v>
      </c>
      <c r="E337" s="81">
        <v>0</v>
      </c>
      <c r="F337" s="81">
        <v>0</v>
      </c>
      <c r="G337" s="81">
        <v>0</v>
      </c>
      <c r="H337" s="81">
        <v>0</v>
      </c>
    </row>
    <row r="338" spans="1:8" x14ac:dyDescent="0.25">
      <c r="A338" t="s">
        <v>473</v>
      </c>
      <c r="B338" s="81">
        <v>0</v>
      </c>
      <c r="C338" s="81">
        <v>0</v>
      </c>
      <c r="D338" s="81">
        <v>0</v>
      </c>
      <c r="E338" s="81">
        <v>0</v>
      </c>
      <c r="F338" s="81">
        <v>0</v>
      </c>
      <c r="G338" s="81">
        <v>0</v>
      </c>
      <c r="H338" s="81">
        <v>0</v>
      </c>
    </row>
    <row r="339" spans="1:8" x14ac:dyDescent="0.25">
      <c r="A339" t="s">
        <v>474</v>
      </c>
      <c r="B339" s="81">
        <v>0</v>
      </c>
      <c r="C339" s="81">
        <v>0</v>
      </c>
      <c r="D339" s="81">
        <v>0</v>
      </c>
      <c r="E339" s="81">
        <v>0</v>
      </c>
      <c r="F339" s="81">
        <v>0</v>
      </c>
      <c r="G339" s="81">
        <v>0</v>
      </c>
      <c r="H339" s="81">
        <v>0</v>
      </c>
    </row>
    <row r="340" spans="1:8" x14ac:dyDescent="0.25">
      <c r="A340" t="s">
        <v>475</v>
      </c>
      <c r="B340" s="81">
        <v>0</v>
      </c>
      <c r="C340" s="81">
        <v>0</v>
      </c>
      <c r="D340" s="81">
        <v>0</v>
      </c>
      <c r="E340" s="81">
        <v>0</v>
      </c>
      <c r="F340" s="81">
        <v>0</v>
      </c>
      <c r="G340" s="81">
        <v>0</v>
      </c>
      <c r="H340" s="81">
        <v>0</v>
      </c>
    </row>
    <row r="341" spans="1:8" x14ac:dyDescent="0.25">
      <c r="A341" t="s">
        <v>492</v>
      </c>
      <c r="B341" s="81">
        <v>0</v>
      </c>
      <c r="C341" s="81">
        <v>0</v>
      </c>
      <c r="D341" s="81">
        <v>0</v>
      </c>
      <c r="E341" s="81">
        <v>0</v>
      </c>
      <c r="F341" s="81">
        <v>0</v>
      </c>
      <c r="G341" s="81">
        <v>0</v>
      </c>
      <c r="H341" s="81">
        <v>0</v>
      </c>
    </row>
    <row r="342" spans="1:8" x14ac:dyDescent="0.25">
      <c r="A342" t="s">
        <v>493</v>
      </c>
      <c r="B342" s="81">
        <v>0</v>
      </c>
      <c r="C342" s="81">
        <v>0</v>
      </c>
      <c r="D342" s="81">
        <v>0</v>
      </c>
      <c r="E342" s="81">
        <v>0</v>
      </c>
      <c r="F342" s="81">
        <v>0</v>
      </c>
      <c r="G342" s="81">
        <v>0</v>
      </c>
      <c r="H342" s="81">
        <v>0</v>
      </c>
    </row>
    <row r="343" spans="1:8" x14ac:dyDescent="0.25">
      <c r="A343" t="s">
        <v>494</v>
      </c>
      <c r="B343" s="81">
        <v>0</v>
      </c>
      <c r="C343" s="81">
        <v>0</v>
      </c>
      <c r="D343" s="81">
        <v>0</v>
      </c>
      <c r="E343" s="81">
        <v>0</v>
      </c>
      <c r="F343" s="81">
        <v>0</v>
      </c>
      <c r="G343" s="81">
        <v>0</v>
      </c>
      <c r="H343" s="81">
        <v>0</v>
      </c>
    </row>
    <row r="344" spans="1:8" x14ac:dyDescent="0.25">
      <c r="A344" t="s">
        <v>495</v>
      </c>
      <c r="B344" s="81">
        <v>0</v>
      </c>
      <c r="C344" s="81">
        <v>0</v>
      </c>
      <c r="D344" s="81">
        <v>0</v>
      </c>
      <c r="E344" s="81">
        <v>0</v>
      </c>
      <c r="F344" s="81">
        <v>0</v>
      </c>
      <c r="G344" s="81">
        <v>0</v>
      </c>
      <c r="H344" s="81">
        <v>0</v>
      </c>
    </row>
    <row r="345" spans="1:8" x14ac:dyDescent="0.25">
      <c r="A345" t="s">
        <v>345</v>
      </c>
      <c r="B345" s="81">
        <v>0</v>
      </c>
      <c r="C345" s="81">
        <v>0</v>
      </c>
      <c r="D345" s="81">
        <v>0</v>
      </c>
      <c r="E345" s="81">
        <v>0</v>
      </c>
      <c r="F345" s="81">
        <v>0</v>
      </c>
      <c r="G345" s="81">
        <v>0</v>
      </c>
      <c r="H345" s="81">
        <v>0</v>
      </c>
    </row>
    <row r="346" spans="1:8" x14ac:dyDescent="0.25">
      <c r="A346" t="s">
        <v>346</v>
      </c>
      <c r="B346" s="81">
        <v>0</v>
      </c>
      <c r="C346" s="81">
        <v>0</v>
      </c>
      <c r="D346" s="81">
        <v>0</v>
      </c>
      <c r="E346" s="81">
        <v>0</v>
      </c>
      <c r="F346" s="81">
        <v>0</v>
      </c>
      <c r="G346" s="81">
        <v>0</v>
      </c>
      <c r="H346" s="81">
        <v>0</v>
      </c>
    </row>
    <row r="347" spans="1:8" x14ac:dyDescent="0.25">
      <c r="A347" t="s">
        <v>347</v>
      </c>
      <c r="B347" s="81">
        <v>0</v>
      </c>
      <c r="C347" s="81">
        <v>0</v>
      </c>
      <c r="D347" s="81">
        <v>0</v>
      </c>
      <c r="E347" s="81">
        <v>0</v>
      </c>
      <c r="F347" s="81">
        <v>0</v>
      </c>
      <c r="G347" s="81">
        <v>0</v>
      </c>
      <c r="H347" s="81">
        <v>0</v>
      </c>
    </row>
    <row r="348" spans="1:8" x14ac:dyDescent="0.25">
      <c r="A348" t="s">
        <v>348</v>
      </c>
      <c r="B348" s="81">
        <v>0</v>
      </c>
      <c r="C348" s="81">
        <v>0</v>
      </c>
      <c r="D348" s="81">
        <v>0</v>
      </c>
      <c r="E348" s="81">
        <v>0</v>
      </c>
      <c r="F348" s="81">
        <v>0</v>
      </c>
      <c r="G348" s="81">
        <v>0</v>
      </c>
      <c r="H348" s="81">
        <v>0</v>
      </c>
    </row>
    <row r="349" spans="1:8" x14ac:dyDescent="0.25">
      <c r="A349" t="s">
        <v>349</v>
      </c>
      <c r="B349" s="81">
        <v>0</v>
      </c>
      <c r="C349" s="81">
        <v>0</v>
      </c>
      <c r="D349" s="81">
        <v>0</v>
      </c>
      <c r="E349" s="81">
        <v>0</v>
      </c>
      <c r="F349" s="81">
        <v>0</v>
      </c>
      <c r="G349" s="81">
        <v>0</v>
      </c>
      <c r="H349" s="81">
        <v>0</v>
      </c>
    </row>
    <row r="350" spans="1:8" x14ac:dyDescent="0.25">
      <c r="A350" t="s">
        <v>350</v>
      </c>
      <c r="B350" s="81">
        <v>0</v>
      </c>
      <c r="C350" s="81">
        <v>0</v>
      </c>
      <c r="D350" s="81">
        <v>0</v>
      </c>
      <c r="E350" s="81">
        <v>0</v>
      </c>
      <c r="F350" s="81">
        <v>0</v>
      </c>
      <c r="G350" s="81">
        <v>0</v>
      </c>
      <c r="H350" s="81">
        <v>0</v>
      </c>
    </row>
    <row r="351" spans="1:8" x14ac:dyDescent="0.25">
      <c r="A351" t="s">
        <v>351</v>
      </c>
      <c r="B351" s="81">
        <v>0</v>
      </c>
      <c r="C351" s="81">
        <v>0</v>
      </c>
      <c r="D351" s="81">
        <v>0</v>
      </c>
      <c r="E351" s="81">
        <v>0</v>
      </c>
      <c r="F351" s="81">
        <v>0</v>
      </c>
      <c r="G351" s="81">
        <v>0</v>
      </c>
      <c r="H351" s="81">
        <v>0</v>
      </c>
    </row>
    <row r="352" spans="1:8" x14ac:dyDescent="0.25">
      <c r="A352" t="s">
        <v>352</v>
      </c>
      <c r="B352" s="81">
        <v>0</v>
      </c>
      <c r="C352" s="81">
        <v>0</v>
      </c>
      <c r="D352" s="81">
        <v>0</v>
      </c>
      <c r="E352" s="81">
        <v>0</v>
      </c>
      <c r="F352" s="81">
        <v>0</v>
      </c>
      <c r="G352" s="81">
        <v>0</v>
      </c>
      <c r="H352" s="81">
        <v>0</v>
      </c>
    </row>
    <row r="353" spans="1:8" x14ac:dyDescent="0.25">
      <c r="A353" t="s">
        <v>353</v>
      </c>
      <c r="B353" s="81">
        <v>0</v>
      </c>
      <c r="C353" s="81">
        <v>0</v>
      </c>
      <c r="D353" s="81">
        <v>0</v>
      </c>
      <c r="E353" s="81">
        <v>0</v>
      </c>
      <c r="F353" s="81">
        <v>0</v>
      </c>
      <c r="G353" s="81">
        <v>0</v>
      </c>
      <c r="H353" s="81">
        <v>0</v>
      </c>
    </row>
    <row r="354" spans="1:8" x14ac:dyDescent="0.25">
      <c r="A354" t="s">
        <v>354</v>
      </c>
      <c r="B354" s="81">
        <v>0</v>
      </c>
      <c r="C354" s="81">
        <v>0</v>
      </c>
      <c r="D354" s="81">
        <v>0</v>
      </c>
      <c r="E354" s="81">
        <v>0</v>
      </c>
      <c r="F354" s="81">
        <v>0</v>
      </c>
      <c r="G354" s="81">
        <v>0</v>
      </c>
      <c r="H354" s="81">
        <v>0</v>
      </c>
    </row>
    <row r="355" spans="1:8" x14ac:dyDescent="0.25">
      <c r="A355" t="s">
        <v>355</v>
      </c>
      <c r="B355" s="81">
        <v>0</v>
      </c>
      <c r="C355" s="81">
        <v>0</v>
      </c>
      <c r="D355" s="81">
        <v>0</v>
      </c>
      <c r="E355" s="81">
        <v>0</v>
      </c>
      <c r="F355" s="81">
        <v>0</v>
      </c>
      <c r="G355" s="81">
        <v>0</v>
      </c>
      <c r="H355" s="81">
        <v>0</v>
      </c>
    </row>
    <row r="356" spans="1:8" x14ac:dyDescent="0.25">
      <c r="A356" t="s">
        <v>356</v>
      </c>
      <c r="B356" s="81">
        <v>0</v>
      </c>
      <c r="C356" s="81">
        <v>0</v>
      </c>
      <c r="D356" s="81">
        <v>0</v>
      </c>
      <c r="E356" s="81">
        <v>0</v>
      </c>
      <c r="F356" s="81">
        <v>0</v>
      </c>
      <c r="G356" s="81">
        <v>0</v>
      </c>
      <c r="H356" s="81">
        <v>0</v>
      </c>
    </row>
    <row r="357" spans="1:8" x14ac:dyDescent="0.25">
      <c r="A357" t="s">
        <v>357</v>
      </c>
      <c r="B357" s="81">
        <v>0</v>
      </c>
      <c r="C357" s="81">
        <v>0</v>
      </c>
      <c r="D357" s="81">
        <v>0</v>
      </c>
      <c r="E357" s="81">
        <v>0</v>
      </c>
      <c r="F357" s="81">
        <v>0</v>
      </c>
      <c r="G357" s="81">
        <v>0</v>
      </c>
      <c r="H357" s="81">
        <v>0</v>
      </c>
    </row>
    <row r="358" spans="1:8" x14ac:dyDescent="0.25">
      <c r="A358" t="s">
        <v>358</v>
      </c>
      <c r="B358" s="81">
        <v>0</v>
      </c>
      <c r="C358" s="81">
        <v>0</v>
      </c>
      <c r="D358" s="81">
        <v>0</v>
      </c>
      <c r="E358" s="81">
        <v>0</v>
      </c>
      <c r="F358" s="81">
        <v>0</v>
      </c>
      <c r="G358" s="81">
        <v>0</v>
      </c>
      <c r="H358" s="81">
        <v>0</v>
      </c>
    </row>
    <row r="359" spans="1:8" x14ac:dyDescent="0.25">
      <c r="A359" t="s">
        <v>359</v>
      </c>
      <c r="B359" s="81">
        <v>0</v>
      </c>
      <c r="C359" s="81">
        <v>0</v>
      </c>
      <c r="D359" s="81">
        <v>0</v>
      </c>
      <c r="E359" s="81">
        <v>0</v>
      </c>
      <c r="F359" s="81">
        <v>0</v>
      </c>
      <c r="G359" s="81">
        <v>0</v>
      </c>
      <c r="H359" s="81">
        <v>0</v>
      </c>
    </row>
    <row r="360" spans="1:8" x14ac:dyDescent="0.25">
      <c r="A360" t="s">
        <v>360</v>
      </c>
      <c r="B360" s="81">
        <v>0</v>
      </c>
      <c r="C360" s="81">
        <v>0</v>
      </c>
      <c r="D360" s="81">
        <v>0</v>
      </c>
      <c r="E360" s="81">
        <v>0</v>
      </c>
      <c r="F360" s="81">
        <v>0</v>
      </c>
      <c r="G360" s="81">
        <v>0</v>
      </c>
      <c r="H360" s="81">
        <v>0</v>
      </c>
    </row>
    <row r="361" spans="1:8" x14ac:dyDescent="0.25">
      <c r="A361" t="s">
        <v>361</v>
      </c>
      <c r="B361" s="81">
        <v>0</v>
      </c>
      <c r="C361" s="81">
        <v>0</v>
      </c>
      <c r="D361" s="81">
        <v>0</v>
      </c>
      <c r="E361" s="81">
        <v>0</v>
      </c>
      <c r="F361" s="81">
        <v>0</v>
      </c>
      <c r="G361" s="81">
        <v>0</v>
      </c>
      <c r="H361" s="81">
        <v>0</v>
      </c>
    </row>
    <row r="362" spans="1:8" x14ac:dyDescent="0.25">
      <c r="A362" t="s">
        <v>362</v>
      </c>
      <c r="B362" s="81">
        <v>0</v>
      </c>
      <c r="C362" s="81">
        <v>0</v>
      </c>
      <c r="D362" s="81">
        <v>0</v>
      </c>
      <c r="E362" s="81">
        <v>0</v>
      </c>
      <c r="F362" s="81">
        <v>0</v>
      </c>
      <c r="G362" s="81">
        <v>0</v>
      </c>
      <c r="H362" s="81">
        <v>0</v>
      </c>
    </row>
    <row r="363" spans="1:8" x14ac:dyDescent="0.25">
      <c r="A363" t="s">
        <v>363</v>
      </c>
      <c r="B363" s="81">
        <v>0</v>
      </c>
      <c r="C363" s="81">
        <v>0</v>
      </c>
      <c r="D363" s="81">
        <v>0</v>
      </c>
      <c r="E363" s="81">
        <v>0</v>
      </c>
      <c r="F363" s="81">
        <v>0</v>
      </c>
      <c r="G363" s="81">
        <v>0</v>
      </c>
      <c r="H363" s="81">
        <v>0</v>
      </c>
    </row>
    <row r="364" spans="1:8" x14ac:dyDescent="0.25">
      <c r="A364" t="s">
        <v>364</v>
      </c>
      <c r="B364" s="81">
        <v>0</v>
      </c>
      <c r="C364" s="81">
        <v>0</v>
      </c>
      <c r="D364" s="81">
        <v>0</v>
      </c>
      <c r="E364" s="81">
        <v>0</v>
      </c>
      <c r="F364" s="81">
        <v>0</v>
      </c>
      <c r="G364" s="81">
        <v>0</v>
      </c>
      <c r="H364" s="81">
        <v>0</v>
      </c>
    </row>
    <row r="365" spans="1:8" x14ac:dyDescent="0.25">
      <c r="A365" t="s">
        <v>365</v>
      </c>
      <c r="B365" s="81">
        <v>0</v>
      </c>
      <c r="C365" s="81">
        <v>0</v>
      </c>
      <c r="D365" s="81">
        <v>0</v>
      </c>
      <c r="E365" s="81">
        <v>0</v>
      </c>
      <c r="F365" s="81">
        <v>0</v>
      </c>
      <c r="G365" s="81">
        <v>0</v>
      </c>
      <c r="H365" s="81">
        <v>0</v>
      </c>
    </row>
    <row r="366" spans="1:8" x14ac:dyDescent="0.25">
      <c r="A366" t="s">
        <v>366</v>
      </c>
      <c r="B366" s="81">
        <v>0</v>
      </c>
      <c r="C366" s="81">
        <v>0</v>
      </c>
      <c r="D366" s="81">
        <v>0</v>
      </c>
      <c r="E366" s="81">
        <v>0</v>
      </c>
      <c r="F366" s="81">
        <v>0</v>
      </c>
      <c r="G366" s="81">
        <v>0</v>
      </c>
      <c r="H366" s="81">
        <v>0</v>
      </c>
    </row>
    <row r="367" spans="1:8" x14ac:dyDescent="0.25">
      <c r="A367" t="s">
        <v>367</v>
      </c>
      <c r="B367" s="81">
        <v>0</v>
      </c>
      <c r="C367" s="81">
        <v>0</v>
      </c>
      <c r="D367" s="81">
        <v>0</v>
      </c>
      <c r="E367" s="81">
        <v>0</v>
      </c>
      <c r="F367" s="81">
        <v>0</v>
      </c>
      <c r="G367" s="81">
        <v>0</v>
      </c>
      <c r="H367" s="81">
        <v>0</v>
      </c>
    </row>
    <row r="368" spans="1:8" x14ac:dyDescent="0.25">
      <c r="A368" t="s">
        <v>368</v>
      </c>
      <c r="B368" s="81">
        <v>0</v>
      </c>
      <c r="C368" s="81">
        <v>0</v>
      </c>
      <c r="D368" s="81">
        <v>0</v>
      </c>
      <c r="E368" s="81">
        <v>0</v>
      </c>
      <c r="F368" s="81">
        <v>0</v>
      </c>
      <c r="G368" s="81">
        <v>0</v>
      </c>
      <c r="H368" s="81">
        <v>0</v>
      </c>
    </row>
    <row r="369" spans="1:8" x14ac:dyDescent="0.25">
      <c r="A369" t="s">
        <v>369</v>
      </c>
      <c r="B369" s="81">
        <v>0</v>
      </c>
      <c r="C369" s="81">
        <v>0</v>
      </c>
      <c r="D369" s="81">
        <v>0</v>
      </c>
      <c r="E369" s="81">
        <v>0</v>
      </c>
      <c r="F369" s="81">
        <v>0</v>
      </c>
      <c r="G369" s="81">
        <v>0</v>
      </c>
      <c r="H369" s="81">
        <v>0</v>
      </c>
    </row>
    <row r="370" spans="1:8" x14ac:dyDescent="0.25">
      <c r="A370" t="s">
        <v>370</v>
      </c>
      <c r="B370" s="81">
        <v>0</v>
      </c>
      <c r="C370" s="81">
        <v>0</v>
      </c>
      <c r="D370" s="81">
        <v>0</v>
      </c>
      <c r="E370" s="81">
        <v>0</v>
      </c>
      <c r="F370" s="81">
        <v>0</v>
      </c>
      <c r="G370" s="81">
        <v>0</v>
      </c>
      <c r="H370" s="81">
        <v>0</v>
      </c>
    </row>
    <row r="371" spans="1:8" x14ac:dyDescent="0.25">
      <c r="A371" t="s">
        <v>371</v>
      </c>
      <c r="B371" s="81">
        <v>0</v>
      </c>
      <c r="C371" s="81">
        <v>0</v>
      </c>
      <c r="D371" s="81">
        <v>0</v>
      </c>
      <c r="E371" s="81">
        <v>0</v>
      </c>
      <c r="F371" s="81">
        <v>0</v>
      </c>
      <c r="G371" s="81">
        <v>0</v>
      </c>
      <c r="H371" s="81">
        <v>0</v>
      </c>
    </row>
    <row r="372" spans="1:8" x14ac:dyDescent="0.25">
      <c r="A372" t="s">
        <v>372</v>
      </c>
      <c r="B372" s="81">
        <v>0</v>
      </c>
      <c r="C372" s="81">
        <v>0</v>
      </c>
      <c r="D372" s="81">
        <v>0</v>
      </c>
      <c r="E372" s="81">
        <v>0</v>
      </c>
      <c r="F372" s="81">
        <v>0</v>
      </c>
      <c r="G372" s="81">
        <v>0</v>
      </c>
      <c r="H372" s="81">
        <v>0</v>
      </c>
    </row>
    <row r="373" spans="1:8" x14ac:dyDescent="0.25">
      <c r="A373" t="s">
        <v>373</v>
      </c>
      <c r="B373" s="81">
        <v>0</v>
      </c>
      <c r="C373" s="81">
        <v>0</v>
      </c>
      <c r="D373" s="81">
        <v>0</v>
      </c>
      <c r="E373" s="81">
        <v>0</v>
      </c>
      <c r="F373" s="81">
        <v>0</v>
      </c>
      <c r="G373" s="81">
        <v>0</v>
      </c>
      <c r="H373" s="81">
        <v>0</v>
      </c>
    </row>
    <row r="374" spans="1:8" x14ac:dyDescent="0.25">
      <c r="A374" t="s">
        <v>374</v>
      </c>
      <c r="B374" s="81">
        <v>0</v>
      </c>
      <c r="C374" s="81">
        <v>0</v>
      </c>
      <c r="D374" s="81">
        <v>0</v>
      </c>
      <c r="E374" s="81">
        <v>0</v>
      </c>
      <c r="F374" s="81">
        <v>0</v>
      </c>
      <c r="G374" s="81">
        <v>0</v>
      </c>
      <c r="H374" s="81">
        <v>0</v>
      </c>
    </row>
    <row r="375" spans="1:8" x14ac:dyDescent="0.25">
      <c r="A375" t="s">
        <v>375</v>
      </c>
      <c r="B375" s="81">
        <v>0</v>
      </c>
      <c r="C375" s="81">
        <v>0</v>
      </c>
      <c r="D375" s="81">
        <v>0</v>
      </c>
      <c r="E375" s="81">
        <v>0</v>
      </c>
      <c r="F375" s="81">
        <v>0</v>
      </c>
      <c r="G375" s="81">
        <v>0</v>
      </c>
      <c r="H375" s="81">
        <v>0</v>
      </c>
    </row>
    <row r="376" spans="1:8" x14ac:dyDescent="0.25">
      <c r="A376" t="s">
        <v>376</v>
      </c>
      <c r="B376" s="81">
        <v>0</v>
      </c>
      <c r="C376" s="81">
        <v>0</v>
      </c>
      <c r="D376" s="81">
        <v>0</v>
      </c>
      <c r="E376" s="81">
        <v>0</v>
      </c>
      <c r="F376" s="81">
        <v>0</v>
      </c>
      <c r="G376" s="81">
        <v>0</v>
      </c>
      <c r="H376" s="81">
        <v>0</v>
      </c>
    </row>
    <row r="377" spans="1:8" x14ac:dyDescent="0.25">
      <c r="A377" t="s">
        <v>377</v>
      </c>
      <c r="B377" s="81">
        <v>0</v>
      </c>
      <c r="C377" s="81">
        <v>0</v>
      </c>
      <c r="D377" s="81">
        <v>0</v>
      </c>
      <c r="E377" s="81">
        <v>0</v>
      </c>
      <c r="F377" s="81">
        <v>0</v>
      </c>
      <c r="G377" s="81">
        <v>0</v>
      </c>
      <c r="H377" s="81">
        <v>0</v>
      </c>
    </row>
    <row r="378" spans="1:8" x14ac:dyDescent="0.25">
      <c r="A378" t="s">
        <v>378</v>
      </c>
      <c r="B378" s="81">
        <v>0</v>
      </c>
      <c r="C378" s="81">
        <v>0</v>
      </c>
      <c r="D378" s="81">
        <v>0</v>
      </c>
      <c r="E378" s="81">
        <v>0</v>
      </c>
      <c r="F378" s="81">
        <v>0</v>
      </c>
      <c r="G378" s="81">
        <v>0</v>
      </c>
      <c r="H378" s="81">
        <v>0</v>
      </c>
    </row>
    <row r="379" spans="1:8" x14ac:dyDescent="0.25">
      <c r="A379" t="s">
        <v>379</v>
      </c>
      <c r="B379" s="81">
        <v>0</v>
      </c>
      <c r="C379" s="81">
        <v>0</v>
      </c>
      <c r="D379" s="81">
        <v>0</v>
      </c>
      <c r="E379" s="81">
        <v>0</v>
      </c>
      <c r="F379" s="81">
        <v>0</v>
      </c>
      <c r="G379" s="81">
        <v>0</v>
      </c>
      <c r="H379" s="81">
        <v>0</v>
      </c>
    </row>
    <row r="380" spans="1:8" x14ac:dyDescent="0.25">
      <c r="A380" t="s">
        <v>380</v>
      </c>
      <c r="B380" s="81">
        <v>0</v>
      </c>
      <c r="C380" s="81">
        <v>0</v>
      </c>
      <c r="D380" s="81">
        <v>0</v>
      </c>
      <c r="E380" s="81">
        <v>0</v>
      </c>
      <c r="F380" s="81">
        <v>0</v>
      </c>
      <c r="G380" s="81">
        <v>0</v>
      </c>
      <c r="H380" s="81">
        <v>0</v>
      </c>
    </row>
    <row r="381" spans="1:8" x14ac:dyDescent="0.25">
      <c r="A381" t="s">
        <v>381</v>
      </c>
      <c r="B381" s="81">
        <v>0</v>
      </c>
      <c r="C381" s="81">
        <v>0</v>
      </c>
      <c r="D381" s="81">
        <v>0</v>
      </c>
      <c r="E381" s="81">
        <v>0</v>
      </c>
      <c r="F381" s="81">
        <v>0</v>
      </c>
      <c r="G381" s="81">
        <v>0</v>
      </c>
      <c r="H381" s="81">
        <v>0</v>
      </c>
    </row>
    <row r="382" spans="1:8" x14ac:dyDescent="0.25">
      <c r="A382" t="s">
        <v>382</v>
      </c>
      <c r="B382" s="81">
        <v>0</v>
      </c>
      <c r="C382" s="81">
        <v>0</v>
      </c>
      <c r="D382" s="81">
        <v>0</v>
      </c>
      <c r="E382" s="81">
        <v>0</v>
      </c>
      <c r="F382" s="81">
        <v>0</v>
      </c>
      <c r="G382" s="81">
        <v>0</v>
      </c>
      <c r="H382" s="81">
        <v>0</v>
      </c>
    </row>
    <row r="383" spans="1:8" x14ac:dyDescent="0.25">
      <c r="A383" t="s">
        <v>383</v>
      </c>
      <c r="B383" s="81">
        <v>0</v>
      </c>
      <c r="C383" s="81">
        <v>0</v>
      </c>
      <c r="D383" s="81">
        <v>0</v>
      </c>
      <c r="E383" s="81">
        <v>0</v>
      </c>
      <c r="F383" s="81">
        <v>0</v>
      </c>
      <c r="G383" s="81">
        <v>0</v>
      </c>
      <c r="H383" s="81">
        <v>0</v>
      </c>
    </row>
    <row r="384" spans="1:8" x14ac:dyDescent="0.25">
      <c r="A384" t="s">
        <v>384</v>
      </c>
      <c r="B384" s="81">
        <v>0</v>
      </c>
      <c r="C384" s="81">
        <v>0</v>
      </c>
      <c r="D384" s="81">
        <v>0</v>
      </c>
      <c r="E384" s="81">
        <v>0</v>
      </c>
      <c r="F384" s="81">
        <v>0</v>
      </c>
      <c r="G384" s="81">
        <v>0</v>
      </c>
      <c r="H384" s="81">
        <v>0</v>
      </c>
    </row>
    <row r="385" spans="1:8" x14ac:dyDescent="0.25">
      <c r="A385" t="s">
        <v>385</v>
      </c>
      <c r="B385" s="81">
        <v>0</v>
      </c>
      <c r="C385" s="81">
        <v>0</v>
      </c>
      <c r="D385" s="81">
        <v>0</v>
      </c>
      <c r="E385" s="81">
        <v>0</v>
      </c>
      <c r="F385" s="81">
        <v>0</v>
      </c>
      <c r="G385" s="81">
        <v>0</v>
      </c>
      <c r="H385" s="81">
        <v>0</v>
      </c>
    </row>
    <row r="386" spans="1:8" x14ac:dyDescent="0.25">
      <c r="A386" t="s">
        <v>386</v>
      </c>
      <c r="B386" s="81">
        <v>0</v>
      </c>
      <c r="C386" s="81">
        <v>0</v>
      </c>
      <c r="D386" s="81">
        <v>0</v>
      </c>
      <c r="E386" s="81">
        <v>0</v>
      </c>
      <c r="F386" s="81">
        <v>0</v>
      </c>
      <c r="G386" s="81">
        <v>0</v>
      </c>
      <c r="H386" s="81">
        <v>0</v>
      </c>
    </row>
    <row r="387" spans="1:8" x14ac:dyDescent="0.25">
      <c r="A387" t="s">
        <v>387</v>
      </c>
      <c r="B387" s="81">
        <v>0</v>
      </c>
      <c r="C387" s="81">
        <v>0</v>
      </c>
      <c r="D387" s="81">
        <v>0</v>
      </c>
      <c r="E387" s="81">
        <v>0</v>
      </c>
      <c r="F387" s="81">
        <v>0</v>
      </c>
      <c r="G387" s="81">
        <v>0</v>
      </c>
      <c r="H387" s="81">
        <v>0</v>
      </c>
    </row>
    <row r="388" spans="1:8" x14ac:dyDescent="0.25">
      <c r="A388" t="s">
        <v>388</v>
      </c>
      <c r="B388" s="81">
        <v>0</v>
      </c>
      <c r="C388" s="81">
        <v>0</v>
      </c>
      <c r="D388" s="81">
        <v>0</v>
      </c>
      <c r="E388" s="81">
        <v>0</v>
      </c>
      <c r="F388" s="81">
        <v>0</v>
      </c>
      <c r="G388" s="81">
        <v>0</v>
      </c>
      <c r="H388" s="81">
        <v>0</v>
      </c>
    </row>
    <row r="389" spans="1:8" x14ac:dyDescent="0.25">
      <c r="A389" t="s">
        <v>389</v>
      </c>
      <c r="B389" s="81">
        <v>0</v>
      </c>
      <c r="C389" s="81">
        <v>0</v>
      </c>
      <c r="D389" s="81">
        <v>0</v>
      </c>
      <c r="E389" s="81">
        <v>0</v>
      </c>
      <c r="F389" s="81">
        <v>0</v>
      </c>
      <c r="G389" s="81">
        <v>0</v>
      </c>
      <c r="H389" s="81">
        <v>0</v>
      </c>
    </row>
    <row r="390" spans="1:8" x14ac:dyDescent="0.25">
      <c r="A390" t="s">
        <v>390</v>
      </c>
      <c r="B390" s="81">
        <v>0</v>
      </c>
      <c r="C390" s="81">
        <v>0</v>
      </c>
      <c r="D390" s="81">
        <v>0</v>
      </c>
      <c r="E390" s="81">
        <v>0</v>
      </c>
      <c r="F390" s="81">
        <v>0</v>
      </c>
      <c r="G390" s="81">
        <v>0</v>
      </c>
      <c r="H390" s="81">
        <v>0</v>
      </c>
    </row>
    <row r="391" spans="1:8" x14ac:dyDescent="0.25">
      <c r="A391" t="s">
        <v>391</v>
      </c>
      <c r="B391" s="81">
        <v>0</v>
      </c>
      <c r="C391" s="81">
        <v>0</v>
      </c>
      <c r="D391" s="81">
        <v>0</v>
      </c>
      <c r="E391" s="81">
        <v>0</v>
      </c>
      <c r="F391" s="81">
        <v>0</v>
      </c>
      <c r="G391" s="81">
        <v>0</v>
      </c>
      <c r="H391" s="81">
        <v>0</v>
      </c>
    </row>
    <row r="392" spans="1:8" x14ac:dyDescent="0.25">
      <c r="A392" t="s">
        <v>392</v>
      </c>
      <c r="B392" s="81">
        <v>0</v>
      </c>
      <c r="C392" s="81">
        <v>0</v>
      </c>
      <c r="D392" s="81">
        <v>0</v>
      </c>
      <c r="E392" s="81">
        <v>0</v>
      </c>
      <c r="F392" s="81">
        <v>0</v>
      </c>
      <c r="G392" s="81">
        <v>0</v>
      </c>
      <c r="H392" s="81">
        <v>0</v>
      </c>
    </row>
    <row r="393" spans="1:8" x14ac:dyDescent="0.25">
      <c r="A393" t="s">
        <v>393</v>
      </c>
      <c r="B393" s="81">
        <v>0</v>
      </c>
      <c r="C393" s="81">
        <v>0</v>
      </c>
      <c r="D393" s="81">
        <v>0</v>
      </c>
      <c r="E393" s="81">
        <v>0</v>
      </c>
      <c r="F393" s="81">
        <v>0</v>
      </c>
      <c r="G393" s="81">
        <v>0</v>
      </c>
      <c r="H393" s="81">
        <v>0</v>
      </c>
    </row>
    <row r="394" spans="1:8" x14ac:dyDescent="0.25">
      <c r="A394" t="s">
        <v>394</v>
      </c>
      <c r="B394" s="81">
        <v>0</v>
      </c>
      <c r="C394" s="81">
        <v>0</v>
      </c>
      <c r="D394" s="81">
        <v>0</v>
      </c>
      <c r="E394" s="81">
        <v>0</v>
      </c>
      <c r="F394" s="81">
        <v>0</v>
      </c>
      <c r="G394" s="81">
        <v>0</v>
      </c>
      <c r="H394" s="81">
        <v>0</v>
      </c>
    </row>
    <row r="395" spans="1:8" x14ac:dyDescent="0.25">
      <c r="A395" t="s">
        <v>395</v>
      </c>
      <c r="B395" s="81">
        <v>0</v>
      </c>
      <c r="C395" s="81">
        <v>0</v>
      </c>
      <c r="D395" s="81">
        <v>0</v>
      </c>
      <c r="E395" s="81">
        <v>0</v>
      </c>
      <c r="F395" s="81">
        <v>0</v>
      </c>
      <c r="G395" s="81">
        <v>0</v>
      </c>
      <c r="H395" s="81">
        <v>0</v>
      </c>
    </row>
    <row r="396" spans="1:8" x14ac:dyDescent="0.25">
      <c r="A396" t="s">
        <v>396</v>
      </c>
      <c r="B396" s="81">
        <v>0</v>
      </c>
      <c r="C396" s="81">
        <v>0</v>
      </c>
      <c r="D396" s="81">
        <v>0</v>
      </c>
      <c r="E396" s="81">
        <v>0</v>
      </c>
      <c r="F396" s="81">
        <v>0</v>
      </c>
      <c r="G396" s="81">
        <v>0</v>
      </c>
      <c r="H396" s="81">
        <v>0</v>
      </c>
    </row>
    <row r="397" spans="1:8" x14ac:dyDescent="0.25">
      <c r="A397" t="s">
        <v>397</v>
      </c>
      <c r="B397" s="81">
        <v>0</v>
      </c>
      <c r="C397" s="81">
        <v>0</v>
      </c>
      <c r="D397" s="81">
        <v>0</v>
      </c>
      <c r="E397" s="81">
        <v>0</v>
      </c>
      <c r="F397" s="81">
        <v>0</v>
      </c>
      <c r="G397" s="81">
        <v>0</v>
      </c>
      <c r="H397" s="81">
        <v>0</v>
      </c>
    </row>
    <row r="398" spans="1:8" x14ac:dyDescent="0.25">
      <c r="A398" t="s">
        <v>398</v>
      </c>
      <c r="B398" s="81">
        <v>0</v>
      </c>
      <c r="C398" s="81">
        <v>0</v>
      </c>
      <c r="D398" s="81">
        <v>0</v>
      </c>
      <c r="E398" s="81">
        <v>0</v>
      </c>
      <c r="F398" s="81">
        <v>0</v>
      </c>
      <c r="G398" s="81">
        <v>0</v>
      </c>
      <c r="H398" s="81">
        <v>0</v>
      </c>
    </row>
    <row r="399" spans="1:8" x14ac:dyDescent="0.25">
      <c r="A399" t="s">
        <v>399</v>
      </c>
      <c r="B399" s="81">
        <v>0</v>
      </c>
      <c r="C399" s="81">
        <v>0</v>
      </c>
      <c r="D399" s="81">
        <v>0</v>
      </c>
      <c r="E399" s="81">
        <v>0</v>
      </c>
      <c r="F399" s="81">
        <v>0</v>
      </c>
      <c r="G399" s="81">
        <v>0</v>
      </c>
      <c r="H399" s="81">
        <v>0</v>
      </c>
    </row>
    <row r="400" spans="1:8" x14ac:dyDescent="0.25">
      <c r="A400" t="s">
        <v>400</v>
      </c>
      <c r="B400" s="81">
        <v>0</v>
      </c>
      <c r="C400" s="81">
        <v>0</v>
      </c>
      <c r="D400" s="81">
        <v>0</v>
      </c>
      <c r="E400" s="81">
        <v>0</v>
      </c>
      <c r="F400" s="81">
        <v>0</v>
      </c>
      <c r="G400" s="81">
        <v>0</v>
      </c>
      <c r="H400" s="81">
        <v>0</v>
      </c>
    </row>
    <row r="401" spans="1:8" x14ac:dyDescent="0.25">
      <c r="A401" t="s">
        <v>401</v>
      </c>
      <c r="B401" s="81">
        <v>0</v>
      </c>
      <c r="C401" s="81">
        <v>0</v>
      </c>
      <c r="D401" s="81">
        <v>0</v>
      </c>
      <c r="E401" s="81">
        <v>0</v>
      </c>
      <c r="F401" s="81">
        <v>0</v>
      </c>
      <c r="G401" s="81">
        <v>0</v>
      </c>
      <c r="H401" s="81">
        <v>0</v>
      </c>
    </row>
    <row r="402" spans="1:8" x14ac:dyDescent="0.25">
      <c r="A402" t="s">
        <v>402</v>
      </c>
      <c r="B402" s="81">
        <v>0</v>
      </c>
      <c r="C402" s="81">
        <v>0</v>
      </c>
      <c r="D402" s="81">
        <v>0</v>
      </c>
      <c r="E402" s="81">
        <v>0</v>
      </c>
      <c r="F402" s="81">
        <v>0</v>
      </c>
      <c r="G402" s="81">
        <v>0</v>
      </c>
      <c r="H402" s="81">
        <v>0</v>
      </c>
    </row>
    <row r="403" spans="1:8" x14ac:dyDescent="0.25">
      <c r="A403" t="s">
        <v>403</v>
      </c>
      <c r="B403" s="81">
        <v>0</v>
      </c>
      <c r="C403" s="81">
        <v>0</v>
      </c>
      <c r="D403" s="81">
        <v>0</v>
      </c>
      <c r="E403" s="81">
        <v>0</v>
      </c>
      <c r="F403" s="81">
        <v>0</v>
      </c>
      <c r="G403" s="81">
        <v>0</v>
      </c>
      <c r="H403" s="81">
        <v>0</v>
      </c>
    </row>
    <row r="404" spans="1:8" x14ac:dyDescent="0.25">
      <c r="A404" t="s">
        <v>404</v>
      </c>
      <c r="B404" s="81">
        <v>0</v>
      </c>
      <c r="C404" s="81">
        <v>0</v>
      </c>
      <c r="D404" s="81">
        <v>0</v>
      </c>
      <c r="E404" s="81">
        <v>0</v>
      </c>
      <c r="F404" s="81">
        <v>0</v>
      </c>
      <c r="G404" s="81">
        <v>0</v>
      </c>
      <c r="H404" s="81">
        <v>0</v>
      </c>
    </row>
    <row r="405" spans="1:8" x14ac:dyDescent="0.25">
      <c r="A405" t="s">
        <v>405</v>
      </c>
      <c r="B405" s="81">
        <v>0</v>
      </c>
      <c r="C405" s="81">
        <v>0</v>
      </c>
      <c r="D405" s="81">
        <v>0</v>
      </c>
      <c r="E405" s="81">
        <v>0</v>
      </c>
      <c r="F405" s="81">
        <v>0</v>
      </c>
      <c r="G405" s="81">
        <v>0</v>
      </c>
      <c r="H405" s="81">
        <v>0</v>
      </c>
    </row>
    <row r="406" spans="1:8" x14ac:dyDescent="0.25">
      <c r="A406" t="s">
        <v>406</v>
      </c>
      <c r="B406" s="81">
        <v>0</v>
      </c>
      <c r="C406" s="81">
        <v>0</v>
      </c>
      <c r="D406" s="81">
        <v>0</v>
      </c>
      <c r="E406" s="81">
        <v>0</v>
      </c>
      <c r="F406" s="81">
        <v>0</v>
      </c>
      <c r="G406" s="81">
        <v>0</v>
      </c>
      <c r="H406" s="81">
        <v>0</v>
      </c>
    </row>
    <row r="407" spans="1:8" x14ac:dyDescent="0.25">
      <c r="A407" t="s">
        <v>407</v>
      </c>
      <c r="B407" s="81">
        <v>0</v>
      </c>
      <c r="C407" s="81">
        <v>0</v>
      </c>
      <c r="D407" s="81">
        <v>0</v>
      </c>
      <c r="E407" s="81">
        <v>0</v>
      </c>
      <c r="F407" s="81">
        <v>0</v>
      </c>
      <c r="G407" s="81">
        <v>0</v>
      </c>
      <c r="H407" s="81">
        <v>0</v>
      </c>
    </row>
    <row r="408" spans="1:8" x14ac:dyDescent="0.25">
      <c r="A408" t="s">
        <v>408</v>
      </c>
      <c r="B408" s="81">
        <v>0</v>
      </c>
      <c r="C408" s="81">
        <v>0</v>
      </c>
      <c r="D408" s="81">
        <v>0</v>
      </c>
      <c r="E408" s="81">
        <v>0</v>
      </c>
      <c r="F408" s="81">
        <v>0</v>
      </c>
      <c r="G408" s="81">
        <v>0</v>
      </c>
      <c r="H408" s="81">
        <v>0</v>
      </c>
    </row>
    <row r="409" spans="1:8" x14ac:dyDescent="0.25">
      <c r="A409" t="s">
        <v>409</v>
      </c>
      <c r="B409" s="81">
        <v>0</v>
      </c>
      <c r="C409" s="81">
        <v>0</v>
      </c>
      <c r="D409" s="81">
        <v>0</v>
      </c>
      <c r="E409" s="81">
        <v>0</v>
      </c>
      <c r="F409" s="81">
        <v>0</v>
      </c>
      <c r="G409" s="81">
        <v>0</v>
      </c>
      <c r="H409" s="81">
        <v>0</v>
      </c>
    </row>
    <row r="410" spans="1:8" x14ac:dyDescent="0.25">
      <c r="A410" t="s">
        <v>410</v>
      </c>
      <c r="B410" s="81">
        <v>0</v>
      </c>
      <c r="C410" s="81">
        <v>0</v>
      </c>
      <c r="D410" s="81">
        <v>0</v>
      </c>
      <c r="E410" s="81">
        <v>0</v>
      </c>
      <c r="F410" s="81">
        <v>0</v>
      </c>
      <c r="G410" s="81">
        <v>0</v>
      </c>
      <c r="H410" s="81">
        <v>0</v>
      </c>
    </row>
    <row r="411" spans="1:8" x14ac:dyDescent="0.25">
      <c r="A411" t="s">
        <v>411</v>
      </c>
      <c r="B411" s="81">
        <v>0</v>
      </c>
      <c r="C411" s="81">
        <v>0</v>
      </c>
      <c r="D411" s="81">
        <v>0</v>
      </c>
      <c r="E411" s="81">
        <v>0</v>
      </c>
      <c r="F411" s="81">
        <v>0</v>
      </c>
      <c r="G411" s="81">
        <v>0</v>
      </c>
      <c r="H411" s="81">
        <v>0</v>
      </c>
    </row>
    <row r="412" spans="1:8" x14ac:dyDescent="0.25">
      <c r="A412" t="s">
        <v>412</v>
      </c>
      <c r="B412" s="81">
        <v>0</v>
      </c>
      <c r="C412" s="81">
        <v>0</v>
      </c>
      <c r="D412" s="81">
        <v>0</v>
      </c>
      <c r="E412" s="81">
        <v>0</v>
      </c>
      <c r="F412" s="81">
        <v>0</v>
      </c>
      <c r="G412" s="81">
        <v>0</v>
      </c>
      <c r="H412" s="81">
        <v>0</v>
      </c>
    </row>
    <row r="413" spans="1:8" x14ac:dyDescent="0.25">
      <c r="A413" t="s">
        <v>413</v>
      </c>
      <c r="B413" s="81">
        <v>0</v>
      </c>
      <c r="C413" s="81">
        <v>0</v>
      </c>
      <c r="D413" s="81">
        <v>0</v>
      </c>
      <c r="E413" s="81">
        <v>0</v>
      </c>
      <c r="F413" s="81">
        <v>0</v>
      </c>
      <c r="G413" s="81">
        <v>0</v>
      </c>
      <c r="H413" s="81">
        <v>0</v>
      </c>
    </row>
    <row r="414" spans="1:8" x14ac:dyDescent="0.25">
      <c r="A414" t="s">
        <v>414</v>
      </c>
      <c r="B414" s="81">
        <v>0</v>
      </c>
      <c r="C414" s="81">
        <v>0</v>
      </c>
      <c r="D414" s="81">
        <v>0</v>
      </c>
      <c r="E414" s="81">
        <v>0</v>
      </c>
      <c r="F414" s="81">
        <v>0</v>
      </c>
      <c r="G414" s="81">
        <v>0</v>
      </c>
      <c r="H414" s="81">
        <v>0</v>
      </c>
    </row>
    <row r="415" spans="1:8" x14ac:dyDescent="0.25">
      <c r="A415" t="s">
        <v>415</v>
      </c>
      <c r="B415" s="81">
        <v>0</v>
      </c>
      <c r="C415" s="81">
        <v>0</v>
      </c>
      <c r="D415" s="81">
        <v>0</v>
      </c>
      <c r="E415" s="81">
        <v>0</v>
      </c>
      <c r="F415" s="81">
        <v>0</v>
      </c>
      <c r="G415" s="81">
        <v>0</v>
      </c>
      <c r="H415" s="81">
        <v>0</v>
      </c>
    </row>
    <row r="416" spans="1:8" x14ac:dyDescent="0.25">
      <c r="A416" t="s">
        <v>416</v>
      </c>
      <c r="B416" s="81">
        <v>0</v>
      </c>
      <c r="C416" s="81">
        <v>0</v>
      </c>
      <c r="D416" s="81">
        <v>0</v>
      </c>
      <c r="E416" s="81">
        <v>0</v>
      </c>
      <c r="F416" s="81">
        <v>0</v>
      </c>
      <c r="G416" s="81">
        <v>0</v>
      </c>
      <c r="H416" s="81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Plot</vt:lpstr>
      <vt:lpstr>AI-10</vt:lpstr>
      <vt:lpstr>RA-10</vt:lpstr>
      <vt:lpstr>LDB-10</vt:lpstr>
      <vt:lpstr>LDP-10</vt:lpstr>
      <vt:lpstr>TM</vt:lpstr>
      <vt:lpstr>BMS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André Seixas Dias</cp:lastModifiedBy>
  <dcterms:created xsi:type="dcterms:W3CDTF">2011-06-30T00:09:01Z</dcterms:created>
  <dcterms:modified xsi:type="dcterms:W3CDTF">2018-05-17T17:15:34Z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</Properties>
</file>